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enue Build" sheetId="1" state="visible" r:id="rId1"/>
    <sheet name="Income Statement" sheetId="2" state="visible" r:id="rId2"/>
    <sheet name="Balance Sheet" sheetId="3" state="visible" r:id="rId3"/>
    <sheet name="Cash Flow &amp; FCF Bridge" sheetId="4" state="visible" r:id="rId4"/>
    <sheet name="Quarterly Detail" sheetId="5" state="visible" r:id="rId5"/>
    <sheet name="Share Count &amp; Dilution" sheetId="6" state="visible" r:id="rId6"/>
    <sheet name="Sensitivity Analysis" sheetId="7" state="visible" r:id="rId7"/>
    <sheet name="Valuation Cross-Checks" sheetId="8" state="visible" r:id="rId8"/>
    <sheet name="Assumptions &amp; Driver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$#,##0.00"/>
    <numFmt numFmtId="166" formatCode="$#,##0.0"/>
    <numFmt numFmtId="167" formatCode="0.0000"/>
    <numFmt numFmtId="168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2F5496"/>
      <sz val="14"/>
    </font>
    <font>
      <name val="Calibri"/>
      <b val="1"/>
      <color rgb="00FFFFFF"/>
      <sz val="11"/>
    </font>
    <font>
      <name val="Calibri"/>
      <b val="1"/>
      <color rgb="002F5496"/>
      <sz val="10"/>
    </font>
    <font>
      <name val="Calibri"/>
      <b val="1"/>
      <color rgb="002F5496"/>
      <sz val="11"/>
    </font>
    <font>
      <name val="Calibri"/>
      <b val="1"/>
      <sz val="10"/>
    </font>
    <font>
      <name val="Calibri"/>
      <i val="1"/>
      <color rgb="000070C0"/>
      <sz val="10"/>
    </font>
    <font>
      <name val="Calibri"/>
      <sz val="10"/>
    </font>
    <font>
      <name val="Calibri"/>
      <i val="1"/>
      <sz val="10"/>
    </font>
    <font>
      <name val="Calibri"/>
      <i val="1"/>
      <color rgb="00BF8F00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92D050"/>
        <bgColor rgb="0092D050"/>
      </patternFill>
    </fill>
  </fills>
  <borders count="3">
    <border>
      <left/>
      <right/>
      <top/>
      <bottom/>
      <diagonal/>
    </border>
    <border>
      <bottom style="medium">
        <color rgb="002F5496"/>
      </bottom>
    </border>
    <border>
      <bottom style="thin">
        <color rgb="00B4C6E7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0" pivotButton="0" quotePrefix="0" xfId="0"/>
    <xf numFmtId="0" fontId="4" fillId="0" borderId="1" pivotButton="0" quotePrefix="0" xfId="0"/>
    <xf numFmtId="0" fontId="5" fillId="0" borderId="0" pivotButton="0" quotePrefix="0" xfId="0"/>
    <xf numFmtId="3" fontId="5" fillId="0" borderId="0" pivotButton="0" quotePrefix="0" xfId="0"/>
    <xf numFmtId="3" fontId="6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6" fillId="4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3" fontId="7" fillId="0" borderId="0" pivotButton="0" quotePrefix="0" xfId="0"/>
    <xf numFmtId="3" fontId="6" fillId="4" borderId="0" pivotButton="0" quotePrefix="0" xfId="0"/>
    <xf numFmtId="165" fontId="7" fillId="0" borderId="0" pivotButton="0" quotePrefix="0" xfId="0"/>
    <xf numFmtId="0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0" fontId="5" fillId="0" borderId="2" pivotButton="0" quotePrefix="0" xfId="0"/>
    <xf numFmtId="3" fontId="5" fillId="0" borderId="2" pivotButton="0" quotePrefix="0" xfId="0"/>
    <xf numFmtId="3" fontId="6" fillId="0" borderId="2" pivotButton="0" quotePrefix="0" xfId="0"/>
    <xf numFmtId="0" fontId="7" fillId="4" borderId="0" pivotButton="0" quotePrefix="0" xfId="0"/>
    <xf numFmtId="3" fontId="7" fillId="4" borderId="0" pivotButton="0" quotePrefix="0" xfId="0"/>
    <xf numFmtId="0" fontId="4" fillId="0" borderId="0" pivotButton="0" quotePrefix="0" xfId="0"/>
    <xf numFmtId="164" fontId="2" fillId="2" borderId="0" applyAlignment="1" pivotButton="0" quotePrefix="0" xfId="0">
      <alignment horizontal="center"/>
    </xf>
    <xf numFmtId="164" fontId="5" fillId="3" borderId="0" pivotButton="0" quotePrefix="0" xfId="0"/>
    <xf numFmtId="3" fontId="0" fillId="0" borderId="0" applyAlignment="1" pivotButton="0" quotePrefix="0" xfId="0">
      <alignment horizontal="center"/>
    </xf>
    <xf numFmtId="3" fontId="5" fillId="5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66" fontId="5" fillId="5" borderId="0" applyAlignment="1" pivotButton="0" quotePrefix="0" xfId="0">
      <alignment horizontal="center"/>
    </xf>
    <xf numFmtId="164" fontId="7" fillId="4" borderId="0" pivotButton="0" quotePrefix="0" xfId="0"/>
    <xf numFmtId="167" fontId="7" fillId="0" borderId="0" pivotButton="0" quotePrefix="0" xfId="0"/>
    <xf numFmtId="165" fontId="5" fillId="0" borderId="1" pivotButton="0" quotePrefix="0" xfId="0"/>
    <xf numFmtId="0" fontId="8" fillId="0" borderId="0" pivotButton="0" quotePrefix="0" xfId="0"/>
    <xf numFmtId="165" fontId="7" fillId="4" borderId="0" pivotButton="0" quotePrefix="0" xfId="0"/>
    <xf numFmtId="168" fontId="5" fillId="0" borderId="0" pivotButton="0" quotePrefix="0" xfId="0"/>
    <xf numFmtId="168" fontId="7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Snap Inc. (SNAP) – Revenue Build by Segment &amp; Driver</t>
        </is>
      </c>
    </row>
    <row r="3">
      <c r="A3" s="2" t="inlineStr"/>
      <c r="B3" s="2" t="inlineStr">
        <is>
          <t>2019</t>
        </is>
      </c>
      <c r="C3" s="2" t="inlineStr">
        <is>
          <t>2020</t>
        </is>
      </c>
      <c r="D3" s="2" t="inlineStr">
        <is>
          <t>2021</t>
        </is>
      </c>
      <c r="E3" s="2" t="inlineStr">
        <is>
          <t>2022</t>
        </is>
      </c>
      <c r="F3" s="2" t="inlineStr">
        <is>
          <t>2023</t>
        </is>
      </c>
      <c r="G3" s="2" t="inlineStr">
        <is>
          <t>2024</t>
        </is>
      </c>
      <c r="H3" s="2" t="inlineStr">
        <is>
          <t>2025E</t>
        </is>
      </c>
      <c r="I3" s="2" t="inlineStr">
        <is>
          <t>2026E</t>
        </is>
      </c>
      <c r="J3" s="2" t="inlineStr">
        <is>
          <t>2027E</t>
        </is>
      </c>
      <c r="K3" s="2" t="inlineStr">
        <is>
          <t>2028E</t>
        </is>
      </c>
    </row>
    <row r="4">
      <c r="A4" s="3" t="inlineStr"/>
      <c r="B4" s="3" t="inlineStr">
        <is>
          <t>Historical</t>
        </is>
      </c>
      <c r="C4" s="3" t="inlineStr">
        <is>
          <t>Historical</t>
        </is>
      </c>
      <c r="D4" s="3" t="inlineStr">
        <is>
          <t>Historical</t>
        </is>
      </c>
      <c r="E4" s="3" t="inlineStr">
        <is>
          <t>Historical</t>
        </is>
      </c>
      <c r="F4" s="3" t="inlineStr">
        <is>
          <t>Historical</t>
        </is>
      </c>
      <c r="G4" s="3" t="inlineStr">
        <is>
          <t>Historical</t>
        </is>
      </c>
      <c r="H4" s="3" t="inlineStr">
        <is>
          <t>Forecast</t>
        </is>
      </c>
      <c r="I4" s="3" t="inlineStr">
        <is>
          <t>Forecast</t>
        </is>
      </c>
      <c r="J4" s="3" t="inlineStr">
        <is>
          <t>Forecast</t>
        </is>
      </c>
      <c r="K4" s="3" t="inlineStr">
        <is>
          <t>Forecast</t>
        </is>
      </c>
    </row>
    <row r="5">
      <c r="A5" s="4" t="inlineStr">
        <is>
          <t>DAU Drivers</t>
        </is>
      </c>
    </row>
    <row r="6">
      <c r="A6" s="5" t="inlineStr">
        <is>
          <t>Daily Active Users (M)</t>
        </is>
      </c>
      <c r="B6" s="6" t="n">
        <v>218</v>
      </c>
      <c r="C6" s="6" t="n">
        <v>265</v>
      </c>
      <c r="D6" s="6" t="n">
        <v>319</v>
      </c>
      <c r="E6" s="6" t="n">
        <v>375</v>
      </c>
      <c r="F6" s="6" t="n">
        <v>414</v>
      </c>
      <c r="G6" s="6" t="n">
        <v>443</v>
      </c>
      <c r="H6" s="7" t="n">
        <v>472</v>
      </c>
      <c r="I6" s="7" t="n">
        <v>498</v>
      </c>
      <c r="J6" s="7" t="n">
        <v>520</v>
      </c>
      <c r="K6" s="7" t="n">
        <v>541</v>
      </c>
    </row>
    <row r="7">
      <c r="A7" s="8" t="inlineStr">
        <is>
          <t xml:space="preserve">  YoY Growth</t>
        </is>
      </c>
      <c r="B7" s="8" t="n"/>
      <c r="C7" s="9" t="n">
        <v>0.216</v>
      </c>
      <c r="D7" s="9" t="n">
        <v>0.204</v>
      </c>
      <c r="E7" s="9" t="n">
        <v>0.176</v>
      </c>
      <c r="F7" s="9" t="n">
        <v>0.104</v>
      </c>
      <c r="G7" s="9" t="n">
        <v>0.07000000000000001</v>
      </c>
      <c r="H7" s="10" t="n">
        <v>0.065</v>
      </c>
      <c r="I7" s="10" t="n">
        <v>0.055</v>
      </c>
      <c r="J7" s="10" t="n">
        <v>0.044</v>
      </c>
      <c r="K7" s="10" t="n">
        <v>0.04</v>
      </c>
    </row>
    <row r="9">
      <c r="A9" s="4" t="inlineStr">
        <is>
          <t>ARPU Drivers</t>
        </is>
      </c>
    </row>
    <row r="10">
      <c r="A10" s="5" t="inlineStr">
        <is>
          <t>Avg Revenue Per User ($)</t>
        </is>
      </c>
      <c r="B10" s="11" t="n">
        <v>7.87</v>
      </c>
      <c r="C10" s="11" t="n">
        <v>9.460000000000001</v>
      </c>
      <c r="D10" s="11" t="n">
        <v>12.91</v>
      </c>
      <c r="E10" s="11" t="n">
        <v>12.27</v>
      </c>
      <c r="F10" s="11" t="n">
        <v>11.13</v>
      </c>
      <c r="G10" s="11" t="n">
        <v>12.1</v>
      </c>
      <c r="H10" s="12" t="n">
        <v>13.31</v>
      </c>
      <c r="I10" s="12" t="n">
        <v>14.51</v>
      </c>
      <c r="J10" s="12" t="n">
        <v>15.67</v>
      </c>
      <c r="K10" s="12" t="n">
        <v>16.77</v>
      </c>
    </row>
    <row r="11">
      <c r="A11" s="8" t="inlineStr">
        <is>
          <t xml:space="preserve">  YoY Growth</t>
        </is>
      </c>
      <c r="B11" s="8" t="n"/>
      <c r="C11" s="9" t="n">
        <v>0.202</v>
      </c>
      <c r="D11" s="9" t="n">
        <v>0.365</v>
      </c>
      <c r="E11" s="9" t="n">
        <v>-0.05</v>
      </c>
      <c r="F11" s="9" t="n">
        <v>-0.093</v>
      </c>
      <c r="G11" s="9" t="n">
        <v>0.08699999999999999</v>
      </c>
      <c r="H11" s="10" t="n">
        <v>0.1</v>
      </c>
      <c r="I11" s="10" t="n">
        <v>0.09</v>
      </c>
      <c r="J11" s="10" t="n">
        <v>0.08</v>
      </c>
      <c r="K11" s="10" t="n">
        <v>0.07000000000000001</v>
      </c>
    </row>
    <row r="13">
      <c r="A13" s="4" t="inlineStr">
        <is>
          <t>Revenue (DAU × ARPU)</t>
        </is>
      </c>
    </row>
    <row r="14">
      <c r="A14" s="5" t="inlineStr">
        <is>
          <t>Total Revenue ($M)</t>
        </is>
      </c>
      <c r="B14" s="6" t="n">
        <v>1716</v>
      </c>
      <c r="C14" s="6" t="n">
        <v>2507</v>
      </c>
      <c r="D14" s="6" t="n">
        <v>4117</v>
      </c>
      <c r="E14" s="6" t="n">
        <v>4602</v>
      </c>
      <c r="F14" s="6" t="n">
        <v>4606</v>
      </c>
      <c r="G14" s="6" t="n">
        <v>5360</v>
      </c>
      <c r="H14" s="7" t="n">
        <v>6282</v>
      </c>
      <c r="I14" s="7" t="n">
        <v>7226</v>
      </c>
      <c r="J14" s="7" t="n">
        <v>8148</v>
      </c>
      <c r="K14" s="7" t="n">
        <v>9073</v>
      </c>
    </row>
    <row r="15">
      <c r="A15" s="8" t="inlineStr">
        <is>
          <t xml:space="preserve">  YoY Growth</t>
        </is>
      </c>
      <c r="B15" s="8" t="n"/>
      <c r="C15" s="9" t="n">
        <v>0.461</v>
      </c>
      <c r="D15" s="9" t="n">
        <v>0.642</v>
      </c>
      <c r="E15" s="9" t="n">
        <v>0.118</v>
      </c>
      <c r="F15" s="9" t="n">
        <v>0.001</v>
      </c>
      <c r="G15" s="9" t="n">
        <v>0.164</v>
      </c>
      <c r="H15" s="13" t="n">
        <v>0.172</v>
      </c>
      <c r="I15" s="13" t="n">
        <v>0.15</v>
      </c>
      <c r="J15" s="13" t="n">
        <v>0.128</v>
      </c>
      <c r="K15" s="13" t="n">
        <v>0.114</v>
      </c>
    </row>
    <row r="17">
      <c r="A17" s="4" t="inlineStr">
        <is>
          <t>Revenue by Geography</t>
        </is>
      </c>
    </row>
    <row r="18">
      <c r="A18" s="8" t="inlineStr">
        <is>
          <t xml:space="preserve">  North America</t>
        </is>
      </c>
      <c r="B18" s="14" t="n">
        <v>1100</v>
      </c>
      <c r="C18" s="14" t="n">
        <v>1620</v>
      </c>
      <c r="D18" s="14" t="n">
        <v>2720</v>
      </c>
      <c r="E18" s="14" t="n">
        <v>2990</v>
      </c>
      <c r="F18" s="14" t="n">
        <v>2950</v>
      </c>
      <c r="G18" s="14" t="n">
        <v>3430</v>
      </c>
      <c r="H18" s="7" t="n">
        <v>3958</v>
      </c>
      <c r="I18" s="7" t="n">
        <v>4480</v>
      </c>
      <c r="J18" s="7" t="n">
        <v>4970</v>
      </c>
      <c r="K18" s="7" t="n">
        <v>5444</v>
      </c>
    </row>
    <row r="19">
      <c r="A19" s="8" t="inlineStr">
        <is>
          <t xml:space="preserve">    % of Total</t>
        </is>
      </c>
      <c r="B19" s="9" t="n">
        <v>0.641</v>
      </c>
      <c r="C19" s="9" t="n">
        <v>0.646</v>
      </c>
      <c r="D19" s="9" t="n">
        <v>0.661</v>
      </c>
      <c r="E19" s="9" t="n">
        <v>0.65</v>
      </c>
      <c r="F19" s="9" t="n">
        <v>0.64</v>
      </c>
      <c r="G19" s="9" t="n">
        <v>0.64</v>
      </c>
      <c r="H19" s="9" t="n">
        <v>0.63</v>
      </c>
      <c r="I19" s="9" t="n">
        <v>0.62</v>
      </c>
      <c r="J19" s="9" t="n">
        <v>0.61</v>
      </c>
      <c r="K19" s="9" t="n">
        <v>0.6</v>
      </c>
    </row>
    <row r="20">
      <c r="A20" s="8" t="inlineStr">
        <is>
          <t xml:space="preserve">  Europe</t>
        </is>
      </c>
      <c r="B20" s="14" t="n">
        <v>360</v>
      </c>
      <c r="C20" s="14" t="n">
        <v>500</v>
      </c>
      <c r="D20" s="14" t="n">
        <v>830</v>
      </c>
      <c r="E20" s="14" t="n">
        <v>920</v>
      </c>
      <c r="F20" s="14" t="n">
        <v>920</v>
      </c>
      <c r="G20" s="14" t="n">
        <v>1070</v>
      </c>
      <c r="H20" s="7" t="n">
        <v>1256</v>
      </c>
      <c r="I20" s="7" t="n">
        <v>1445</v>
      </c>
      <c r="J20" s="7" t="n">
        <v>1630</v>
      </c>
      <c r="K20" s="7" t="n">
        <v>1905</v>
      </c>
    </row>
    <row r="21">
      <c r="A21" s="8" t="inlineStr">
        <is>
          <t xml:space="preserve">    % of Total</t>
        </is>
      </c>
      <c r="B21" s="9" t="n">
        <v>0.21</v>
      </c>
      <c r="C21" s="9" t="n">
        <v>0.199</v>
      </c>
      <c r="D21" s="9" t="n">
        <v>0.202</v>
      </c>
      <c r="E21" s="9" t="n">
        <v>0.2</v>
      </c>
      <c r="F21" s="9" t="n">
        <v>0.2</v>
      </c>
      <c r="G21" s="9" t="n">
        <v>0.2</v>
      </c>
      <c r="H21" s="9" t="n">
        <v>0.2</v>
      </c>
      <c r="I21" s="9" t="n">
        <v>0.2</v>
      </c>
      <c r="J21" s="9" t="n">
        <v>0.2</v>
      </c>
      <c r="K21" s="9" t="n">
        <v>0.21</v>
      </c>
    </row>
    <row r="22">
      <c r="A22" s="8" t="inlineStr">
        <is>
          <t xml:space="preserve">  Rest of World</t>
        </is>
      </c>
      <c r="B22" s="14" t="n">
        <v>256</v>
      </c>
      <c r="C22" s="14" t="n">
        <v>387</v>
      </c>
      <c r="D22" s="14" t="n">
        <v>567</v>
      </c>
      <c r="E22" s="14" t="n">
        <v>692</v>
      </c>
      <c r="F22" s="14" t="n">
        <v>736</v>
      </c>
      <c r="G22" s="14" t="n">
        <v>860</v>
      </c>
      <c r="H22" s="7" t="n">
        <v>1068</v>
      </c>
      <c r="I22" s="7" t="n">
        <v>1301</v>
      </c>
      <c r="J22" s="7" t="n">
        <v>1548</v>
      </c>
      <c r="K22" s="7" t="n">
        <v>1724</v>
      </c>
    </row>
    <row r="23">
      <c r="A23" s="8" t="inlineStr">
        <is>
          <t xml:space="preserve">    % of Total</t>
        </is>
      </c>
      <c r="B23" s="9" t="n">
        <v>0.149</v>
      </c>
      <c r="C23" s="9" t="n">
        <v>0.154</v>
      </c>
      <c r="D23" s="9" t="n">
        <v>0.138</v>
      </c>
      <c r="E23" s="9" t="n">
        <v>0.15</v>
      </c>
      <c r="F23" s="9" t="n">
        <v>0.16</v>
      </c>
      <c r="G23" s="9" t="n">
        <v>0.16</v>
      </c>
      <c r="H23" s="9" t="n">
        <v>0.17</v>
      </c>
      <c r="I23" s="9" t="n">
        <v>0.18</v>
      </c>
      <c r="J23" s="9" t="n">
        <v>0.19</v>
      </c>
      <c r="K23" s="9" t="n">
        <v>0.19</v>
      </c>
    </row>
    <row r="25">
      <c r="A25" s="4" t="inlineStr">
        <is>
          <t>Implied Ad Metrics</t>
        </is>
      </c>
    </row>
    <row r="26">
      <c r="A26" s="8" t="inlineStr">
        <is>
          <t xml:space="preserve">  Impressions/DAU/Day (est.)</t>
        </is>
      </c>
      <c r="B26" s="14" t="n">
        <v>25</v>
      </c>
      <c r="C26" s="14" t="n">
        <v>27</v>
      </c>
      <c r="D26" s="14" t="n">
        <v>30</v>
      </c>
      <c r="E26" s="14" t="n">
        <v>33</v>
      </c>
      <c r="F26" s="14" t="n">
        <v>36</v>
      </c>
      <c r="G26" s="14" t="n">
        <v>39</v>
      </c>
      <c r="H26" s="15" t="n">
        <v>42</v>
      </c>
      <c r="I26" s="15" t="n">
        <v>44</v>
      </c>
      <c r="J26" s="15" t="n">
        <v>46</v>
      </c>
      <c r="K26" s="15" t="n">
        <v>48</v>
      </c>
    </row>
    <row r="27">
      <c r="A27" s="8" t="inlineStr">
        <is>
          <t xml:space="preserve">  Implied eCPM ($)</t>
        </is>
      </c>
      <c r="B27" s="16" t="n">
        <v>862636.67</v>
      </c>
      <c r="C27" s="16" t="n">
        <v>959957.11</v>
      </c>
      <c r="D27" s="16" t="n">
        <v>1178626.13</v>
      </c>
      <c r="E27" s="16" t="n">
        <v>1018845.99</v>
      </c>
      <c r="F27" s="16" t="n">
        <v>846697.4</v>
      </c>
      <c r="G27" s="16" t="n">
        <v>849969.99</v>
      </c>
      <c r="H27" s="12" t="n">
        <v>868188</v>
      </c>
      <c r="I27" s="12" t="n">
        <v>903489.42</v>
      </c>
      <c r="J27" s="12" t="n">
        <v>933247.8100000001</v>
      </c>
      <c r="K27" s="12" t="n">
        <v>957237.15</v>
      </c>
    </row>
  </sheetData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Snap Inc. (SNAP) – GAAP Income Statement ($M)</t>
        </is>
      </c>
    </row>
    <row r="3">
      <c r="A3" s="2" t="inlineStr"/>
      <c r="B3" s="2" t="inlineStr">
        <is>
          <t>2019</t>
        </is>
      </c>
      <c r="C3" s="2" t="inlineStr">
        <is>
          <t>2020</t>
        </is>
      </c>
      <c r="D3" s="2" t="inlineStr">
        <is>
          <t>2021</t>
        </is>
      </c>
      <c r="E3" s="2" t="inlineStr">
        <is>
          <t>2022</t>
        </is>
      </c>
      <c r="F3" s="2" t="inlineStr">
        <is>
          <t>2023</t>
        </is>
      </c>
      <c r="G3" s="2" t="inlineStr">
        <is>
          <t>2024</t>
        </is>
      </c>
      <c r="H3" s="2" t="inlineStr">
        <is>
          <t>2025E</t>
        </is>
      </c>
      <c r="I3" s="2" t="inlineStr">
        <is>
          <t>2026E</t>
        </is>
      </c>
      <c r="J3" s="2" t="inlineStr">
        <is>
          <t>2027E</t>
        </is>
      </c>
      <c r="K3" s="2" t="inlineStr">
        <is>
          <t>2028E</t>
        </is>
      </c>
    </row>
    <row r="4">
      <c r="A4" s="3" t="inlineStr"/>
      <c r="B4" s="3" t="inlineStr">
        <is>
          <t>Historical</t>
        </is>
      </c>
      <c r="C4" s="3" t="inlineStr">
        <is>
          <t>Historical</t>
        </is>
      </c>
      <c r="D4" s="3" t="inlineStr">
        <is>
          <t>Historical</t>
        </is>
      </c>
      <c r="E4" s="3" t="inlineStr">
        <is>
          <t>Historical</t>
        </is>
      </c>
      <c r="F4" s="3" t="inlineStr">
        <is>
          <t>Historical</t>
        </is>
      </c>
      <c r="G4" s="3" t="inlineStr">
        <is>
          <t>Historical</t>
        </is>
      </c>
      <c r="H4" s="3" t="inlineStr">
        <is>
          <t>Forecast</t>
        </is>
      </c>
      <c r="I4" s="3" t="inlineStr">
        <is>
          <t>Forecast</t>
        </is>
      </c>
      <c r="J4" s="3" t="inlineStr">
        <is>
          <t>Forecast</t>
        </is>
      </c>
      <c r="K4" s="3" t="inlineStr">
        <is>
          <t>Forecast</t>
        </is>
      </c>
    </row>
    <row r="5">
      <c r="A5" s="5" t="inlineStr">
        <is>
          <t>Revenue</t>
        </is>
      </c>
      <c r="B5" s="6" t="n">
        <v>1716</v>
      </c>
      <c r="C5" s="6" t="n">
        <v>2507</v>
      </c>
      <c r="D5" s="6" t="n">
        <v>4117</v>
      </c>
      <c r="E5" s="6" t="n">
        <v>4602</v>
      </c>
      <c r="F5" s="6" t="n">
        <v>4606</v>
      </c>
      <c r="G5" s="6" t="n">
        <v>5360</v>
      </c>
      <c r="H5" s="7" t="n">
        <v>6282</v>
      </c>
      <c r="I5" s="7" t="n">
        <v>7226</v>
      </c>
      <c r="J5" s="7" t="n">
        <v>8148</v>
      </c>
      <c r="K5" s="7" t="n">
        <v>9073</v>
      </c>
    </row>
    <row r="6">
      <c r="A6" s="8" t="inlineStr">
        <is>
          <t xml:space="preserve">  YoY Growth</t>
        </is>
      </c>
      <c r="B6" s="8" t="n"/>
      <c r="C6" s="9" t="n">
        <v>0.461</v>
      </c>
      <c r="D6" s="9" t="n">
        <v>0.642</v>
      </c>
      <c r="E6" s="9" t="n">
        <v>0.118</v>
      </c>
      <c r="F6" s="9" t="n">
        <v>0.001</v>
      </c>
      <c r="G6" s="9" t="n">
        <v>0.164</v>
      </c>
      <c r="H6" s="13" t="n">
        <v>0.172</v>
      </c>
      <c r="I6" s="13" t="n">
        <v>0.15</v>
      </c>
      <c r="J6" s="13" t="n">
        <v>0.128</v>
      </c>
      <c r="K6" s="13" t="n">
        <v>0.114</v>
      </c>
    </row>
    <row r="8">
      <c r="A8" s="8" t="inlineStr">
        <is>
          <t>Cost of Revenue</t>
        </is>
      </c>
      <c r="B8" s="14" t="n">
        <v>880</v>
      </c>
      <c r="C8" s="14" t="n">
        <v>1128</v>
      </c>
      <c r="D8" s="14" t="n">
        <v>1763</v>
      </c>
      <c r="E8" s="14" t="n">
        <v>2158</v>
      </c>
      <c r="F8" s="14" t="n">
        <v>2190</v>
      </c>
      <c r="G8" s="14" t="n">
        <v>2461</v>
      </c>
      <c r="H8" s="7" t="n">
        <v>2795</v>
      </c>
      <c r="I8" s="7" t="n">
        <v>3107</v>
      </c>
      <c r="J8" s="7" t="n">
        <v>3381</v>
      </c>
      <c r="K8" s="7" t="n">
        <v>3629</v>
      </c>
    </row>
    <row r="9">
      <c r="A9" s="5" t="inlineStr">
        <is>
          <t>Gross Profit</t>
        </is>
      </c>
      <c r="B9" s="6" t="n">
        <v>836</v>
      </c>
      <c r="C9" s="6" t="n">
        <v>1379</v>
      </c>
      <c r="D9" s="6" t="n">
        <v>2354</v>
      </c>
      <c r="E9" s="6" t="n">
        <v>2444</v>
      </c>
      <c r="F9" s="6" t="n">
        <v>2416</v>
      </c>
      <c r="G9" s="6" t="n">
        <v>2899</v>
      </c>
      <c r="H9" s="7" t="n">
        <v>3487</v>
      </c>
      <c r="I9" s="7" t="n">
        <v>4119</v>
      </c>
      <c r="J9" s="7" t="n">
        <v>4767</v>
      </c>
      <c r="K9" s="7" t="n">
        <v>5444</v>
      </c>
    </row>
    <row r="10">
      <c r="A10" s="8" t="inlineStr">
        <is>
          <t xml:space="preserve">  Gross Margin</t>
        </is>
      </c>
      <c r="B10" s="9" t="n">
        <v>0.487</v>
      </c>
      <c r="C10" s="9" t="n">
        <v>0.55</v>
      </c>
      <c r="D10" s="9" t="n">
        <v>0.572</v>
      </c>
      <c r="E10" s="9" t="n">
        <v>0.531</v>
      </c>
      <c r="F10" s="9" t="n">
        <v>0.525</v>
      </c>
      <c r="G10" s="9" t="n">
        <v>0.541</v>
      </c>
      <c r="H10" s="10" t="n">
        <v>0.555</v>
      </c>
      <c r="I10" s="10" t="n">
        <v>0.57</v>
      </c>
      <c r="J10" s="10" t="n">
        <v>0.585</v>
      </c>
      <c r="K10" s="10" t="n">
        <v>0.6</v>
      </c>
    </row>
    <row r="12">
      <c r="A12" s="4" t="inlineStr">
        <is>
          <t>Operating Expenses</t>
        </is>
      </c>
    </row>
    <row r="13">
      <c r="A13" s="8" t="inlineStr">
        <is>
          <t xml:space="preserve">  Research &amp; Development</t>
        </is>
      </c>
      <c r="B13" s="14" t="n">
        <v>988</v>
      </c>
      <c r="C13" s="14" t="n">
        <v>1235</v>
      </c>
      <c r="D13" s="14" t="n">
        <v>1535</v>
      </c>
      <c r="E13" s="14" t="n">
        <v>2017</v>
      </c>
      <c r="F13" s="14" t="n">
        <v>1847</v>
      </c>
      <c r="G13" s="14" t="n">
        <v>1802</v>
      </c>
      <c r="H13" s="7" t="n">
        <v>1885</v>
      </c>
      <c r="I13" s="7" t="n">
        <v>1951</v>
      </c>
      <c r="J13" s="7" t="n">
        <v>2037</v>
      </c>
      <c r="K13" s="7" t="n">
        <v>2087</v>
      </c>
    </row>
    <row r="14">
      <c r="A14" s="8" t="inlineStr">
        <is>
          <t xml:space="preserve">    % of Revenue</t>
        </is>
      </c>
      <c r="B14" s="9" t="n">
        <v>0.576</v>
      </c>
      <c r="C14" s="9" t="n">
        <v>0.493</v>
      </c>
      <c r="D14" s="9" t="n">
        <v>0.373</v>
      </c>
      <c r="E14" s="9" t="n">
        <v>0.438</v>
      </c>
      <c r="F14" s="9" t="n">
        <v>0.401</v>
      </c>
      <c r="G14" s="9" t="n">
        <v>0.336</v>
      </c>
      <c r="H14" s="10" t="n">
        <v>0.3</v>
      </c>
      <c r="I14" s="10" t="n">
        <v>0.27</v>
      </c>
      <c r="J14" s="10" t="n">
        <v>0.25</v>
      </c>
      <c r="K14" s="10" t="n">
        <v>0.23</v>
      </c>
    </row>
    <row r="15">
      <c r="A15" s="8" t="inlineStr">
        <is>
          <t xml:space="preserve">  Sales &amp; Marketing</t>
        </is>
      </c>
      <c r="B15" s="14" t="n">
        <v>654</v>
      </c>
      <c r="C15" s="14" t="n">
        <v>794</v>
      </c>
      <c r="D15" s="14" t="n">
        <v>1168</v>
      </c>
      <c r="E15" s="14" t="n">
        <v>1424</v>
      </c>
      <c r="F15" s="14" t="n">
        <v>1284</v>
      </c>
      <c r="G15" s="14" t="n">
        <v>1281</v>
      </c>
      <c r="H15" s="7" t="n">
        <v>1319</v>
      </c>
      <c r="I15" s="7" t="n">
        <v>1373</v>
      </c>
      <c r="J15" s="7" t="n">
        <v>1467</v>
      </c>
      <c r="K15" s="7" t="n">
        <v>1542</v>
      </c>
    </row>
    <row r="16">
      <c r="A16" s="8" t="inlineStr">
        <is>
          <t xml:space="preserve">    % of Revenue</t>
        </is>
      </c>
      <c r="B16" s="9" t="n">
        <v>0.381</v>
      </c>
      <c r="C16" s="9" t="n">
        <v>0.317</v>
      </c>
      <c r="D16" s="9" t="n">
        <v>0.284</v>
      </c>
      <c r="E16" s="9" t="n">
        <v>0.309</v>
      </c>
      <c r="F16" s="9" t="n">
        <v>0.279</v>
      </c>
      <c r="G16" s="9" t="n">
        <v>0.239</v>
      </c>
      <c r="H16" s="10" t="n">
        <v>0.21</v>
      </c>
      <c r="I16" s="10" t="n">
        <v>0.19</v>
      </c>
      <c r="J16" s="10" t="n">
        <v>0.18</v>
      </c>
      <c r="K16" s="10" t="n">
        <v>0.17</v>
      </c>
    </row>
    <row r="17">
      <c r="A17" s="8" t="inlineStr">
        <is>
          <t xml:space="preserve">  General &amp; Administrative</t>
        </is>
      </c>
      <c r="B17" s="14" t="n">
        <v>363</v>
      </c>
      <c r="C17" s="14" t="n">
        <v>421</v>
      </c>
      <c r="D17" s="14" t="n">
        <v>507</v>
      </c>
      <c r="E17" s="14" t="n">
        <v>641</v>
      </c>
      <c r="F17" s="14" t="n">
        <v>614</v>
      </c>
      <c r="G17" s="14" t="n">
        <v>582</v>
      </c>
      <c r="H17" s="7" t="n">
        <v>597</v>
      </c>
      <c r="I17" s="7" t="n">
        <v>636</v>
      </c>
      <c r="J17" s="7" t="n">
        <v>668</v>
      </c>
      <c r="K17" s="7" t="n">
        <v>708</v>
      </c>
    </row>
    <row r="18">
      <c r="A18" s="8" t="inlineStr">
        <is>
          <t xml:space="preserve">    % of Revenue</t>
        </is>
      </c>
      <c r="B18" s="9" t="n">
        <v>0.212</v>
      </c>
      <c r="C18" s="9" t="n">
        <v>0.168</v>
      </c>
      <c r="D18" s="9" t="n">
        <v>0.123</v>
      </c>
      <c r="E18" s="9" t="n">
        <v>0.139</v>
      </c>
      <c r="F18" s="9" t="n">
        <v>0.133</v>
      </c>
      <c r="G18" s="9" t="n">
        <v>0.109</v>
      </c>
      <c r="H18" s="10" t="n">
        <v>0.095</v>
      </c>
      <c r="I18" s="10" t="n">
        <v>0.08799999999999999</v>
      </c>
      <c r="J18" s="10" t="n">
        <v>0.082</v>
      </c>
      <c r="K18" s="10" t="n">
        <v>0.078</v>
      </c>
    </row>
    <row r="19">
      <c r="A19" s="5" t="inlineStr">
        <is>
          <t>Total Operating Expenses</t>
        </is>
      </c>
      <c r="B19" s="6" t="n">
        <v>2005</v>
      </c>
      <c r="C19" s="6" t="n">
        <v>2450</v>
      </c>
      <c r="D19" s="6" t="n">
        <v>3210</v>
      </c>
      <c r="E19" s="6" t="n">
        <v>4082</v>
      </c>
      <c r="F19" s="6" t="n">
        <v>3745</v>
      </c>
      <c r="G19" s="6" t="n">
        <v>3665</v>
      </c>
      <c r="H19" s="7" t="n">
        <v>3801</v>
      </c>
      <c r="I19" s="7" t="n">
        <v>3960</v>
      </c>
      <c r="J19" s="7" t="n">
        <v>4172</v>
      </c>
      <c r="K19" s="7" t="n">
        <v>4337</v>
      </c>
    </row>
    <row r="20">
      <c r="A20" s="8" t="inlineStr">
        <is>
          <t xml:space="preserve">    % of Revenue</t>
        </is>
      </c>
      <c r="B20" s="9" t="n">
        <v>1.168</v>
      </c>
      <c r="C20" s="9" t="n">
        <v>0.977</v>
      </c>
      <c r="D20" s="9" t="n">
        <v>0.78</v>
      </c>
      <c r="E20" s="9" t="n">
        <v>0.887</v>
      </c>
      <c r="F20" s="9" t="n">
        <v>0.8129999999999999</v>
      </c>
      <c r="G20" s="9" t="n">
        <v>0.6840000000000001</v>
      </c>
      <c r="H20" s="13" t="n">
        <v>0.605</v>
      </c>
      <c r="I20" s="13" t="n">
        <v>0.548</v>
      </c>
      <c r="J20" s="13" t="n">
        <v>0.512</v>
      </c>
      <c r="K20" s="13" t="n">
        <v>0.478</v>
      </c>
    </row>
    <row r="22">
      <c r="A22" s="5" t="inlineStr">
        <is>
          <t>Operating Income (Loss)</t>
        </is>
      </c>
      <c r="B22" s="6" t="n">
        <v>-1169</v>
      </c>
      <c r="C22" s="6" t="n">
        <v>-1071</v>
      </c>
      <c r="D22" s="6" t="n">
        <v>-856</v>
      </c>
      <c r="E22" s="6" t="n">
        <v>-1638</v>
      </c>
      <c r="F22" s="6" t="n">
        <v>-1329</v>
      </c>
      <c r="G22" s="6" t="n">
        <v>-766</v>
      </c>
      <c r="H22" s="7" t="n">
        <v>-314</v>
      </c>
      <c r="I22" s="7" t="n">
        <v>159</v>
      </c>
      <c r="J22" s="7" t="n">
        <v>595</v>
      </c>
      <c r="K22" s="7" t="n">
        <v>1107</v>
      </c>
    </row>
    <row r="23">
      <c r="A23" s="8" t="inlineStr">
        <is>
          <t xml:space="preserve">  Operating Margin</t>
        </is>
      </c>
      <c r="B23" s="9" t="n">
        <v>-0.681</v>
      </c>
      <c r="C23" s="9" t="n">
        <v>-0.427</v>
      </c>
      <c r="D23" s="9" t="n">
        <v>-0.208</v>
      </c>
      <c r="E23" s="9" t="n">
        <v>-0.356</v>
      </c>
      <c r="F23" s="9" t="n">
        <v>-0.289</v>
      </c>
      <c r="G23" s="9" t="n">
        <v>-0.143</v>
      </c>
      <c r="H23" s="13" t="n">
        <v>-0.05</v>
      </c>
      <c r="I23" s="13" t="n">
        <v>0.022</v>
      </c>
      <c r="J23" s="13" t="n">
        <v>0.073</v>
      </c>
      <c r="K23" s="13" t="n">
        <v>0.122</v>
      </c>
    </row>
    <row r="25">
      <c r="A25" s="8" t="inlineStr">
        <is>
          <t>Memo: Stock-Based Compensation</t>
        </is>
      </c>
      <c r="B25" s="14" t="n">
        <v>600</v>
      </c>
      <c r="C25" s="14" t="n">
        <v>770</v>
      </c>
      <c r="D25" s="14" t="n">
        <v>1096</v>
      </c>
      <c r="E25" s="14" t="n">
        <v>1538</v>
      </c>
      <c r="F25" s="14" t="n">
        <v>1376</v>
      </c>
      <c r="G25" s="14" t="n">
        <v>1296</v>
      </c>
      <c r="H25" s="7" t="n">
        <v>1256</v>
      </c>
      <c r="I25" s="7" t="n">
        <v>1228</v>
      </c>
      <c r="J25" s="7" t="n">
        <v>1222</v>
      </c>
      <c r="K25" s="7" t="n">
        <v>1179</v>
      </c>
    </row>
    <row r="26">
      <c r="A26" s="8" t="inlineStr">
        <is>
          <t xml:space="preserve">  SBC % of Revenue</t>
        </is>
      </c>
      <c r="B26" s="9" t="n">
        <v>0.35</v>
      </c>
      <c r="C26" s="9" t="n">
        <v>0.307</v>
      </c>
      <c r="D26" s="9" t="n">
        <v>0.266</v>
      </c>
      <c r="E26" s="9" t="n">
        <v>0.334</v>
      </c>
      <c r="F26" s="9" t="n">
        <v>0.299</v>
      </c>
      <c r="G26" s="9" t="n">
        <v>0.242</v>
      </c>
      <c r="H26" s="10" t="n">
        <v>0.2</v>
      </c>
      <c r="I26" s="10" t="n">
        <v>0.17</v>
      </c>
      <c r="J26" s="10" t="n">
        <v>0.15</v>
      </c>
      <c r="K26" s="10" t="n">
        <v>0.13</v>
      </c>
    </row>
    <row r="28">
      <c r="A28" s="8" t="inlineStr">
        <is>
          <t>Depreciation &amp; Amortization</t>
        </is>
      </c>
      <c r="B28" s="14" t="n">
        <v>81</v>
      </c>
      <c r="C28" s="14" t="n">
        <v>107</v>
      </c>
      <c r="D28" s="14" t="n">
        <v>140</v>
      </c>
      <c r="E28" s="14" t="n">
        <v>185</v>
      </c>
      <c r="F28" s="14" t="n">
        <v>200</v>
      </c>
      <c r="G28" s="14" t="n">
        <v>215</v>
      </c>
      <c r="H28" s="7" t="n">
        <v>225</v>
      </c>
      <c r="I28" s="7" t="n">
        <v>240</v>
      </c>
      <c r="J28" s="7" t="n">
        <v>255</v>
      </c>
      <c r="K28" s="7" t="n">
        <v>270</v>
      </c>
    </row>
    <row r="29">
      <c r="A29" s="5" t="inlineStr">
        <is>
          <t>EBITDA</t>
        </is>
      </c>
      <c r="B29" s="6" t="n">
        <v>-1088</v>
      </c>
      <c r="C29" s="6" t="n">
        <v>-964</v>
      </c>
      <c r="D29" s="6" t="n">
        <v>-716</v>
      </c>
      <c r="E29" s="6" t="n">
        <v>-1453</v>
      </c>
      <c r="F29" s="6" t="n">
        <v>-1129</v>
      </c>
      <c r="G29" s="6" t="n">
        <v>-551</v>
      </c>
      <c r="H29" s="7" t="n">
        <v>-89</v>
      </c>
      <c r="I29" s="7" t="n">
        <v>399</v>
      </c>
      <c r="J29" s="7" t="n">
        <v>850</v>
      </c>
      <c r="K29" s="7" t="n">
        <v>1377</v>
      </c>
    </row>
    <row r="30">
      <c r="A30" s="8" t="inlineStr">
        <is>
          <t xml:space="preserve">  EBITDA Margin</t>
        </is>
      </c>
      <c r="B30" s="9" t="n">
        <v>-0.634</v>
      </c>
      <c r="C30" s="9" t="n">
        <v>-0.385</v>
      </c>
      <c r="D30" s="9" t="n">
        <v>-0.174</v>
      </c>
      <c r="E30" s="9" t="n">
        <v>-0.316</v>
      </c>
      <c r="F30" s="9" t="n">
        <v>-0.245</v>
      </c>
      <c r="G30" s="9" t="n">
        <v>-0.103</v>
      </c>
      <c r="H30" s="13" t="n">
        <v>-0.014</v>
      </c>
      <c r="I30" s="13" t="n">
        <v>0.055</v>
      </c>
      <c r="J30" s="13" t="n">
        <v>0.104</v>
      </c>
      <c r="K30" s="13" t="n">
        <v>0.152</v>
      </c>
    </row>
    <row r="32">
      <c r="A32" s="8" t="inlineStr">
        <is>
          <t>Interest &amp; Other Income (Exp)</t>
        </is>
      </c>
      <c r="B32" s="14" t="n">
        <v>-51</v>
      </c>
      <c r="C32" s="14" t="n">
        <v>-88</v>
      </c>
      <c r="D32" s="14" t="n">
        <v>-89</v>
      </c>
      <c r="E32" s="14" t="n">
        <v>-87</v>
      </c>
      <c r="F32" s="14" t="n">
        <v>-100</v>
      </c>
      <c r="G32" s="14" t="n">
        <v>-95</v>
      </c>
      <c r="H32" s="7" t="n">
        <v>-90</v>
      </c>
      <c r="I32" s="7" t="n">
        <v>-85</v>
      </c>
      <c r="J32" s="7" t="n">
        <v>-80</v>
      </c>
      <c r="K32" s="7" t="n">
        <v>-75</v>
      </c>
    </row>
    <row r="33">
      <c r="A33" s="5" t="inlineStr">
        <is>
          <t>Pre-Tax Income (Loss)</t>
        </is>
      </c>
      <c r="B33" s="6" t="n">
        <v>-1220</v>
      </c>
      <c r="C33" s="6" t="n">
        <v>-1159</v>
      </c>
      <c r="D33" s="6" t="n">
        <v>-945</v>
      </c>
      <c r="E33" s="6" t="n">
        <v>-1725</v>
      </c>
      <c r="F33" s="6" t="n">
        <v>-1429</v>
      </c>
      <c r="G33" s="6" t="n">
        <v>-861</v>
      </c>
      <c r="H33" s="7" t="n">
        <v>-404</v>
      </c>
      <c r="I33" s="7" t="n">
        <v>74</v>
      </c>
      <c r="J33" s="7" t="n">
        <v>515</v>
      </c>
      <c r="K33" s="7" t="n">
        <v>1032</v>
      </c>
    </row>
    <row r="34">
      <c r="A34" s="8" t="inlineStr">
        <is>
          <t>Income Tax Provision</t>
        </is>
      </c>
      <c r="B34" s="14" t="n">
        <v>5</v>
      </c>
      <c r="C34" s="14" t="n">
        <v>7</v>
      </c>
      <c r="D34" s="14" t="n">
        <v>14</v>
      </c>
      <c r="E34" s="14" t="n">
        <v>20</v>
      </c>
      <c r="F34" s="14" t="n">
        <v>25</v>
      </c>
      <c r="G34" s="14" t="n">
        <v>28</v>
      </c>
      <c r="H34" s="7" t="n">
        <v>0</v>
      </c>
      <c r="I34" s="7" t="n">
        <v>5</v>
      </c>
      <c r="J34" s="7" t="n">
        <v>52</v>
      </c>
      <c r="K34" s="7" t="n">
        <v>124</v>
      </c>
    </row>
    <row r="35">
      <c r="A35" s="8" t="inlineStr">
        <is>
          <t xml:space="preserve">  Effective Tax Rate</t>
        </is>
      </c>
      <c r="B35" s="9" t="n">
        <v>0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13" t="n">
        <v>0</v>
      </c>
      <c r="I35" s="13" t="n">
        <v>0.068</v>
      </c>
      <c r="J35" s="13" t="n">
        <v>0.101</v>
      </c>
      <c r="K35" s="13" t="n">
        <v>0.12</v>
      </c>
    </row>
    <row r="37">
      <c r="A37" s="5" t="inlineStr">
        <is>
          <t>Net Income (Loss)</t>
        </is>
      </c>
      <c r="B37" s="6" t="n">
        <v>-1225</v>
      </c>
      <c r="C37" s="6" t="n">
        <v>-1166</v>
      </c>
      <c r="D37" s="6" t="n">
        <v>-959</v>
      </c>
      <c r="E37" s="6" t="n">
        <v>-1745</v>
      </c>
      <c r="F37" s="6" t="n">
        <v>-1454</v>
      </c>
      <c r="G37" s="6" t="n">
        <v>-889</v>
      </c>
      <c r="H37" s="7" t="n">
        <v>-404</v>
      </c>
      <c r="I37" s="7" t="n">
        <v>69</v>
      </c>
      <c r="J37" s="7" t="n">
        <v>463</v>
      </c>
      <c r="K37" s="7" t="n">
        <v>908</v>
      </c>
    </row>
    <row r="39">
      <c r="A39" s="8" t="inlineStr">
        <is>
          <t>Diluted Shares Outstanding (M)</t>
        </is>
      </c>
      <c r="B39" s="14" t="n">
        <v>1500</v>
      </c>
      <c r="C39" s="14" t="n">
        <v>1548</v>
      </c>
      <c r="D39" s="14" t="n">
        <v>1620</v>
      </c>
      <c r="E39" s="14" t="n">
        <v>1660</v>
      </c>
      <c r="F39" s="14" t="n">
        <v>1676</v>
      </c>
      <c r="G39" s="14" t="n">
        <v>1690</v>
      </c>
      <c r="H39" s="7" t="n">
        <v>1710</v>
      </c>
      <c r="I39" s="7" t="n">
        <v>1726</v>
      </c>
      <c r="J39" s="7" t="n">
        <v>1742</v>
      </c>
      <c r="K39" s="7" t="n">
        <v>1758</v>
      </c>
    </row>
    <row r="40">
      <c r="A40" s="8" t="inlineStr">
        <is>
          <t>Diluted EPS</t>
        </is>
      </c>
      <c r="B40" s="16" t="n">
        <v>-0.82</v>
      </c>
      <c r="C40" s="16" t="n">
        <v>-0.75</v>
      </c>
      <c r="D40" s="16" t="n">
        <v>-0.59</v>
      </c>
      <c r="E40" s="16" t="n">
        <v>-1.05</v>
      </c>
      <c r="F40" s="16" t="n">
        <v>-0.87</v>
      </c>
      <c r="G40" s="16" t="n">
        <v>-0.53</v>
      </c>
      <c r="H40" s="12" t="n">
        <v>-0.24</v>
      </c>
      <c r="I40" s="12" t="n">
        <v>0.04</v>
      </c>
      <c r="J40" s="12" t="n">
        <v>0.27</v>
      </c>
      <c r="K40" s="12" t="n">
        <v>0.52</v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Snap Inc. (SNAP) – Balance Sheet ($M)</t>
        </is>
      </c>
    </row>
    <row r="3">
      <c r="A3" s="2" t="inlineStr"/>
      <c r="B3" s="2" t="inlineStr">
        <is>
          <t>2019</t>
        </is>
      </c>
      <c r="C3" s="2" t="inlineStr">
        <is>
          <t>2020</t>
        </is>
      </c>
      <c r="D3" s="2" t="inlineStr">
        <is>
          <t>2021</t>
        </is>
      </c>
      <c r="E3" s="2" t="inlineStr">
        <is>
          <t>2022</t>
        </is>
      </c>
      <c r="F3" s="2" t="inlineStr">
        <is>
          <t>2023</t>
        </is>
      </c>
      <c r="G3" s="2" t="inlineStr">
        <is>
          <t>2024</t>
        </is>
      </c>
      <c r="H3" s="2" t="inlineStr">
        <is>
          <t>2025E</t>
        </is>
      </c>
      <c r="I3" s="2" t="inlineStr">
        <is>
          <t>2026E</t>
        </is>
      </c>
      <c r="J3" s="2" t="inlineStr">
        <is>
          <t>2027E</t>
        </is>
      </c>
      <c r="K3" s="2" t="inlineStr">
        <is>
          <t>2028E</t>
        </is>
      </c>
    </row>
    <row r="4">
      <c r="A4" s="3" t="inlineStr"/>
      <c r="B4" s="3" t="inlineStr">
        <is>
          <t>Historical</t>
        </is>
      </c>
      <c r="C4" s="3" t="inlineStr">
        <is>
          <t>Historical</t>
        </is>
      </c>
      <c r="D4" s="3" t="inlineStr">
        <is>
          <t>Historical</t>
        </is>
      </c>
      <c r="E4" s="3" t="inlineStr">
        <is>
          <t>Historical</t>
        </is>
      </c>
      <c r="F4" s="3" t="inlineStr">
        <is>
          <t>Historical</t>
        </is>
      </c>
      <c r="G4" s="3" t="inlineStr">
        <is>
          <t>Historical</t>
        </is>
      </c>
      <c r="H4" s="3" t="inlineStr">
        <is>
          <t>Forecast</t>
        </is>
      </c>
      <c r="I4" s="3" t="inlineStr">
        <is>
          <t>Forecast</t>
        </is>
      </c>
      <c r="J4" s="3" t="inlineStr">
        <is>
          <t>Forecast</t>
        </is>
      </c>
      <c r="K4" s="3" t="inlineStr">
        <is>
          <t>Forecast</t>
        </is>
      </c>
    </row>
    <row r="5">
      <c r="A5" s="4" t="inlineStr">
        <is>
          <t>ASSETS</t>
        </is>
      </c>
    </row>
    <row r="6">
      <c r="A6" s="8" t="inlineStr">
        <is>
          <t>Cash &amp; Equivalents</t>
        </is>
      </c>
      <c r="B6" s="14" t="n">
        <v>2024</v>
      </c>
      <c r="C6" s="14" t="n">
        <v>2768</v>
      </c>
      <c r="D6" s="14" t="n">
        <v>3506</v>
      </c>
      <c r="E6" s="14" t="n">
        <v>3938</v>
      </c>
      <c r="F6" s="14" t="n">
        <v>3374</v>
      </c>
      <c r="G6" s="14" t="n">
        <v>3205</v>
      </c>
      <c r="H6" s="7" t="n">
        <v>3967</v>
      </c>
      <c r="I6" s="7" t="n">
        <v>5189</v>
      </c>
      <c r="J6" s="7" t="n">
        <v>6764</v>
      </c>
      <c r="K6" s="7" t="n">
        <v>8706</v>
      </c>
    </row>
    <row r="7">
      <c r="A7" s="8" t="inlineStr">
        <is>
          <t>Accounts Receivable</t>
        </is>
      </c>
      <c r="B7" s="14" t="n">
        <v>548</v>
      </c>
      <c r="C7" s="14" t="n">
        <v>737</v>
      </c>
      <c r="D7" s="14" t="n">
        <v>1068</v>
      </c>
      <c r="E7" s="14" t="n">
        <v>995</v>
      </c>
      <c r="F7" s="14" t="n">
        <v>1109</v>
      </c>
      <c r="G7" s="14" t="n">
        <v>1230</v>
      </c>
      <c r="H7" s="7" t="n">
        <v>1377</v>
      </c>
      <c r="I7" s="7" t="n">
        <v>1584</v>
      </c>
      <c r="J7" s="7" t="n">
        <v>1786</v>
      </c>
      <c r="K7" s="7" t="n">
        <v>1989</v>
      </c>
    </row>
    <row r="8">
      <c r="A8" s="8" t="inlineStr">
        <is>
          <t>Other Current Assets</t>
        </is>
      </c>
      <c r="B8" s="14" t="n">
        <v>174</v>
      </c>
      <c r="C8" s="14" t="n">
        <v>200</v>
      </c>
      <c r="D8" s="14" t="n">
        <v>201</v>
      </c>
      <c r="E8" s="14" t="n">
        <v>182</v>
      </c>
      <c r="F8" s="14" t="n">
        <v>217</v>
      </c>
      <c r="G8" s="14" t="n">
        <v>215</v>
      </c>
      <c r="H8" s="7" t="n">
        <v>200</v>
      </c>
      <c r="I8" s="7" t="n">
        <v>200</v>
      </c>
      <c r="J8" s="7" t="n">
        <v>200</v>
      </c>
      <c r="K8" s="7" t="n">
        <v>200</v>
      </c>
    </row>
    <row r="9">
      <c r="A9" s="5" t="inlineStr">
        <is>
          <t>Total Current Assets</t>
        </is>
      </c>
      <c r="B9" s="6" t="n">
        <v>2746</v>
      </c>
      <c r="C9" s="6" t="n">
        <v>3705</v>
      </c>
      <c r="D9" s="6" t="n">
        <v>4775</v>
      </c>
      <c r="E9" s="6" t="n">
        <v>5115</v>
      </c>
      <c r="F9" s="6" t="n">
        <v>4700</v>
      </c>
      <c r="G9" s="6" t="n">
        <v>4650</v>
      </c>
      <c r="H9" s="7" t="n">
        <v>5544</v>
      </c>
      <c r="I9" s="7" t="n">
        <v>6973</v>
      </c>
      <c r="J9" s="7" t="n">
        <v>8750</v>
      </c>
      <c r="K9" s="7" t="n">
        <v>10895</v>
      </c>
    </row>
    <row r="11">
      <c r="A11" s="8" t="inlineStr">
        <is>
          <t>PP&amp;E, net</t>
        </is>
      </c>
      <c r="B11" s="14" t="n">
        <v>204</v>
      </c>
      <c r="C11" s="14" t="n">
        <v>258</v>
      </c>
      <c r="D11" s="14" t="n">
        <v>339</v>
      </c>
      <c r="E11" s="14" t="n">
        <v>452</v>
      </c>
      <c r="F11" s="14" t="n">
        <v>430</v>
      </c>
      <c r="G11" s="14" t="n">
        <v>400</v>
      </c>
      <c r="H11" s="7" t="n">
        <v>390</v>
      </c>
      <c r="I11" s="7" t="n">
        <v>385</v>
      </c>
      <c r="J11" s="7" t="n">
        <v>380</v>
      </c>
      <c r="K11" s="7" t="n">
        <v>375</v>
      </c>
    </row>
    <row r="12">
      <c r="A12" s="8" t="inlineStr">
        <is>
          <t>Intangible Assets</t>
        </is>
      </c>
      <c r="B12" s="14" t="n">
        <v>181</v>
      </c>
      <c r="C12" s="14" t="n">
        <v>182</v>
      </c>
      <c r="D12" s="14" t="n">
        <v>411</v>
      </c>
      <c r="E12" s="14" t="n">
        <v>440</v>
      </c>
      <c r="F12" s="14" t="n">
        <v>395</v>
      </c>
      <c r="G12" s="14" t="n">
        <v>360</v>
      </c>
      <c r="H12" s="7" t="n">
        <v>340</v>
      </c>
      <c r="I12" s="7" t="n">
        <v>320</v>
      </c>
      <c r="J12" s="7" t="n">
        <v>300</v>
      </c>
      <c r="K12" s="7" t="n">
        <v>280</v>
      </c>
    </row>
    <row r="13">
      <c r="A13" s="8" t="inlineStr">
        <is>
          <t>ROU / Lease Assets</t>
        </is>
      </c>
      <c r="B13" s="14" t="n">
        <v>250</v>
      </c>
      <c r="C13" s="14" t="n">
        <v>280</v>
      </c>
      <c r="D13" s="14" t="n">
        <v>310</v>
      </c>
      <c r="E13" s="14" t="n">
        <v>350</v>
      </c>
      <c r="F13" s="14" t="n">
        <v>360</v>
      </c>
      <c r="G13" s="14" t="n">
        <v>370</v>
      </c>
      <c r="H13" s="7" t="n">
        <v>375</v>
      </c>
      <c r="I13" s="7" t="n">
        <v>380</v>
      </c>
      <c r="J13" s="7" t="n">
        <v>385</v>
      </c>
      <c r="K13" s="7" t="n">
        <v>390</v>
      </c>
    </row>
    <row r="14">
      <c r="A14" s="8" t="inlineStr">
        <is>
          <t>Other Long-Term Assets</t>
        </is>
      </c>
      <c r="B14" s="14" t="n">
        <v>150</v>
      </c>
      <c r="C14" s="14" t="n">
        <v>180</v>
      </c>
      <c r="D14" s="14" t="n">
        <v>250</v>
      </c>
      <c r="E14" s="14" t="n">
        <v>310</v>
      </c>
      <c r="F14" s="14" t="n">
        <v>330</v>
      </c>
      <c r="G14" s="14" t="n">
        <v>350</v>
      </c>
      <c r="H14" s="7" t="n">
        <v>360</v>
      </c>
      <c r="I14" s="7" t="n">
        <v>370</v>
      </c>
      <c r="J14" s="7" t="n">
        <v>380</v>
      </c>
      <c r="K14" s="7" t="n">
        <v>390</v>
      </c>
    </row>
    <row r="15">
      <c r="A15" s="17" t="inlineStr">
        <is>
          <t>Total Assets</t>
        </is>
      </c>
      <c r="B15" s="18" t="n">
        <v>3531</v>
      </c>
      <c r="C15" s="18" t="n">
        <v>4605</v>
      </c>
      <c r="D15" s="18" t="n">
        <v>6085</v>
      </c>
      <c r="E15" s="18" t="n">
        <v>6667</v>
      </c>
      <c r="F15" s="18" t="n">
        <v>6215</v>
      </c>
      <c r="G15" s="18" t="n">
        <v>6130</v>
      </c>
      <c r="H15" s="19" t="n">
        <v>7009</v>
      </c>
      <c r="I15" s="19" t="n">
        <v>8428</v>
      </c>
      <c r="J15" s="19" t="n">
        <v>10195</v>
      </c>
      <c r="K15" s="19" t="n">
        <v>12330</v>
      </c>
    </row>
    <row r="17">
      <c r="A17" s="4" t="inlineStr">
        <is>
          <t>LIABILITIES</t>
        </is>
      </c>
    </row>
    <row r="18">
      <c r="A18" s="8" t="inlineStr">
        <is>
          <t>Accounts Payable</t>
        </is>
      </c>
      <c r="B18" s="14" t="n">
        <v>120</v>
      </c>
      <c r="C18" s="14" t="n">
        <v>155</v>
      </c>
      <c r="D18" s="14" t="n">
        <v>245</v>
      </c>
      <c r="E18" s="14" t="n">
        <v>265</v>
      </c>
      <c r="F18" s="14" t="n">
        <v>280</v>
      </c>
      <c r="G18" s="14" t="n">
        <v>295</v>
      </c>
      <c r="H18" s="7" t="n">
        <v>322</v>
      </c>
      <c r="I18" s="7" t="n">
        <v>358</v>
      </c>
      <c r="J18" s="7" t="n">
        <v>389</v>
      </c>
      <c r="K18" s="7" t="n">
        <v>418</v>
      </c>
    </row>
    <row r="19">
      <c r="A19" s="8" t="inlineStr">
        <is>
          <t>Accrued Liabilities</t>
        </is>
      </c>
      <c r="B19" s="14" t="n">
        <v>350</v>
      </c>
      <c r="C19" s="14" t="n">
        <v>430</v>
      </c>
      <c r="D19" s="14" t="n">
        <v>620</v>
      </c>
      <c r="E19" s="14" t="n">
        <v>705</v>
      </c>
      <c r="F19" s="14" t="n">
        <v>680</v>
      </c>
      <c r="G19" s="14" t="n">
        <v>720</v>
      </c>
      <c r="H19" s="7" t="n">
        <v>754</v>
      </c>
      <c r="I19" s="7" t="n">
        <v>867</v>
      </c>
      <c r="J19" s="7" t="n">
        <v>978</v>
      </c>
      <c r="K19" s="7" t="n">
        <v>1089</v>
      </c>
    </row>
    <row r="20">
      <c r="A20" s="8" t="inlineStr">
        <is>
          <t>Deferred Revenue</t>
        </is>
      </c>
      <c r="B20" s="14" t="n">
        <v>25</v>
      </c>
      <c r="C20" s="14" t="n">
        <v>30</v>
      </c>
      <c r="D20" s="14" t="n">
        <v>35</v>
      </c>
      <c r="E20" s="14" t="n">
        <v>40</v>
      </c>
      <c r="F20" s="14" t="n">
        <v>42</v>
      </c>
      <c r="G20" s="14" t="n">
        <v>45</v>
      </c>
      <c r="H20" s="7" t="n">
        <v>44</v>
      </c>
      <c r="I20" s="7" t="n">
        <v>51</v>
      </c>
      <c r="J20" s="7" t="n">
        <v>57</v>
      </c>
      <c r="K20" s="7" t="n">
        <v>64</v>
      </c>
    </row>
    <row r="21">
      <c r="A21" s="8" t="inlineStr">
        <is>
          <t>Other Current Liabilities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7" t="n">
        <v>100</v>
      </c>
      <c r="I21" s="7" t="n">
        <v>100</v>
      </c>
      <c r="J21" s="7" t="n">
        <v>100</v>
      </c>
      <c r="K21" s="7" t="n">
        <v>100</v>
      </c>
    </row>
    <row r="22">
      <c r="A22" s="5" t="inlineStr">
        <is>
          <t>Total Current Liabilities</t>
        </is>
      </c>
      <c r="B22" s="6" t="n">
        <v>495</v>
      </c>
      <c r="C22" s="6" t="n">
        <v>615</v>
      </c>
      <c r="D22" s="6" t="n">
        <v>900</v>
      </c>
      <c r="E22" s="6" t="n">
        <v>1010</v>
      </c>
      <c r="F22" s="6" t="n">
        <v>1002</v>
      </c>
      <c r="G22" s="6" t="n">
        <v>1060</v>
      </c>
      <c r="H22" s="7" t="n">
        <v>1220</v>
      </c>
      <c r="I22" s="7" t="n">
        <v>1376</v>
      </c>
      <c r="J22" s="7" t="n">
        <v>1524</v>
      </c>
      <c r="K22" s="7" t="n">
        <v>1671</v>
      </c>
    </row>
    <row r="24">
      <c r="A24" s="8" t="inlineStr">
        <is>
          <t>Long-Term Debt</t>
        </is>
      </c>
      <c r="B24" s="14" t="n">
        <v>1485</v>
      </c>
      <c r="C24" s="14" t="n">
        <v>2190</v>
      </c>
      <c r="D24" s="14" t="n">
        <v>3745</v>
      </c>
      <c r="E24" s="14" t="n">
        <v>3745</v>
      </c>
      <c r="F24" s="14" t="n">
        <v>3745</v>
      </c>
      <c r="G24" s="14" t="n">
        <v>3745</v>
      </c>
      <c r="H24" s="7" t="n">
        <v>3745</v>
      </c>
      <c r="I24" s="7" t="n">
        <v>3745</v>
      </c>
      <c r="J24" s="7" t="n">
        <v>3745</v>
      </c>
      <c r="K24" s="7" t="n">
        <v>3745</v>
      </c>
    </row>
    <row r="25">
      <c r="A25" s="8" t="inlineStr">
        <is>
          <t>Lease Liabilities (LT)</t>
        </is>
      </c>
      <c r="B25" s="14" t="n">
        <v>220</v>
      </c>
      <c r="C25" s="14" t="n">
        <v>260</v>
      </c>
      <c r="D25" s="14" t="n">
        <v>300</v>
      </c>
      <c r="E25" s="14" t="n">
        <v>340</v>
      </c>
      <c r="F25" s="14" t="n">
        <v>350</v>
      </c>
      <c r="G25" s="14" t="n">
        <v>360</v>
      </c>
      <c r="H25" s="7" t="n">
        <v>365</v>
      </c>
      <c r="I25" s="7" t="n">
        <v>370</v>
      </c>
      <c r="J25" s="7" t="n">
        <v>375</v>
      </c>
      <c r="K25" s="7" t="n">
        <v>380</v>
      </c>
    </row>
    <row r="26">
      <c r="A26" s="8" t="inlineStr">
        <is>
          <t>Other Long-Term Liabilities</t>
        </is>
      </c>
      <c r="B26" s="14" t="n">
        <v>80</v>
      </c>
      <c r="C26" s="14" t="n">
        <v>95</v>
      </c>
      <c r="D26" s="14" t="n">
        <v>120</v>
      </c>
      <c r="E26" s="14" t="n">
        <v>140</v>
      </c>
      <c r="F26" s="14" t="n">
        <v>150</v>
      </c>
      <c r="G26" s="14" t="n">
        <v>155</v>
      </c>
      <c r="H26" s="7" t="n">
        <v>160</v>
      </c>
      <c r="I26" s="7" t="n">
        <v>165</v>
      </c>
      <c r="J26" s="7" t="n">
        <v>170</v>
      </c>
      <c r="K26" s="7" t="n">
        <v>175</v>
      </c>
    </row>
    <row r="27">
      <c r="A27" s="5" t="inlineStr">
        <is>
          <t>Total Liabilities</t>
        </is>
      </c>
      <c r="B27" s="6" t="n">
        <v>2280</v>
      </c>
      <c r="C27" s="6" t="n">
        <v>3160</v>
      </c>
      <c r="D27" s="6" t="n">
        <v>5065</v>
      </c>
      <c r="E27" s="6" t="n">
        <v>5235</v>
      </c>
      <c r="F27" s="6" t="n">
        <v>5247</v>
      </c>
      <c r="G27" s="6" t="n">
        <v>5320</v>
      </c>
      <c r="H27" s="7" t="n">
        <v>5490</v>
      </c>
      <c r="I27" s="7" t="n">
        <v>5656</v>
      </c>
      <c r="J27" s="7" t="n">
        <v>5814</v>
      </c>
      <c r="K27" s="7" t="n">
        <v>5971</v>
      </c>
    </row>
    <row r="29">
      <c r="A29" s="4" t="inlineStr">
        <is>
          <t>STOCKHOLDERS' EQUITY</t>
        </is>
      </c>
    </row>
    <row r="30">
      <c r="A30" s="5" t="inlineStr">
        <is>
          <t>Total Stockholders' Equity</t>
        </is>
      </c>
      <c r="B30" s="6" t="n">
        <v>1251</v>
      </c>
      <c r="C30" s="6" t="n">
        <v>1445</v>
      </c>
      <c r="D30" s="6" t="n">
        <v>1020</v>
      </c>
      <c r="E30" s="6" t="n">
        <v>1432</v>
      </c>
      <c r="F30" s="6" t="n">
        <v>968</v>
      </c>
      <c r="G30" s="6" t="n">
        <v>810</v>
      </c>
      <c r="H30" s="7" t="n">
        <v>1519</v>
      </c>
      <c r="I30" s="7" t="n">
        <v>2772</v>
      </c>
      <c r="J30" s="7" t="n">
        <v>4381</v>
      </c>
      <c r="K30" s="7" t="n">
        <v>6359</v>
      </c>
    </row>
    <row r="31">
      <c r="A31" s="17" t="inlineStr">
        <is>
          <t>Total Liabilities &amp; Equity</t>
        </is>
      </c>
      <c r="B31" s="18" t="n">
        <v>3531</v>
      </c>
      <c r="C31" s="18" t="n">
        <v>4605</v>
      </c>
      <c r="D31" s="18" t="n">
        <v>6085</v>
      </c>
      <c r="E31" s="18" t="n">
        <v>6667</v>
      </c>
      <c r="F31" s="18" t="n">
        <v>6215</v>
      </c>
      <c r="G31" s="18" t="n">
        <v>6130</v>
      </c>
      <c r="H31" s="19" t="n">
        <v>7009</v>
      </c>
      <c r="I31" s="19" t="n">
        <v>8428</v>
      </c>
      <c r="J31" s="19" t="n">
        <v>10195</v>
      </c>
      <c r="K31" s="19" t="n">
        <v>12330</v>
      </c>
    </row>
    <row r="33">
      <c r="A33" s="8" t="inlineStr">
        <is>
          <t>Balance Check (should = 0)</t>
        </is>
      </c>
      <c r="B33" s="14" t="n">
        <v>0</v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Snap Inc. (SNAP) – Cash Flow Statement &amp; GAAP OpLoss → FCF Bridge ($M)</t>
        </is>
      </c>
    </row>
    <row r="3">
      <c r="A3" s="2" t="inlineStr"/>
      <c r="B3" s="2" t="inlineStr">
        <is>
          <t>2019</t>
        </is>
      </c>
      <c r="C3" s="2" t="inlineStr">
        <is>
          <t>2020</t>
        </is>
      </c>
      <c r="D3" s="2" t="inlineStr">
        <is>
          <t>2021</t>
        </is>
      </c>
      <c r="E3" s="2" t="inlineStr">
        <is>
          <t>2022</t>
        </is>
      </c>
      <c r="F3" s="2" t="inlineStr">
        <is>
          <t>2023</t>
        </is>
      </c>
      <c r="G3" s="2" t="inlineStr">
        <is>
          <t>2024</t>
        </is>
      </c>
      <c r="H3" s="2" t="inlineStr">
        <is>
          <t>2025E</t>
        </is>
      </c>
      <c r="I3" s="2" t="inlineStr">
        <is>
          <t>2026E</t>
        </is>
      </c>
      <c r="J3" s="2" t="inlineStr">
        <is>
          <t>2027E</t>
        </is>
      </c>
      <c r="K3" s="2" t="inlineStr">
        <is>
          <t>2028E</t>
        </is>
      </c>
    </row>
    <row r="4">
      <c r="A4" s="3" t="inlineStr"/>
      <c r="B4" s="3" t="inlineStr">
        <is>
          <t>Historical</t>
        </is>
      </c>
      <c r="C4" s="3" t="inlineStr">
        <is>
          <t>Historical</t>
        </is>
      </c>
      <c r="D4" s="3" t="inlineStr">
        <is>
          <t>Historical</t>
        </is>
      </c>
      <c r="E4" s="3" t="inlineStr">
        <is>
          <t>Historical</t>
        </is>
      </c>
      <c r="F4" s="3" t="inlineStr">
        <is>
          <t>Historical</t>
        </is>
      </c>
      <c r="G4" s="3" t="inlineStr">
        <is>
          <t>Historical</t>
        </is>
      </c>
      <c r="H4" s="3" t="inlineStr">
        <is>
          <t>Forecast</t>
        </is>
      </c>
      <c r="I4" s="3" t="inlineStr">
        <is>
          <t>Forecast</t>
        </is>
      </c>
      <c r="J4" s="3" t="inlineStr">
        <is>
          <t>Forecast</t>
        </is>
      </c>
      <c r="K4" s="3" t="inlineStr">
        <is>
          <t>Forecast</t>
        </is>
      </c>
    </row>
    <row r="5">
      <c r="A5" s="4" t="inlineStr">
        <is>
          <t>Cash Flow from Operations</t>
        </is>
      </c>
    </row>
    <row r="6">
      <c r="A6" s="8" t="inlineStr">
        <is>
          <t>Net Income (Loss)</t>
        </is>
      </c>
      <c r="B6" s="14" t="n">
        <v>-1225</v>
      </c>
      <c r="C6" s="14" t="n">
        <v>-1166</v>
      </c>
      <c r="D6" s="14" t="n">
        <v>-959</v>
      </c>
      <c r="E6" s="14" t="n">
        <v>-1745</v>
      </c>
      <c r="F6" s="14" t="n">
        <v>-1454</v>
      </c>
      <c r="G6" s="14" t="n">
        <v>-889</v>
      </c>
      <c r="H6" s="7" t="n">
        <v>-404</v>
      </c>
      <c r="I6" s="7" t="n">
        <v>69</v>
      </c>
      <c r="J6" s="7" t="n">
        <v>463</v>
      </c>
      <c r="K6" s="7" t="n">
        <v>908</v>
      </c>
    </row>
    <row r="7">
      <c r="A7" s="8" t="inlineStr">
        <is>
          <t xml:space="preserve">  (+) Depreciation &amp; Amortization</t>
        </is>
      </c>
      <c r="B7" s="14" t="n">
        <v>81</v>
      </c>
      <c r="C7" s="14" t="n">
        <v>107</v>
      </c>
      <c r="D7" s="14" t="n">
        <v>140</v>
      </c>
      <c r="E7" s="14" t="n">
        <v>185</v>
      </c>
      <c r="F7" s="14" t="n">
        <v>200</v>
      </c>
      <c r="G7" s="14" t="n">
        <v>215</v>
      </c>
      <c r="H7" s="7" t="n">
        <v>225</v>
      </c>
      <c r="I7" s="7" t="n">
        <v>240</v>
      </c>
      <c r="J7" s="7" t="n">
        <v>255</v>
      </c>
      <c r="K7" s="7" t="n">
        <v>270</v>
      </c>
    </row>
    <row r="8">
      <c r="A8" s="8" t="inlineStr">
        <is>
          <t xml:space="preserve">  (+) Stock-Based Compensation</t>
        </is>
      </c>
      <c r="B8" s="14" t="n">
        <v>600</v>
      </c>
      <c r="C8" s="14" t="n">
        <v>770</v>
      </c>
      <c r="D8" s="14" t="n">
        <v>1096</v>
      </c>
      <c r="E8" s="14" t="n">
        <v>1538</v>
      </c>
      <c r="F8" s="14" t="n">
        <v>1376</v>
      </c>
      <c r="G8" s="14" t="n">
        <v>1296</v>
      </c>
      <c r="H8" s="7" t="n">
        <v>1256</v>
      </c>
      <c r="I8" s="7" t="n">
        <v>1228</v>
      </c>
      <c r="J8" s="7" t="n">
        <v>1222</v>
      </c>
      <c r="K8" s="7" t="n">
        <v>1179</v>
      </c>
    </row>
    <row r="9">
      <c r="A9" s="8" t="inlineStr">
        <is>
          <t xml:space="preserve">  (+/-) Working Capital Changes</t>
        </is>
      </c>
      <c r="B9" s="14" t="n">
        <v>-80</v>
      </c>
      <c r="C9" s="14" t="n">
        <v>-45</v>
      </c>
      <c r="D9" s="14" t="n">
        <v>-120</v>
      </c>
      <c r="E9" s="14" t="n">
        <v>50</v>
      </c>
      <c r="F9" s="14" t="n">
        <v>30</v>
      </c>
      <c r="G9" s="14" t="n">
        <v>15</v>
      </c>
      <c r="H9" s="7" t="n">
        <v>-20</v>
      </c>
      <c r="I9" s="7" t="n">
        <v>-15</v>
      </c>
      <c r="J9" s="7" t="n">
        <v>-10</v>
      </c>
      <c r="K9" s="7" t="n">
        <v>-5</v>
      </c>
    </row>
    <row r="10">
      <c r="A10" s="8" t="inlineStr">
        <is>
          <t xml:space="preserve">  (+/-) Other Non-Cash Adj.</t>
        </is>
      </c>
      <c r="B10" s="14" t="n">
        <v>583</v>
      </c>
      <c r="C10" s="14" t="n">
        <v>500</v>
      </c>
      <c r="D10" s="14" t="n">
        <v>474</v>
      </c>
      <c r="E10" s="14" t="n">
        <v>206</v>
      </c>
      <c r="F10" s="14" t="n">
        <v>-77</v>
      </c>
      <c r="G10" s="14" t="n">
        <v>-377</v>
      </c>
      <c r="H10" s="7" t="n">
        <v>0</v>
      </c>
      <c r="I10" s="7" t="n">
        <v>0</v>
      </c>
      <c r="J10" s="7" t="n">
        <v>0</v>
      </c>
      <c r="K10" s="7" t="n">
        <v>0</v>
      </c>
    </row>
    <row r="11">
      <c r="A11" s="20" t="inlineStr">
        <is>
          <t>Cash from Operations (CFO)</t>
        </is>
      </c>
      <c r="B11" s="21" t="n">
        <v>-41</v>
      </c>
      <c r="C11" s="21" t="n">
        <v>166</v>
      </c>
      <c r="D11" s="21" t="n">
        <v>631</v>
      </c>
      <c r="E11" s="21" t="n">
        <v>234</v>
      </c>
      <c r="F11" s="21" t="n">
        <v>75</v>
      </c>
      <c r="G11" s="21" t="n">
        <v>260</v>
      </c>
      <c r="H11" s="22" t="n">
        <v>1057</v>
      </c>
      <c r="I11" s="22" t="n">
        <v>1522</v>
      </c>
      <c r="J11" s="22" t="n">
        <v>1930</v>
      </c>
      <c r="K11" s="22" t="n">
        <v>2352</v>
      </c>
    </row>
    <row r="13">
      <c r="A13" s="4" t="inlineStr">
        <is>
          <t>Cash Flow from Investing</t>
        </is>
      </c>
    </row>
    <row r="14">
      <c r="A14" s="8" t="inlineStr">
        <is>
          <t xml:space="preserve">  Capital Expenditures</t>
        </is>
      </c>
      <c r="B14" s="14" t="n">
        <v>-51</v>
      </c>
      <c r="C14" s="14" t="n">
        <v>-59</v>
      </c>
      <c r="D14" s="14" t="n">
        <v>-85</v>
      </c>
      <c r="E14" s="14" t="n">
        <v>-115</v>
      </c>
      <c r="F14" s="14" t="n">
        <v>-93</v>
      </c>
      <c r="G14" s="14" t="n">
        <v>-90</v>
      </c>
      <c r="H14" s="7" t="n">
        <v>-95</v>
      </c>
      <c r="I14" s="7" t="n">
        <v>-100</v>
      </c>
      <c r="J14" s="7" t="n">
        <v>-105</v>
      </c>
      <c r="K14" s="7" t="n">
        <v>-110</v>
      </c>
    </row>
    <row r="15">
      <c r="A15" s="8" t="inlineStr">
        <is>
          <t xml:space="preserve">  Other Investing Activities</t>
        </is>
      </c>
      <c r="B15" s="14" t="n">
        <v>-149</v>
      </c>
      <c r="C15" s="14" t="n">
        <v>-441</v>
      </c>
      <c r="D15" s="14" t="n">
        <v>-1115</v>
      </c>
      <c r="E15" s="14" t="n">
        <v>-235</v>
      </c>
      <c r="F15" s="14" t="n">
        <v>-27</v>
      </c>
      <c r="G15" s="14" t="n">
        <v>-10</v>
      </c>
      <c r="H15" s="7" t="n">
        <v>0</v>
      </c>
      <c r="I15" s="7" t="n">
        <v>0</v>
      </c>
      <c r="J15" s="7" t="n">
        <v>0</v>
      </c>
      <c r="K15" s="7" t="n">
        <v>0</v>
      </c>
    </row>
    <row r="16">
      <c r="A16" s="20" t="inlineStr">
        <is>
          <t>Cash from Investing (CFI)</t>
        </is>
      </c>
      <c r="B16" s="21" t="n">
        <v>-200</v>
      </c>
      <c r="C16" s="21" t="n">
        <v>-500</v>
      </c>
      <c r="D16" s="21" t="n">
        <v>-1200</v>
      </c>
      <c r="E16" s="21" t="n">
        <v>-350</v>
      </c>
      <c r="F16" s="21" t="n">
        <v>-120</v>
      </c>
      <c r="G16" s="21" t="n">
        <v>-100</v>
      </c>
      <c r="H16" s="22" t="n">
        <v>-95</v>
      </c>
      <c r="I16" s="22" t="n">
        <v>-100</v>
      </c>
      <c r="J16" s="22" t="n">
        <v>-105</v>
      </c>
      <c r="K16" s="22" t="n">
        <v>-110</v>
      </c>
    </row>
    <row r="18">
      <c r="A18" s="4" t="inlineStr">
        <is>
          <t>Cash Flow from Financing</t>
        </is>
      </c>
    </row>
    <row r="19">
      <c r="A19" s="5" t="inlineStr">
        <is>
          <t>Cash from Financing (CFF)</t>
        </is>
      </c>
      <c r="B19" s="6" t="n">
        <v>900</v>
      </c>
      <c r="C19" s="6" t="n">
        <v>1078</v>
      </c>
      <c r="D19" s="6" t="n">
        <v>1307</v>
      </c>
      <c r="E19" s="6" t="n">
        <v>548</v>
      </c>
      <c r="F19" s="6" t="n">
        <v>-519</v>
      </c>
      <c r="G19" s="6" t="n">
        <v>-329</v>
      </c>
      <c r="H19" s="7" t="n">
        <v>-200</v>
      </c>
      <c r="I19" s="7" t="n">
        <v>-200</v>
      </c>
      <c r="J19" s="7" t="n">
        <v>-250</v>
      </c>
      <c r="K19" s="7" t="n">
        <v>-300</v>
      </c>
    </row>
    <row r="21">
      <c r="A21" s="17" t="inlineStr">
        <is>
          <t>Net Change in Cash</t>
        </is>
      </c>
      <c r="B21" s="18" t="n">
        <v>659</v>
      </c>
      <c r="C21" s="18" t="n">
        <v>744</v>
      </c>
      <c r="D21" s="18" t="n">
        <v>738</v>
      </c>
      <c r="E21" s="18" t="n">
        <v>432</v>
      </c>
      <c r="F21" s="18" t="n">
        <v>-564</v>
      </c>
      <c r="G21" s="18" t="n">
        <v>-169</v>
      </c>
      <c r="H21" s="19" t="n">
        <v>762</v>
      </c>
      <c r="I21" s="19" t="n">
        <v>1222</v>
      </c>
      <c r="J21" s="19" t="n">
        <v>1575</v>
      </c>
      <c r="K21" s="19" t="n">
        <v>1942</v>
      </c>
    </row>
    <row r="22">
      <c r="A22" s="8" t="inlineStr">
        <is>
          <t>Beginning Cash</t>
        </is>
      </c>
      <c r="B22" s="14" t="n">
        <v>2024</v>
      </c>
      <c r="C22" s="14" t="n">
        <v>2768</v>
      </c>
      <c r="D22" s="14" t="n">
        <v>3506</v>
      </c>
      <c r="E22" s="14" t="n">
        <v>3938</v>
      </c>
      <c r="F22" s="14" t="n">
        <v>3374</v>
      </c>
      <c r="G22" s="14" t="n">
        <v>3205</v>
      </c>
      <c r="H22" s="7" t="n">
        <v>3967</v>
      </c>
      <c r="I22" s="7" t="n">
        <v>5189</v>
      </c>
      <c r="J22" s="7" t="n">
        <v>6764</v>
      </c>
    </row>
    <row r="23">
      <c r="A23" s="5" t="inlineStr">
        <is>
          <t>Ending Cash</t>
        </is>
      </c>
      <c r="B23" s="6" t="n">
        <v>2024</v>
      </c>
      <c r="C23" s="6" t="n">
        <v>2768</v>
      </c>
      <c r="D23" s="6" t="n">
        <v>3506</v>
      </c>
      <c r="E23" s="6" t="n">
        <v>3938</v>
      </c>
      <c r="F23" s="6" t="n">
        <v>3374</v>
      </c>
      <c r="G23" s="6" t="n">
        <v>3205</v>
      </c>
      <c r="H23" s="7" t="n">
        <v>3967</v>
      </c>
      <c r="I23" s="7" t="n">
        <v>5189</v>
      </c>
      <c r="J23" s="7" t="n">
        <v>6764</v>
      </c>
      <c r="K23" s="7" t="n">
        <v>8706</v>
      </c>
    </row>
    <row r="25">
      <c r="A25" s="5" t="inlineStr">
        <is>
          <t>Free Cash Flow (CFO + CapEx)</t>
        </is>
      </c>
      <c r="B25" s="6" t="n">
        <v>-92</v>
      </c>
      <c r="C25" s="6" t="n">
        <v>107</v>
      </c>
      <c r="D25" s="6" t="n">
        <v>546</v>
      </c>
      <c r="E25" s="6" t="n">
        <v>119</v>
      </c>
      <c r="F25" s="6" t="n">
        <v>-18</v>
      </c>
      <c r="G25" s="6" t="n">
        <v>170</v>
      </c>
      <c r="H25" s="7" t="n">
        <v>962</v>
      </c>
      <c r="I25" s="7" t="n">
        <v>1422</v>
      </c>
      <c r="J25" s="7" t="n">
        <v>1825</v>
      </c>
      <c r="K25" s="7" t="n">
        <v>2242</v>
      </c>
    </row>
    <row r="26">
      <c r="A26" s="8" t="inlineStr">
        <is>
          <t xml:space="preserve">  FCF Margin</t>
        </is>
      </c>
      <c r="B26" s="9" t="n">
        <v>-0.054</v>
      </c>
      <c r="C26" s="9" t="n">
        <v>0.043</v>
      </c>
      <c r="D26" s="9" t="n">
        <v>0.133</v>
      </c>
      <c r="E26" s="9" t="n">
        <v>0.026</v>
      </c>
      <c r="F26" s="9" t="n">
        <v>-0.004</v>
      </c>
      <c r="G26" s="9" t="n">
        <v>0.032</v>
      </c>
      <c r="H26" s="13" t="n">
        <v>0.153</v>
      </c>
      <c r="I26" s="13" t="n">
        <v>0.197</v>
      </c>
      <c r="J26" s="13" t="n">
        <v>0.224</v>
      </c>
      <c r="K26" s="13" t="n">
        <v>0.247</v>
      </c>
    </row>
    <row r="29">
      <c r="A29" s="1" t="inlineStr">
        <is>
          <t>GAAP Operating Income (Loss) → Free Cash Flow Bridge</t>
        </is>
      </c>
    </row>
    <row r="31">
      <c r="A31" s="2" t="inlineStr"/>
      <c r="B31" s="2" t="inlineStr">
        <is>
          <t>2019</t>
        </is>
      </c>
      <c r="C31" s="2" t="inlineStr">
        <is>
          <t>2020</t>
        </is>
      </c>
      <c r="D31" s="2" t="inlineStr">
        <is>
          <t>2021</t>
        </is>
      </c>
      <c r="E31" s="2" t="inlineStr">
        <is>
          <t>2022</t>
        </is>
      </c>
      <c r="F31" s="2" t="inlineStr">
        <is>
          <t>2023</t>
        </is>
      </c>
      <c r="G31" s="2" t="inlineStr">
        <is>
          <t>2024</t>
        </is>
      </c>
      <c r="H31" s="2" t="inlineStr">
        <is>
          <t>2025E</t>
        </is>
      </c>
      <c r="I31" s="2" t="inlineStr">
        <is>
          <t>2026E</t>
        </is>
      </c>
      <c r="J31" s="2" t="inlineStr">
        <is>
          <t>2027E</t>
        </is>
      </c>
      <c r="K31" s="2" t="inlineStr">
        <is>
          <t>2028E</t>
        </is>
      </c>
    </row>
    <row r="32">
      <c r="A32" s="5" t="inlineStr">
        <is>
          <t>GAAP Operating Income (Loss)</t>
        </is>
      </c>
      <c r="B32" s="6" t="n">
        <v>-1169</v>
      </c>
      <c r="C32" s="6" t="n">
        <v>-1071</v>
      </c>
      <c r="D32" s="6" t="n">
        <v>-856</v>
      </c>
      <c r="E32" s="6" t="n">
        <v>-1638</v>
      </c>
      <c r="F32" s="6" t="n">
        <v>-1329</v>
      </c>
      <c r="G32" s="6" t="n">
        <v>-766</v>
      </c>
      <c r="H32" s="7" t="n">
        <v>-314</v>
      </c>
      <c r="I32" s="7" t="n">
        <v>159</v>
      </c>
      <c r="J32" s="7" t="n">
        <v>595</v>
      </c>
      <c r="K32" s="7" t="n">
        <v>1107</v>
      </c>
    </row>
    <row r="33">
      <c r="A33" s="8" t="inlineStr">
        <is>
          <t xml:space="preserve">  (+) Depreciation &amp; Amortization</t>
        </is>
      </c>
      <c r="B33" s="14" t="n">
        <v>81</v>
      </c>
      <c r="C33" s="14" t="n">
        <v>107</v>
      </c>
      <c r="D33" s="14" t="n">
        <v>140</v>
      </c>
      <c r="E33" s="14" t="n">
        <v>185</v>
      </c>
      <c r="F33" s="14" t="n">
        <v>200</v>
      </c>
      <c r="G33" s="14" t="n">
        <v>215</v>
      </c>
      <c r="H33" s="7" t="n">
        <v>225</v>
      </c>
      <c r="I33" s="7" t="n">
        <v>240</v>
      </c>
      <c r="J33" s="7" t="n">
        <v>255</v>
      </c>
      <c r="K33" s="7" t="n">
        <v>270</v>
      </c>
    </row>
    <row r="34">
      <c r="A34" s="8" t="inlineStr">
        <is>
          <t xml:space="preserve">  (+) Stock-Based Compensation</t>
        </is>
      </c>
      <c r="B34" s="14" t="n">
        <v>600</v>
      </c>
      <c r="C34" s="14" t="n">
        <v>770</v>
      </c>
      <c r="D34" s="14" t="n">
        <v>1096</v>
      </c>
      <c r="E34" s="14" t="n">
        <v>1538</v>
      </c>
      <c r="F34" s="14" t="n">
        <v>1376</v>
      </c>
      <c r="G34" s="14" t="n">
        <v>1296</v>
      </c>
      <c r="H34" s="7" t="n">
        <v>1256</v>
      </c>
      <c r="I34" s="7" t="n">
        <v>1228</v>
      </c>
      <c r="J34" s="7" t="n">
        <v>1222</v>
      </c>
      <c r="K34" s="7" t="n">
        <v>1179</v>
      </c>
    </row>
    <row r="35">
      <c r="A35" s="20">
        <f> Adjusted EBITDA</f>
        <v/>
      </c>
      <c r="B35" s="21" t="n">
        <v>-488</v>
      </c>
      <c r="C35" s="21" t="n">
        <v>-194</v>
      </c>
      <c r="D35" s="21" t="n">
        <v>380</v>
      </c>
      <c r="E35" s="21" t="n">
        <v>85</v>
      </c>
      <c r="F35" s="21" t="n">
        <v>247</v>
      </c>
      <c r="G35" s="21" t="n">
        <v>745</v>
      </c>
      <c r="H35" s="22" t="n">
        <v>1167</v>
      </c>
      <c r="I35" s="22" t="n">
        <v>1627</v>
      </c>
      <c r="J35" s="22" t="n">
        <v>2072</v>
      </c>
      <c r="K35" s="22" t="n">
        <v>2556</v>
      </c>
    </row>
    <row r="36">
      <c r="A36" s="8" t="inlineStr">
        <is>
          <t xml:space="preserve">  (+/-) Working Capital Changes</t>
        </is>
      </c>
      <c r="B36" s="14" t="n">
        <v>-80</v>
      </c>
      <c r="C36" s="14" t="n">
        <v>-45</v>
      </c>
      <c r="D36" s="14" t="n">
        <v>-120</v>
      </c>
      <c r="E36" s="14" t="n">
        <v>50</v>
      </c>
      <c r="F36" s="14" t="n">
        <v>30</v>
      </c>
      <c r="G36" s="14" t="n">
        <v>15</v>
      </c>
      <c r="H36" s="7" t="n">
        <v>-20</v>
      </c>
      <c r="I36" s="7" t="n">
        <v>-15</v>
      </c>
      <c r="J36" s="7" t="n">
        <v>-10</v>
      </c>
      <c r="K36" s="7" t="n">
        <v>-5</v>
      </c>
    </row>
    <row r="37">
      <c r="A37" s="8" t="inlineStr">
        <is>
          <t xml:space="preserve">  (-) Cash Interest (net)</t>
        </is>
      </c>
      <c r="B37" s="14" t="n">
        <v>-51</v>
      </c>
      <c r="C37" s="14" t="n">
        <v>-88</v>
      </c>
      <c r="D37" s="14" t="n">
        <v>-89</v>
      </c>
      <c r="E37" s="14" t="n">
        <v>-87</v>
      </c>
      <c r="F37" s="14" t="n">
        <v>-100</v>
      </c>
      <c r="G37" s="14" t="n">
        <v>-95</v>
      </c>
      <c r="H37" s="7" t="n">
        <v>-90</v>
      </c>
      <c r="I37" s="7" t="n">
        <v>-85</v>
      </c>
      <c r="J37" s="7" t="n">
        <v>-80</v>
      </c>
      <c r="K37" s="7" t="n">
        <v>-75</v>
      </c>
    </row>
    <row r="38">
      <c r="A38" s="8" t="inlineStr">
        <is>
          <t xml:space="preserve">  (-) Cash Taxes</t>
        </is>
      </c>
      <c r="B38" s="14" t="n">
        <v>-5</v>
      </c>
      <c r="C38" s="14" t="n">
        <v>-7</v>
      </c>
      <c r="D38" s="14" t="n">
        <v>-14</v>
      </c>
      <c r="E38" s="14" t="n">
        <v>-20</v>
      </c>
      <c r="F38" s="14" t="n">
        <v>-25</v>
      </c>
      <c r="G38" s="14" t="n">
        <v>-28</v>
      </c>
      <c r="H38" s="7" t="n">
        <v>0</v>
      </c>
      <c r="I38" s="7" t="n">
        <v>-5</v>
      </c>
      <c r="J38" s="7" t="n">
        <v>-52</v>
      </c>
      <c r="K38" s="7" t="n">
        <v>-124</v>
      </c>
    </row>
    <row r="39">
      <c r="A39" s="8" t="inlineStr">
        <is>
          <t xml:space="preserve">  (+/-) Other Adjustments</t>
        </is>
      </c>
      <c r="B39" s="14" t="n">
        <v>583</v>
      </c>
      <c r="C39" s="14" t="n">
        <v>500</v>
      </c>
      <c r="D39" s="14" t="n">
        <v>474</v>
      </c>
      <c r="E39" s="14" t="n">
        <v>206</v>
      </c>
      <c r="F39" s="14" t="n">
        <v>-77</v>
      </c>
      <c r="G39" s="14" t="n">
        <v>-377</v>
      </c>
      <c r="H39" s="7" t="n">
        <v>0</v>
      </c>
      <c r="I39" s="7" t="n">
        <v>0</v>
      </c>
      <c r="J39" s="7" t="n">
        <v>0</v>
      </c>
      <c r="K39" s="7" t="n">
        <v>0</v>
      </c>
    </row>
    <row r="40">
      <c r="A40" s="20">
        <f> Cash from Operations (CFO)</f>
        <v/>
      </c>
      <c r="B40" s="21" t="n">
        <v>-41</v>
      </c>
      <c r="C40" s="21" t="n">
        <v>166</v>
      </c>
      <c r="D40" s="21" t="n">
        <v>631</v>
      </c>
      <c r="E40" s="21" t="n">
        <v>234</v>
      </c>
      <c r="F40" s="21" t="n">
        <v>75</v>
      </c>
      <c r="G40" s="21" t="n">
        <v>260</v>
      </c>
      <c r="H40" s="22" t="n">
        <v>1057</v>
      </c>
      <c r="I40" s="22" t="n">
        <v>1522</v>
      </c>
      <c r="J40" s="22" t="n">
        <v>1930</v>
      </c>
      <c r="K40" s="22" t="n">
        <v>2352</v>
      </c>
    </row>
    <row r="41">
      <c r="A41" s="8" t="inlineStr">
        <is>
          <t xml:space="preserve">  (-) Capital Expenditures</t>
        </is>
      </c>
      <c r="B41" s="14" t="n">
        <v>-51</v>
      </c>
      <c r="C41" s="14" t="n">
        <v>-59</v>
      </c>
      <c r="D41" s="14" t="n">
        <v>-85</v>
      </c>
      <c r="E41" s="14" t="n">
        <v>-115</v>
      </c>
      <c r="F41" s="14" t="n">
        <v>-93</v>
      </c>
      <c r="G41" s="14" t="n">
        <v>-90</v>
      </c>
      <c r="H41" s="7" t="n">
        <v>-95</v>
      </c>
      <c r="I41" s="7" t="n">
        <v>-100</v>
      </c>
      <c r="J41" s="7" t="n">
        <v>-105</v>
      </c>
      <c r="K41" s="7" t="n">
        <v>-110</v>
      </c>
    </row>
    <row r="42">
      <c r="A42" s="17">
        <f> Free Cash Flow</f>
        <v/>
      </c>
      <c r="B42" s="18" t="n">
        <v>-92</v>
      </c>
      <c r="C42" s="18" t="n">
        <v>107</v>
      </c>
      <c r="D42" s="18" t="n">
        <v>546</v>
      </c>
      <c r="E42" s="18" t="n">
        <v>119</v>
      </c>
      <c r="F42" s="18" t="n">
        <v>-18</v>
      </c>
      <c r="G42" s="18" t="n">
        <v>170</v>
      </c>
      <c r="H42" s="19" t="n">
        <v>962</v>
      </c>
      <c r="I42" s="19" t="n">
        <v>1422</v>
      </c>
      <c r="J42" s="19" t="n">
        <v>1825</v>
      </c>
      <c r="K42" s="19" t="n">
        <v>2242</v>
      </c>
    </row>
  </sheetData>
  <mergeCells count="2">
    <mergeCell ref="A29:L29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Snap Inc. (SNAP) – Quarterly Income Statement ($M)</t>
        </is>
      </c>
    </row>
    <row r="3">
      <c r="A3" s="2" t="inlineStr"/>
      <c r="B3" s="2" t="inlineStr">
        <is>
          <t>Q1-23</t>
        </is>
      </c>
      <c r="C3" s="2" t="inlineStr">
        <is>
          <t>Q2-23</t>
        </is>
      </c>
      <c r="D3" s="2" t="inlineStr">
        <is>
          <t>Q3-23</t>
        </is>
      </c>
      <c r="E3" s="2" t="inlineStr">
        <is>
          <t>Q4-23</t>
        </is>
      </c>
      <c r="F3" s="2" t="inlineStr">
        <is>
          <t>Q1-24</t>
        </is>
      </c>
      <c r="G3" s="2" t="inlineStr">
        <is>
          <t>Q2-24</t>
        </is>
      </c>
      <c r="H3" s="2" t="inlineStr">
        <is>
          <t>Q3-24</t>
        </is>
      </c>
      <c r="I3" s="2" t="inlineStr">
        <is>
          <t>Q4-24</t>
        </is>
      </c>
      <c r="J3" s="2" t="inlineStr">
        <is>
          <t>Q1-25E</t>
        </is>
      </c>
      <c r="K3" s="2" t="inlineStr">
        <is>
          <t>Q2-25E</t>
        </is>
      </c>
      <c r="L3" s="2" t="inlineStr">
        <is>
          <t>Q3-25E</t>
        </is>
      </c>
      <c r="M3" s="2" t="inlineStr">
        <is>
          <t>Q4-25E</t>
        </is>
      </c>
      <c r="N3" s="2" t="inlineStr">
        <is>
          <t>Q1-26E</t>
        </is>
      </c>
      <c r="O3" s="2" t="inlineStr">
        <is>
          <t>Q2-26E</t>
        </is>
      </c>
      <c r="P3" s="2" t="inlineStr">
        <is>
          <t>Q3-26E</t>
        </is>
      </c>
      <c r="Q3" s="2" t="inlineStr">
        <is>
          <t>Q4-26E</t>
        </is>
      </c>
    </row>
    <row r="4">
      <c r="A4" s="3" t="inlineStr"/>
      <c r="B4" s="3" t="inlineStr">
        <is>
          <t>Historical</t>
        </is>
      </c>
      <c r="C4" s="3" t="inlineStr">
        <is>
          <t>Historical</t>
        </is>
      </c>
      <c r="D4" s="3" t="inlineStr">
        <is>
          <t>Historical</t>
        </is>
      </c>
      <c r="E4" s="3" t="inlineStr">
        <is>
          <t>Historical</t>
        </is>
      </c>
      <c r="F4" s="3" t="inlineStr">
        <is>
          <t>Historical</t>
        </is>
      </c>
      <c r="G4" s="3" t="inlineStr">
        <is>
          <t>Historical</t>
        </is>
      </c>
      <c r="H4" s="3" t="inlineStr">
        <is>
          <t>Historical</t>
        </is>
      </c>
      <c r="I4" s="3" t="inlineStr">
        <is>
          <t>Historical</t>
        </is>
      </c>
      <c r="J4" s="3" t="inlineStr">
        <is>
          <t>Forecast</t>
        </is>
      </c>
      <c r="K4" s="3" t="inlineStr">
        <is>
          <t>Forecast</t>
        </is>
      </c>
      <c r="L4" s="3" t="inlineStr">
        <is>
          <t>Forecast</t>
        </is>
      </c>
      <c r="M4" s="3" t="inlineStr">
        <is>
          <t>Forecast</t>
        </is>
      </c>
      <c r="N4" s="3" t="inlineStr">
        <is>
          <t>Forecast</t>
        </is>
      </c>
      <c r="O4" s="3" t="inlineStr">
        <is>
          <t>Forecast</t>
        </is>
      </c>
      <c r="P4" s="3" t="inlineStr">
        <is>
          <t>Forecast</t>
        </is>
      </c>
      <c r="Q4" s="3" t="inlineStr">
        <is>
          <t>Forecast</t>
        </is>
      </c>
    </row>
    <row r="5">
      <c r="A5" s="8" t="inlineStr">
        <is>
          <t>DAU (M)</t>
        </is>
      </c>
      <c r="B5" s="14" t="n">
        <v>383</v>
      </c>
      <c r="C5" s="14" t="n">
        <v>397</v>
      </c>
      <c r="D5" s="14" t="n">
        <v>406</v>
      </c>
      <c r="E5" s="14" t="n">
        <v>414</v>
      </c>
      <c r="F5" s="14" t="n">
        <v>422</v>
      </c>
      <c r="G5" s="14" t="n">
        <v>432</v>
      </c>
      <c r="H5" s="14" t="n">
        <v>437</v>
      </c>
      <c r="I5" s="14" t="n">
        <v>443</v>
      </c>
      <c r="J5" s="7" t="n">
        <v>450</v>
      </c>
      <c r="K5" s="7" t="n">
        <v>458</v>
      </c>
      <c r="L5" s="7" t="n">
        <v>465</v>
      </c>
      <c r="M5" s="7" t="n">
        <v>472</v>
      </c>
      <c r="N5" s="7" t="n">
        <v>478</v>
      </c>
      <c r="O5" s="7" t="n">
        <v>485</v>
      </c>
      <c r="P5" s="7" t="n">
        <v>492</v>
      </c>
      <c r="Q5" s="7" t="n">
        <v>498</v>
      </c>
    </row>
    <row r="6">
      <c r="A6" s="5" t="inlineStr">
        <is>
          <t>Revenue</t>
        </is>
      </c>
      <c r="B6" s="6" t="n">
        <v>989</v>
      </c>
      <c r="C6" s="6" t="n">
        <v>1068</v>
      </c>
      <c r="D6" s="6" t="n">
        <v>1189</v>
      </c>
      <c r="E6" s="6" t="n">
        <v>1361</v>
      </c>
      <c r="F6" s="6" t="n">
        <v>1195</v>
      </c>
      <c r="G6" s="6" t="n">
        <v>1237</v>
      </c>
      <c r="H6" s="6" t="n">
        <v>1373</v>
      </c>
      <c r="I6" s="6" t="n">
        <v>1556</v>
      </c>
      <c r="J6" s="7" t="n">
        <v>1319</v>
      </c>
      <c r="K6" s="7" t="n">
        <v>1445</v>
      </c>
      <c r="L6" s="7" t="n">
        <v>1570</v>
      </c>
      <c r="M6" s="7" t="n">
        <v>1947</v>
      </c>
      <c r="N6" s="7" t="n">
        <v>1517</v>
      </c>
      <c r="O6" s="7" t="n">
        <v>1662</v>
      </c>
      <c r="P6" s="7" t="n">
        <v>1806</v>
      </c>
      <c r="Q6" s="7" t="n">
        <v>2240</v>
      </c>
    </row>
    <row r="7">
      <c r="A7" s="8" t="inlineStr">
        <is>
          <t>ARPU ($)</t>
        </is>
      </c>
      <c r="B7" s="16" t="n">
        <v>2.58</v>
      </c>
      <c r="C7" s="16" t="n">
        <v>2.69</v>
      </c>
      <c r="D7" s="16" t="n">
        <v>2.93</v>
      </c>
      <c r="E7" s="16" t="n">
        <v>3.29</v>
      </c>
      <c r="F7" s="16" t="n">
        <v>2.83</v>
      </c>
      <c r="G7" s="16" t="n">
        <v>2.86</v>
      </c>
      <c r="H7" s="16" t="n">
        <v>3.14</v>
      </c>
      <c r="I7" s="16" t="n">
        <v>3.51</v>
      </c>
      <c r="J7" s="12" t="n">
        <v>2.93</v>
      </c>
      <c r="K7" s="12" t="n">
        <v>3.16</v>
      </c>
      <c r="L7" s="12" t="n">
        <v>3.38</v>
      </c>
      <c r="M7" s="12" t="n">
        <v>4.12</v>
      </c>
      <c r="N7" s="12" t="n">
        <v>3.17</v>
      </c>
      <c r="O7" s="12" t="n">
        <v>3.43</v>
      </c>
      <c r="P7" s="12" t="n">
        <v>3.67</v>
      </c>
      <c r="Q7" s="12" t="n">
        <v>4.5</v>
      </c>
    </row>
    <row r="9">
      <c r="A9" s="8" t="inlineStr">
        <is>
          <t>Cost of Revenue</t>
        </is>
      </c>
      <c r="B9" s="14" t="n">
        <v>490</v>
      </c>
      <c r="C9" s="14" t="n">
        <v>510</v>
      </c>
      <c r="D9" s="14" t="n">
        <v>545</v>
      </c>
      <c r="E9" s="14" t="n">
        <v>645</v>
      </c>
      <c r="F9" s="14" t="n">
        <v>545</v>
      </c>
      <c r="G9" s="14" t="n">
        <v>565</v>
      </c>
      <c r="H9" s="14" t="n">
        <v>620</v>
      </c>
      <c r="I9" s="14" t="n">
        <v>731</v>
      </c>
      <c r="J9" s="7" t="n">
        <v>587</v>
      </c>
      <c r="K9" s="7" t="n">
        <v>643</v>
      </c>
      <c r="L9" s="7" t="n">
        <v>699</v>
      </c>
      <c r="M9" s="7" t="n">
        <v>866</v>
      </c>
      <c r="N9" s="7" t="n">
        <v>652</v>
      </c>
      <c r="O9" s="7" t="n">
        <v>715</v>
      </c>
      <c r="P9" s="7" t="n">
        <v>777</v>
      </c>
      <c r="Q9" s="7" t="n">
        <v>963</v>
      </c>
    </row>
    <row r="10">
      <c r="A10" s="5" t="inlineStr">
        <is>
          <t>Gross Profit</t>
        </is>
      </c>
      <c r="B10" s="6" t="n">
        <v>499</v>
      </c>
      <c r="C10" s="6" t="n">
        <v>558</v>
      </c>
      <c r="D10" s="6" t="n">
        <v>644</v>
      </c>
      <c r="E10" s="6" t="n">
        <v>716</v>
      </c>
      <c r="F10" s="6" t="n">
        <v>650</v>
      </c>
      <c r="G10" s="6" t="n">
        <v>672</v>
      </c>
      <c r="H10" s="6" t="n">
        <v>753</v>
      </c>
      <c r="I10" s="6" t="n">
        <v>825</v>
      </c>
      <c r="J10" s="7" t="n">
        <v>732</v>
      </c>
      <c r="K10" s="7" t="n">
        <v>802</v>
      </c>
      <c r="L10" s="7" t="n">
        <v>871</v>
      </c>
      <c r="M10" s="7" t="n">
        <v>1081</v>
      </c>
      <c r="N10" s="7" t="n">
        <v>865</v>
      </c>
      <c r="O10" s="7" t="n">
        <v>947</v>
      </c>
      <c r="P10" s="7" t="n">
        <v>1029</v>
      </c>
      <c r="Q10" s="7" t="n">
        <v>1277</v>
      </c>
    </row>
    <row r="11">
      <c r="A11" s="8" t="inlineStr">
        <is>
          <t xml:space="preserve">  Gross Margin</t>
        </is>
      </c>
      <c r="B11" s="9" t="n">
        <v>0.505</v>
      </c>
      <c r="C11" s="9" t="n">
        <v>0.522</v>
      </c>
      <c r="D11" s="9" t="n">
        <v>0.542</v>
      </c>
      <c r="E11" s="9" t="n">
        <v>0.526</v>
      </c>
      <c r="F11" s="9" t="n">
        <v>0.544</v>
      </c>
      <c r="G11" s="9" t="n">
        <v>0.543</v>
      </c>
      <c r="H11" s="9" t="n">
        <v>0.548</v>
      </c>
      <c r="I11" s="9" t="n">
        <v>0.53</v>
      </c>
      <c r="J11" s="13" t="n">
        <v>0.555</v>
      </c>
      <c r="K11" s="13" t="n">
        <v>0.555</v>
      </c>
      <c r="L11" s="13" t="n">
        <v>0.555</v>
      </c>
      <c r="M11" s="13" t="n">
        <v>0.555</v>
      </c>
      <c r="N11" s="13" t="n">
        <v>0.57</v>
      </c>
      <c r="O11" s="13" t="n">
        <v>0.57</v>
      </c>
      <c r="P11" s="13" t="n">
        <v>0.57</v>
      </c>
      <c r="Q11" s="13" t="n">
        <v>0.57</v>
      </c>
    </row>
    <row r="13">
      <c r="A13" s="8" t="inlineStr">
        <is>
          <t>R&amp;D</t>
        </is>
      </c>
      <c r="B13" s="14" t="n">
        <v>478</v>
      </c>
      <c r="C13" s="14" t="n">
        <v>462</v>
      </c>
      <c r="D13" s="14" t="n">
        <v>455</v>
      </c>
      <c r="E13" s="14" t="n">
        <v>452</v>
      </c>
      <c r="F13" s="14" t="n">
        <v>455</v>
      </c>
      <c r="G13" s="14" t="n">
        <v>448</v>
      </c>
      <c r="H13" s="14" t="n">
        <v>448</v>
      </c>
      <c r="I13" s="14" t="n">
        <v>451</v>
      </c>
      <c r="J13" s="7" t="n">
        <v>396</v>
      </c>
      <c r="K13" s="7" t="n">
        <v>434</v>
      </c>
      <c r="L13" s="7" t="n">
        <v>471</v>
      </c>
      <c r="M13" s="7" t="n">
        <v>584</v>
      </c>
      <c r="N13" s="7" t="n">
        <v>410</v>
      </c>
      <c r="O13" s="7" t="n">
        <v>449</v>
      </c>
      <c r="P13" s="7" t="n">
        <v>488</v>
      </c>
      <c r="Q13" s="7" t="n">
        <v>605</v>
      </c>
    </row>
    <row r="14">
      <c r="A14" s="8" t="inlineStr">
        <is>
          <t>S&amp;M</t>
        </is>
      </c>
      <c r="B14" s="14" t="n">
        <v>330</v>
      </c>
      <c r="C14" s="14" t="n">
        <v>318</v>
      </c>
      <c r="D14" s="14" t="n">
        <v>320</v>
      </c>
      <c r="E14" s="14" t="n">
        <v>316</v>
      </c>
      <c r="F14" s="14" t="n">
        <v>322</v>
      </c>
      <c r="G14" s="14" t="n">
        <v>318</v>
      </c>
      <c r="H14" s="14" t="n">
        <v>320</v>
      </c>
      <c r="I14" s="14" t="n">
        <v>321</v>
      </c>
      <c r="J14" s="7" t="n">
        <v>277</v>
      </c>
      <c r="K14" s="7" t="n">
        <v>303</v>
      </c>
      <c r="L14" s="7" t="n">
        <v>330</v>
      </c>
      <c r="M14" s="7" t="n">
        <v>409</v>
      </c>
      <c r="N14" s="7" t="n">
        <v>288</v>
      </c>
      <c r="O14" s="7" t="n">
        <v>316</v>
      </c>
      <c r="P14" s="7" t="n">
        <v>343</v>
      </c>
      <c r="Q14" s="7" t="n">
        <v>426</v>
      </c>
    </row>
    <row r="15">
      <c r="A15" s="8" t="inlineStr">
        <is>
          <t>G&amp;A</t>
        </is>
      </c>
      <c r="B15" s="14" t="n">
        <v>158</v>
      </c>
      <c r="C15" s="14" t="n">
        <v>155</v>
      </c>
      <c r="D15" s="14" t="n">
        <v>150</v>
      </c>
      <c r="E15" s="14" t="n">
        <v>151</v>
      </c>
      <c r="F15" s="14" t="n">
        <v>147</v>
      </c>
      <c r="G15" s="14" t="n">
        <v>145</v>
      </c>
      <c r="H15" s="14" t="n">
        <v>145</v>
      </c>
      <c r="I15" s="14" t="n">
        <v>145</v>
      </c>
      <c r="J15" s="7" t="n">
        <v>125</v>
      </c>
      <c r="K15" s="7" t="n">
        <v>137</v>
      </c>
      <c r="L15" s="7" t="n">
        <v>149</v>
      </c>
      <c r="M15" s="7" t="n">
        <v>185</v>
      </c>
      <c r="N15" s="7" t="n">
        <v>133</v>
      </c>
      <c r="O15" s="7" t="n">
        <v>146</v>
      </c>
      <c r="P15" s="7" t="n">
        <v>159</v>
      </c>
      <c r="Q15" s="7" t="n">
        <v>197</v>
      </c>
    </row>
    <row r="16">
      <c r="A16" s="5" t="inlineStr">
        <is>
          <t>Operating Income (Loss)</t>
        </is>
      </c>
      <c r="B16" s="6" t="n">
        <v>-467</v>
      </c>
      <c r="C16" s="6" t="n">
        <v>-377</v>
      </c>
      <c r="D16" s="6" t="n">
        <v>-281</v>
      </c>
      <c r="E16" s="6" t="n">
        <v>-203</v>
      </c>
      <c r="F16" s="6" t="n">
        <v>-274</v>
      </c>
      <c r="G16" s="6" t="n">
        <v>-239</v>
      </c>
      <c r="H16" s="6" t="n">
        <v>-160</v>
      </c>
      <c r="I16" s="6" t="n">
        <v>-92</v>
      </c>
      <c r="J16" s="7" t="n">
        <v>-66</v>
      </c>
      <c r="K16" s="7" t="n">
        <v>-72</v>
      </c>
      <c r="L16" s="7" t="n">
        <v>-79</v>
      </c>
      <c r="M16" s="7" t="n">
        <v>-97</v>
      </c>
      <c r="N16" s="7" t="n">
        <v>34</v>
      </c>
      <c r="O16" s="7" t="n">
        <v>36</v>
      </c>
      <c r="P16" s="7" t="n">
        <v>39</v>
      </c>
      <c r="Q16" s="7" t="n">
        <v>49</v>
      </c>
    </row>
    <row r="17">
      <c r="A17" s="8" t="inlineStr">
        <is>
          <t xml:space="preserve">  Operating Margin</t>
        </is>
      </c>
      <c r="B17" s="9" t="n">
        <v>-0.472</v>
      </c>
      <c r="C17" s="9" t="n">
        <v>-0.353</v>
      </c>
      <c r="D17" s="9" t="n">
        <v>-0.236</v>
      </c>
      <c r="E17" s="9" t="n">
        <v>-0.149</v>
      </c>
      <c r="F17" s="9" t="n">
        <v>-0.229</v>
      </c>
      <c r="G17" s="9" t="n">
        <v>-0.193</v>
      </c>
      <c r="H17" s="9" t="n">
        <v>-0.117</v>
      </c>
      <c r="I17" s="9" t="n">
        <v>-0.059</v>
      </c>
      <c r="J17" s="13" t="n">
        <v>-0.05</v>
      </c>
      <c r="K17" s="13" t="n">
        <v>-0.05</v>
      </c>
      <c r="L17" s="13" t="n">
        <v>-0.05</v>
      </c>
      <c r="M17" s="13" t="n">
        <v>-0.05</v>
      </c>
      <c r="N17" s="13" t="n">
        <v>0.022</v>
      </c>
      <c r="O17" s="13" t="n">
        <v>0.022</v>
      </c>
      <c r="P17" s="13" t="n">
        <v>0.022</v>
      </c>
      <c r="Q17" s="13" t="n">
        <v>0.022</v>
      </c>
    </row>
    <row r="19">
      <c r="A19" s="8" t="inlineStr">
        <is>
          <t>SBC</t>
        </is>
      </c>
      <c r="B19" s="14" t="n">
        <v>355</v>
      </c>
      <c r="C19" s="14" t="n">
        <v>345</v>
      </c>
      <c r="D19" s="14" t="n">
        <v>340</v>
      </c>
      <c r="E19" s="14" t="n">
        <v>336</v>
      </c>
      <c r="F19" s="14" t="n">
        <v>330</v>
      </c>
      <c r="G19" s="14" t="n">
        <v>325</v>
      </c>
      <c r="H19" s="14" t="n">
        <v>322</v>
      </c>
      <c r="I19" s="14" t="n">
        <v>319</v>
      </c>
      <c r="J19" s="7" t="n">
        <v>264</v>
      </c>
      <c r="K19" s="7" t="n">
        <v>289</v>
      </c>
      <c r="L19" s="7" t="n">
        <v>314</v>
      </c>
      <c r="M19" s="7" t="n">
        <v>389</v>
      </c>
      <c r="N19" s="7" t="n">
        <v>258</v>
      </c>
      <c r="O19" s="7" t="n">
        <v>283</v>
      </c>
      <c r="P19" s="7" t="n">
        <v>307</v>
      </c>
      <c r="Q19" s="7" t="n">
        <v>381</v>
      </c>
    </row>
    <row r="20">
      <c r="A20" s="8" t="inlineStr">
        <is>
          <t>D&amp;A</t>
        </is>
      </c>
      <c r="B20" s="14" t="n">
        <v>50</v>
      </c>
      <c r="C20" s="14" t="n">
        <v>50</v>
      </c>
      <c r="D20" s="14" t="n">
        <v>50</v>
      </c>
      <c r="E20" s="14" t="n">
        <v>50</v>
      </c>
      <c r="F20" s="14" t="n">
        <v>53</v>
      </c>
      <c r="G20" s="14" t="n">
        <v>54</v>
      </c>
      <c r="H20" s="14" t="n">
        <v>54</v>
      </c>
      <c r="I20" s="14" t="n">
        <v>54</v>
      </c>
      <c r="J20" s="7" t="n">
        <v>56</v>
      </c>
      <c r="K20" s="7" t="n">
        <v>56</v>
      </c>
      <c r="L20" s="7" t="n">
        <v>56</v>
      </c>
      <c r="M20" s="7" t="n">
        <v>56</v>
      </c>
      <c r="N20" s="7" t="n">
        <v>60</v>
      </c>
      <c r="O20" s="7" t="n">
        <v>60</v>
      </c>
      <c r="P20" s="7" t="n">
        <v>60</v>
      </c>
      <c r="Q20" s="7" t="n">
        <v>60</v>
      </c>
    </row>
    <row r="21">
      <c r="A21" s="5" t="inlineStr">
        <is>
          <t>EBITDA</t>
        </is>
      </c>
      <c r="B21" s="6" t="n">
        <v>-417</v>
      </c>
      <c r="C21" s="6" t="n">
        <v>-327</v>
      </c>
      <c r="D21" s="6" t="n">
        <v>-231</v>
      </c>
      <c r="E21" s="6" t="n">
        <v>-153</v>
      </c>
      <c r="F21" s="6" t="n">
        <v>-221</v>
      </c>
      <c r="G21" s="6" t="n">
        <v>-185</v>
      </c>
      <c r="H21" s="6" t="n">
        <v>-106</v>
      </c>
      <c r="I21" s="6" t="n">
        <v>-38</v>
      </c>
      <c r="J21" s="7" t="n">
        <v>-10</v>
      </c>
      <c r="K21" s="7" t="n">
        <v>-16</v>
      </c>
      <c r="L21" s="7" t="n">
        <v>-23</v>
      </c>
      <c r="M21" s="7" t="n">
        <v>-41</v>
      </c>
      <c r="N21" s="7" t="n">
        <v>94</v>
      </c>
      <c r="O21" s="7" t="n">
        <v>96</v>
      </c>
      <c r="P21" s="7" t="n">
        <v>99</v>
      </c>
      <c r="Q21" s="7" t="n">
        <v>109</v>
      </c>
    </row>
    <row r="23">
      <c r="A23" s="5" t="inlineStr">
        <is>
          <t>Net Income (Loss)</t>
        </is>
      </c>
      <c r="B23" s="6" t="n">
        <v>-498</v>
      </c>
      <c r="C23" s="6" t="n">
        <v>-408</v>
      </c>
      <c r="D23" s="6" t="n">
        <v>-312</v>
      </c>
      <c r="E23" s="6" t="n">
        <v>-235</v>
      </c>
      <c r="F23" s="6" t="n">
        <v>-306</v>
      </c>
      <c r="G23" s="6" t="n">
        <v>-271</v>
      </c>
      <c r="H23" s="6" t="n">
        <v>-192</v>
      </c>
      <c r="I23" s="6" t="n">
        <v>-124</v>
      </c>
      <c r="J23" s="7" t="n">
        <v>-91</v>
      </c>
      <c r="K23" s="7" t="n">
        <v>-97</v>
      </c>
      <c r="L23" s="7" t="n">
        <v>-104</v>
      </c>
      <c r="M23" s="7" t="n">
        <v>-122</v>
      </c>
      <c r="N23" s="7" t="n">
        <v>9</v>
      </c>
      <c r="O23" s="7" t="n">
        <v>11</v>
      </c>
      <c r="P23" s="7" t="n">
        <v>14</v>
      </c>
      <c r="Q23" s="7" t="n">
        <v>24</v>
      </c>
    </row>
    <row r="24">
      <c r="A24" s="8" t="inlineStr">
        <is>
          <t>CapEx</t>
        </is>
      </c>
      <c r="B24" s="14" t="n">
        <v>-22</v>
      </c>
      <c r="C24" s="14" t="n">
        <v>-24</v>
      </c>
      <c r="D24" s="14" t="n">
        <v>-23</v>
      </c>
      <c r="E24" s="14" t="n">
        <v>-24</v>
      </c>
      <c r="F24" s="14" t="n">
        <v>-22</v>
      </c>
      <c r="G24" s="14" t="n">
        <v>-23</v>
      </c>
      <c r="H24" s="14" t="n">
        <v>-22</v>
      </c>
      <c r="I24" s="14" t="n">
        <v>-23</v>
      </c>
      <c r="J24" s="7" t="n">
        <v>-24</v>
      </c>
      <c r="K24" s="7" t="n">
        <v>-24</v>
      </c>
      <c r="L24" s="7" t="n">
        <v>-24</v>
      </c>
      <c r="M24" s="7" t="n">
        <v>-24</v>
      </c>
      <c r="N24" s="7" t="n">
        <v>-25</v>
      </c>
      <c r="O24" s="7" t="n">
        <v>-25</v>
      </c>
      <c r="P24" s="7" t="n">
        <v>-25</v>
      </c>
      <c r="Q24" s="7" t="n">
        <v>-25</v>
      </c>
    </row>
  </sheetData>
  <mergeCells count="1">
    <mergeCell ref="A1:R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Snap Inc. (SNAP) – Share Count &amp; Dilution Schedule</t>
        </is>
      </c>
    </row>
    <row r="3">
      <c r="A3" s="2" t="inlineStr"/>
      <c r="B3" s="2" t="inlineStr">
        <is>
          <t>2019</t>
        </is>
      </c>
      <c r="C3" s="2" t="inlineStr">
        <is>
          <t>2020</t>
        </is>
      </c>
      <c r="D3" s="2" t="inlineStr">
        <is>
          <t>2021</t>
        </is>
      </c>
      <c r="E3" s="2" t="inlineStr">
        <is>
          <t>2022</t>
        </is>
      </c>
      <c r="F3" s="2" t="inlineStr">
        <is>
          <t>2023</t>
        </is>
      </c>
      <c r="G3" s="2" t="inlineStr">
        <is>
          <t>2024</t>
        </is>
      </c>
      <c r="H3" s="2" t="inlineStr">
        <is>
          <t>2025E</t>
        </is>
      </c>
      <c r="I3" s="2" t="inlineStr">
        <is>
          <t>2026E</t>
        </is>
      </c>
      <c r="J3" s="2" t="inlineStr">
        <is>
          <t>2027E</t>
        </is>
      </c>
      <c r="K3" s="2" t="inlineStr">
        <is>
          <t>2028E</t>
        </is>
      </c>
    </row>
    <row r="4">
      <c r="A4" s="5" t="inlineStr">
        <is>
          <t>Diluted Shares (M)</t>
        </is>
      </c>
      <c r="B4" s="6" t="n">
        <v>1500</v>
      </c>
      <c r="C4" s="6" t="n">
        <v>1548</v>
      </c>
      <c r="D4" s="6" t="n">
        <v>1620</v>
      </c>
      <c r="E4" s="6" t="n">
        <v>1660</v>
      </c>
      <c r="F4" s="6" t="n">
        <v>1676</v>
      </c>
      <c r="G4" s="6" t="n">
        <v>1690</v>
      </c>
      <c r="H4" s="7" t="n">
        <v>1710</v>
      </c>
      <c r="I4" s="7" t="n">
        <v>1726</v>
      </c>
      <c r="J4" s="7" t="n">
        <v>1742</v>
      </c>
      <c r="K4" s="7" t="n">
        <v>1758</v>
      </c>
    </row>
    <row r="5">
      <c r="A5" s="8" t="inlineStr">
        <is>
          <t xml:space="preserve">  YoY Dilution</t>
        </is>
      </c>
      <c r="B5" s="8" t="n"/>
      <c r="C5" s="9" t="n">
        <v>0.032</v>
      </c>
      <c r="D5" s="9" t="n">
        <v>0.047</v>
      </c>
      <c r="E5" s="9" t="n">
        <v>0.025</v>
      </c>
      <c r="F5" s="9" t="n">
        <v>0.01</v>
      </c>
      <c r="G5" s="9" t="n">
        <v>0.008</v>
      </c>
      <c r="H5" s="13" t="n">
        <v>0.012</v>
      </c>
      <c r="I5" s="13" t="n">
        <v>0.008999999999999999</v>
      </c>
      <c r="J5" s="13" t="n">
        <v>0.008999999999999999</v>
      </c>
      <c r="K5" s="13" t="n">
        <v>0.008999999999999999</v>
      </c>
    </row>
    <row r="6">
      <c r="A6" s="8" t="inlineStr">
        <is>
          <t>SBC ($M)</t>
        </is>
      </c>
      <c r="B6" s="14" t="n">
        <v>600</v>
      </c>
      <c r="C6" s="14" t="n">
        <v>770</v>
      </c>
      <c r="D6" s="14" t="n">
        <v>1096</v>
      </c>
      <c r="E6" s="14" t="n">
        <v>1538</v>
      </c>
      <c r="F6" s="14" t="n">
        <v>1376</v>
      </c>
      <c r="G6" s="14" t="n">
        <v>1296</v>
      </c>
      <c r="H6" s="7" t="n">
        <v>1256</v>
      </c>
      <c r="I6" s="7" t="n">
        <v>1228</v>
      </c>
      <c r="J6" s="7" t="n">
        <v>1222</v>
      </c>
      <c r="K6" s="7" t="n">
        <v>1179</v>
      </c>
    </row>
    <row r="7">
      <c r="A7" s="8" t="inlineStr">
        <is>
          <t>EPS (Diluted)</t>
        </is>
      </c>
      <c r="B7" s="16" t="n">
        <v>-0.82</v>
      </c>
      <c r="C7" s="16" t="n">
        <v>-0.75</v>
      </c>
      <c r="D7" s="16" t="n">
        <v>-0.59</v>
      </c>
      <c r="E7" s="16" t="n">
        <v>-1.05</v>
      </c>
      <c r="F7" s="16" t="n">
        <v>-0.87</v>
      </c>
      <c r="G7" s="16" t="n">
        <v>-0.53</v>
      </c>
      <c r="H7" s="12" t="n">
        <v>-0.24</v>
      </c>
      <c r="I7" s="12" t="n">
        <v>0.04</v>
      </c>
      <c r="J7" s="12" t="n">
        <v>0.27</v>
      </c>
      <c r="K7" s="12" t="n">
        <v>0.52</v>
      </c>
    </row>
    <row r="10">
      <c r="A10" s="1" t="inlineStr">
        <is>
          <t>Quarterly Dilution Schedule (Next 8 Quarters)</t>
        </is>
      </c>
    </row>
    <row r="12">
      <c r="A12" s="2" t="inlineStr"/>
      <c r="B12" s="2" t="inlineStr">
        <is>
          <t>Q1-25E</t>
        </is>
      </c>
      <c r="C12" s="2" t="inlineStr">
        <is>
          <t>Q2-25E</t>
        </is>
      </c>
      <c r="D12" s="2" t="inlineStr">
        <is>
          <t>Q3-25E</t>
        </is>
      </c>
      <c r="E12" s="2" t="inlineStr">
        <is>
          <t>Q4-25E</t>
        </is>
      </c>
      <c r="F12" s="2" t="inlineStr">
        <is>
          <t>Q1-26E</t>
        </is>
      </c>
      <c r="G12" s="2" t="inlineStr">
        <is>
          <t>Q2-26E</t>
        </is>
      </c>
      <c r="H12" s="2" t="inlineStr">
        <is>
          <t>Q3-26E</t>
        </is>
      </c>
      <c r="I12" s="2" t="inlineStr">
        <is>
          <t>Q4-26E</t>
        </is>
      </c>
    </row>
    <row r="13">
      <c r="A13" s="8" t="inlineStr">
        <is>
          <t>Beginning Shares (M)</t>
        </is>
      </c>
      <c r="B13" s="14" t="n">
        <v>1690</v>
      </c>
      <c r="C13" s="14" t="n">
        <v>1695</v>
      </c>
      <c r="D13" s="14" t="n">
        <v>1700</v>
      </c>
      <c r="E13" s="14" t="n">
        <v>1705</v>
      </c>
      <c r="F13" s="14" t="n">
        <v>1710</v>
      </c>
      <c r="G13" s="14" t="n">
        <v>1714</v>
      </c>
      <c r="H13" s="14" t="n">
        <v>1718</v>
      </c>
      <c r="I13" s="14" t="n">
        <v>1722</v>
      </c>
    </row>
    <row r="14">
      <c r="A14" s="23" t="inlineStr">
        <is>
          <t xml:space="preserve">  (+) RSU Vesting</t>
        </is>
      </c>
      <c r="B14" s="24" t="n">
        <v>12</v>
      </c>
      <c r="C14" s="24" t="n">
        <v>11</v>
      </c>
      <c r="D14" s="24" t="n">
        <v>13</v>
      </c>
      <c r="E14" s="24" t="n">
        <v>12</v>
      </c>
      <c r="F14" s="24" t="n">
        <v>11</v>
      </c>
      <c r="G14" s="24" t="n">
        <v>10</v>
      </c>
      <c r="H14" s="24" t="n">
        <v>12</v>
      </c>
      <c r="I14" s="24" t="n">
        <v>11</v>
      </c>
    </row>
    <row r="15">
      <c r="A15" s="23" t="inlineStr">
        <is>
          <t xml:space="preserve">  (-) Share Buybacks</t>
        </is>
      </c>
      <c r="B15" s="24" t="n">
        <v>5</v>
      </c>
      <c r="C15" s="24" t="n">
        <v>5</v>
      </c>
      <c r="D15" s="24" t="n">
        <v>5</v>
      </c>
      <c r="E15" s="24" t="n">
        <v>5</v>
      </c>
      <c r="F15" s="24" t="n">
        <v>5</v>
      </c>
      <c r="G15" s="24" t="n">
        <v>5</v>
      </c>
      <c r="H15" s="24" t="n">
        <v>5</v>
      </c>
      <c r="I15" s="24" t="n">
        <v>5</v>
      </c>
    </row>
    <row r="16">
      <c r="A16" s="8" t="inlineStr">
        <is>
          <t xml:space="preserve">  (+) Option Exercises &amp; Other</t>
        </is>
      </c>
      <c r="B16" s="14" t="n">
        <v>-3</v>
      </c>
      <c r="C16" s="14" t="n">
        <v>-3</v>
      </c>
      <c r="D16" s="14" t="n">
        <v>-3</v>
      </c>
      <c r="E16" s="14" t="n">
        <v>-3</v>
      </c>
      <c r="F16" s="14" t="n">
        <v>-3</v>
      </c>
      <c r="G16" s="14" t="n">
        <v>-3</v>
      </c>
      <c r="H16" s="14" t="n">
        <v>-3</v>
      </c>
      <c r="I16" s="14" t="n">
        <v>-3</v>
      </c>
    </row>
    <row r="17">
      <c r="A17" s="5" t="inlineStr">
        <is>
          <t>Ending Shares (M)</t>
        </is>
      </c>
      <c r="B17" s="6" t="n">
        <v>1695</v>
      </c>
      <c r="C17" s="6" t="n">
        <v>1700</v>
      </c>
      <c r="D17" s="6" t="n">
        <v>1705</v>
      </c>
      <c r="E17" s="6" t="n">
        <v>1710</v>
      </c>
      <c r="F17" s="6" t="n">
        <v>1714</v>
      </c>
      <c r="G17" s="6" t="n">
        <v>1718</v>
      </c>
      <c r="H17" s="6" t="n">
        <v>1722</v>
      </c>
      <c r="I17" s="6" t="n">
        <v>1726</v>
      </c>
    </row>
    <row r="19">
      <c r="A19" s="23" t="inlineStr">
        <is>
          <t>Memo: New RSU Grants (M)</t>
        </is>
      </c>
      <c r="B19" s="24" t="n">
        <v>8</v>
      </c>
      <c r="C19" s="24" t="n">
        <v>8</v>
      </c>
      <c r="D19" s="24" t="n">
        <v>8</v>
      </c>
      <c r="E19" s="24" t="n">
        <v>8</v>
      </c>
      <c r="F19" s="24" t="n">
        <v>7</v>
      </c>
      <c r="G19" s="24" t="n">
        <v>7</v>
      </c>
      <c r="H19" s="24" t="n">
        <v>7</v>
      </c>
      <c r="I19" s="24" t="n">
        <v>7</v>
      </c>
    </row>
    <row r="20">
      <c r="A20" s="8" t="inlineStr">
        <is>
          <t>Memo: Quarterly SBC ($M)</t>
        </is>
      </c>
      <c r="B20" s="14" t="n">
        <v>264</v>
      </c>
      <c r="C20" s="14" t="n">
        <v>289</v>
      </c>
      <c r="D20" s="14" t="n">
        <v>314</v>
      </c>
      <c r="E20" s="14" t="n">
        <v>389</v>
      </c>
      <c r="F20" s="14" t="n">
        <v>258</v>
      </c>
      <c r="G20" s="14" t="n">
        <v>283</v>
      </c>
      <c r="H20" s="14" t="n">
        <v>307</v>
      </c>
      <c r="I20" s="14" t="n">
        <v>381</v>
      </c>
    </row>
    <row r="21">
      <c r="A21" s="8" t="inlineStr">
        <is>
          <t>Memo: SBC / Share ($)</t>
        </is>
      </c>
      <c r="B21" s="16" t="n">
        <v>0.16</v>
      </c>
      <c r="C21" s="16" t="n">
        <v>0.17</v>
      </c>
      <c r="D21" s="16" t="n">
        <v>0.18</v>
      </c>
      <c r="E21" s="16" t="n">
        <v>0.23</v>
      </c>
      <c r="F21" s="16" t="n">
        <v>0.15</v>
      </c>
      <c r="G21" s="16" t="n">
        <v>0.16</v>
      </c>
      <c r="H21" s="16" t="n">
        <v>0.18</v>
      </c>
      <c r="I21" s="16" t="n">
        <v>0.22</v>
      </c>
    </row>
    <row r="23">
      <c r="A23" s="25" t="inlineStr">
        <is>
          <t>Outstanding Equity Awards (est.)</t>
        </is>
      </c>
    </row>
    <row r="24">
      <c r="A24" s="8" t="inlineStr">
        <is>
          <t xml:space="preserve">  Unvested RSUs (M shares)</t>
        </is>
      </c>
      <c r="B24" s="14" t="n">
        <v>120</v>
      </c>
      <c r="C24" s="14" t="n">
        <v>117</v>
      </c>
      <c r="D24" s="14" t="n">
        <v>112</v>
      </c>
      <c r="E24" s="14" t="n">
        <v>108</v>
      </c>
      <c r="F24" s="14" t="n">
        <v>104</v>
      </c>
      <c r="G24" s="14" t="n">
        <v>101</v>
      </c>
      <c r="H24" s="14" t="n">
        <v>96</v>
      </c>
      <c r="I24" s="14" t="n">
        <v>92</v>
      </c>
    </row>
    <row r="25">
      <c r="A25" s="8" t="inlineStr">
        <is>
          <t xml:space="preserve">  Vested Unexercised Options (M)</t>
        </is>
      </c>
      <c r="B25" s="14" t="n">
        <v>15</v>
      </c>
      <c r="C25" s="14" t="n">
        <v>14</v>
      </c>
      <c r="D25" s="14" t="n">
        <v>13</v>
      </c>
      <c r="E25" s="14" t="n">
        <v>12</v>
      </c>
      <c r="F25" s="14" t="n">
        <v>11</v>
      </c>
      <c r="G25" s="14" t="n">
        <v>10</v>
      </c>
      <c r="H25" s="14" t="n">
        <v>9</v>
      </c>
      <c r="I25" s="14" t="n">
        <v>8</v>
      </c>
    </row>
  </sheetData>
  <mergeCells count="2">
    <mergeCell ref="A1:J1"/>
    <mergeCell ref="A10:J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Snap Inc. (SNAP) – Two-Way Sensitivity Analysis</t>
        </is>
      </c>
    </row>
    <row r="4">
      <c r="A4" s="25" t="inlineStr">
        <is>
          <t>TABLE 1: FY2026E Revenue ($M) — DAU Growth vs. ARPU Growth</t>
        </is>
      </c>
    </row>
    <row r="6">
      <c r="A6" s="5" t="inlineStr">
        <is>
          <t>DAU Growth ↓  /  ARPU Growth →</t>
        </is>
      </c>
      <c r="B6" s="26" t="n">
        <v>0.04</v>
      </c>
      <c r="C6" s="26" t="n">
        <v>0.06</v>
      </c>
      <c r="D6" s="26" t="n">
        <v>0.09</v>
      </c>
      <c r="E6" s="26" t="n">
        <v>0.12</v>
      </c>
      <c r="F6" s="26" t="n">
        <v>0.15</v>
      </c>
    </row>
    <row r="7">
      <c r="A7" s="27" t="n">
        <v>0.02</v>
      </c>
      <c r="B7" s="28" t="n">
        <v>6657</v>
      </c>
      <c r="C7" s="28" t="n">
        <v>6787</v>
      </c>
      <c r="D7" s="28" t="n">
        <v>6979</v>
      </c>
      <c r="E7" s="28" t="n">
        <v>7172</v>
      </c>
      <c r="F7" s="28" t="n">
        <v>7364</v>
      </c>
    </row>
    <row r="8">
      <c r="A8" s="27" t="n">
        <v>0.035</v>
      </c>
      <c r="B8" s="28" t="n">
        <v>6768</v>
      </c>
      <c r="C8" s="28" t="n">
        <v>6900</v>
      </c>
      <c r="D8" s="28" t="n">
        <v>7095</v>
      </c>
      <c r="E8" s="28" t="n">
        <v>7291</v>
      </c>
      <c r="F8" s="28" t="n">
        <v>7487</v>
      </c>
    </row>
    <row r="9">
      <c r="A9" s="27" t="n">
        <v>0.055</v>
      </c>
      <c r="B9" s="28" t="n">
        <v>6892</v>
      </c>
      <c r="C9" s="28" t="n">
        <v>7027</v>
      </c>
      <c r="D9" s="29" t="n">
        <v>7226</v>
      </c>
      <c r="E9" s="28" t="n">
        <v>7425</v>
      </c>
      <c r="F9" s="28" t="n">
        <v>7624</v>
      </c>
    </row>
    <row r="10">
      <c r="A10" s="27" t="n">
        <v>0.07000000000000001</v>
      </c>
      <c r="B10" s="28" t="n">
        <v>6989</v>
      </c>
      <c r="C10" s="28" t="n">
        <v>7126</v>
      </c>
      <c r="D10" s="28" t="n">
        <v>7328</v>
      </c>
      <c r="E10" s="28" t="n">
        <v>7530</v>
      </c>
      <c r="F10" s="28" t="n">
        <v>7732</v>
      </c>
    </row>
    <row r="11">
      <c r="A11" s="27" t="n">
        <v>0.08500000000000001</v>
      </c>
      <c r="B11" s="28" t="n">
        <v>7086</v>
      </c>
      <c r="C11" s="28" t="n">
        <v>7224</v>
      </c>
      <c r="D11" s="28" t="n">
        <v>7429</v>
      </c>
      <c r="E11" s="28" t="n">
        <v>7634</v>
      </c>
      <c r="F11" s="28" t="n">
        <v>7839</v>
      </c>
    </row>
    <row r="15">
      <c r="A15" s="25" t="inlineStr">
        <is>
          <t>TABLE 2: FY2026E EBITDA ($M) — Revenue Growth vs. EBITDA Margin</t>
        </is>
      </c>
    </row>
    <row r="17">
      <c r="A17" s="5" t="inlineStr">
        <is>
          <t>Rev Growth ↓  /  EBITDA Margin →</t>
        </is>
      </c>
      <c r="B17" s="26" t="n">
        <v>0.06</v>
      </c>
      <c r="C17" s="26" t="n">
        <v>0.09</v>
      </c>
      <c r="D17" s="26" t="n">
        <v>0.12</v>
      </c>
      <c r="E17" s="26" t="n">
        <v>0.15</v>
      </c>
      <c r="F17" s="26" t="n">
        <v>0.18</v>
      </c>
    </row>
    <row r="18">
      <c r="A18" s="27" t="n">
        <v>0.1</v>
      </c>
      <c r="B18" s="28" t="n">
        <v>415</v>
      </c>
      <c r="C18" s="28" t="n">
        <v>622</v>
      </c>
      <c r="D18" s="28" t="n">
        <v>829</v>
      </c>
      <c r="E18" s="28" t="n">
        <v>1036</v>
      </c>
      <c r="F18" s="28" t="n">
        <v>1244</v>
      </c>
    </row>
    <row r="19">
      <c r="A19" s="27" t="n">
        <v>0.14</v>
      </c>
      <c r="B19" s="28" t="n">
        <v>430</v>
      </c>
      <c r="C19" s="28" t="n">
        <v>644</v>
      </c>
      <c r="D19" s="28" t="n">
        <v>859</v>
      </c>
      <c r="E19" s="28" t="n">
        <v>1074</v>
      </c>
      <c r="F19" s="28" t="n">
        <v>1289</v>
      </c>
    </row>
    <row r="20">
      <c r="A20" s="27" t="n">
        <v>0.17</v>
      </c>
      <c r="B20" s="28" t="n">
        <v>441</v>
      </c>
      <c r="C20" s="28" t="n">
        <v>662</v>
      </c>
      <c r="D20" s="29" t="n">
        <v>882</v>
      </c>
      <c r="E20" s="28" t="n">
        <v>1102</v>
      </c>
      <c r="F20" s="28" t="n">
        <v>1323</v>
      </c>
    </row>
    <row r="21">
      <c r="A21" s="27" t="n">
        <v>0.2</v>
      </c>
      <c r="B21" s="28" t="n">
        <v>452</v>
      </c>
      <c r="C21" s="28" t="n">
        <v>678</v>
      </c>
      <c r="D21" s="28" t="n">
        <v>905</v>
      </c>
      <c r="E21" s="28" t="n">
        <v>1131</v>
      </c>
      <c r="F21" s="28" t="n">
        <v>1357</v>
      </c>
    </row>
    <row r="22">
      <c r="A22" s="27" t="n">
        <v>0.24</v>
      </c>
      <c r="B22" s="28" t="n">
        <v>467</v>
      </c>
      <c r="C22" s="28" t="n">
        <v>701</v>
      </c>
      <c r="D22" s="28" t="n">
        <v>935</v>
      </c>
      <c r="E22" s="28" t="n">
        <v>1168</v>
      </c>
      <c r="F22" s="28" t="n">
        <v>1402</v>
      </c>
    </row>
    <row r="26">
      <c r="A26" s="25" t="inlineStr">
        <is>
          <t>TABLE 3: Implied Share Price ($) — WACC vs. Terminal Growth Rate (DCF)</t>
        </is>
      </c>
    </row>
    <row r="28">
      <c r="A28" s="5" t="inlineStr">
        <is>
          <t>WACC ↓  /  Terminal Growth →</t>
        </is>
      </c>
      <c r="B28" s="26" t="n">
        <v>0.02</v>
      </c>
      <c r="C28" s="26" t="n">
        <v>0.025</v>
      </c>
      <c r="D28" s="26" t="n">
        <v>0.03</v>
      </c>
      <c r="E28" s="26" t="n">
        <v>0.035</v>
      </c>
      <c r="F28" s="26" t="n">
        <v>0.04</v>
      </c>
    </row>
    <row r="29">
      <c r="A29" s="27" t="n">
        <v>0.09</v>
      </c>
      <c r="B29" s="30" t="n">
        <v>16.5</v>
      </c>
      <c r="C29" s="30" t="n">
        <v>17.6</v>
      </c>
      <c r="D29" s="30" t="n">
        <v>18.9</v>
      </c>
      <c r="E29" s="30" t="n">
        <v>20.4</v>
      </c>
      <c r="F29" s="30" t="n">
        <v>22.2</v>
      </c>
    </row>
    <row r="30">
      <c r="A30" s="27" t="n">
        <v>0.1</v>
      </c>
      <c r="B30" s="30" t="n">
        <v>14.3</v>
      </c>
      <c r="C30" s="30" t="n">
        <v>15.1</v>
      </c>
      <c r="D30" s="30" t="n">
        <v>16.1</v>
      </c>
      <c r="E30" s="30" t="n">
        <v>17.1</v>
      </c>
      <c r="F30" s="30" t="n">
        <v>18.4</v>
      </c>
    </row>
    <row r="31">
      <c r="A31" s="27" t="n">
        <v>0.11</v>
      </c>
      <c r="B31" s="30" t="n">
        <v>12.6</v>
      </c>
      <c r="C31" s="30" t="n">
        <v>13.2</v>
      </c>
      <c r="D31" s="31" t="n">
        <v>13.9</v>
      </c>
      <c r="E31" s="30" t="n">
        <v>14.7</v>
      </c>
      <c r="F31" s="30" t="n">
        <v>15.6</v>
      </c>
    </row>
    <row r="32">
      <c r="A32" s="27" t="n">
        <v>0.12</v>
      </c>
      <c r="B32" s="30" t="n">
        <v>11.3</v>
      </c>
      <c r="C32" s="30" t="n">
        <v>11.8</v>
      </c>
      <c r="D32" s="30" t="n">
        <v>12.3</v>
      </c>
      <c r="E32" s="30" t="n">
        <v>12.9</v>
      </c>
      <c r="F32" s="30" t="n">
        <v>13.6</v>
      </c>
    </row>
    <row r="33">
      <c r="A33" s="27" t="n">
        <v>0.13</v>
      </c>
      <c r="B33" s="30" t="n">
        <v>10.2</v>
      </c>
      <c r="C33" s="30" t="n">
        <v>10.6</v>
      </c>
      <c r="D33" s="30" t="n">
        <v>11</v>
      </c>
      <c r="E33" s="30" t="n">
        <v>11.5</v>
      </c>
      <c r="F33" s="30" t="n">
        <v>12</v>
      </c>
    </row>
  </sheetData>
  <mergeCells count="4">
    <mergeCell ref="A15:I15"/>
    <mergeCell ref="A4:I4"/>
    <mergeCell ref="A26:I26"/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I89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Snap Inc. (SNAP) – Valuation Cross-Checks</t>
        </is>
      </c>
    </row>
    <row r="3">
      <c r="A3" s="4" t="inlineStr">
        <is>
          <t>1. DCF Valuation</t>
        </is>
      </c>
    </row>
    <row r="4">
      <c r="A4" s="5" t="inlineStr">
        <is>
          <t>Key Assumptions</t>
        </is>
      </c>
    </row>
    <row r="5">
      <c r="A5" s="8" t="inlineStr">
        <is>
          <t xml:space="preserve">  WACC</t>
        </is>
      </c>
      <c r="B5" s="32" t="n">
        <v>0.11</v>
      </c>
    </row>
    <row r="6">
      <c r="A6" s="8" t="inlineStr">
        <is>
          <t xml:space="preserve">  Terminal Growth Rate</t>
        </is>
      </c>
      <c r="B6" s="32" t="n">
        <v>0.03</v>
      </c>
    </row>
    <row r="7">
      <c r="A7" s="8" t="inlineStr">
        <is>
          <t xml:space="preserve">  Net Debt ($M)</t>
        </is>
      </c>
      <c r="B7" s="14" t="n">
        <v>-222</v>
      </c>
    </row>
    <row r="8">
      <c r="A8" s="8" t="inlineStr">
        <is>
          <t xml:space="preserve">  Shares Outstanding (M)</t>
        </is>
      </c>
      <c r="B8" s="14" t="n">
        <v>1726</v>
      </c>
    </row>
    <row r="10">
      <c r="A10" s="2" t="inlineStr"/>
      <c r="B10" s="2" t="inlineStr">
        <is>
          <t>FY2025E</t>
        </is>
      </c>
      <c r="C10" s="2" t="inlineStr">
        <is>
          <t>FY2026E</t>
        </is>
      </c>
      <c r="D10" s="2" t="inlineStr">
        <is>
          <t>FY2027E</t>
        </is>
      </c>
      <c r="E10" s="2" t="inlineStr">
        <is>
          <t>FY2028E</t>
        </is>
      </c>
    </row>
    <row r="11">
      <c r="A11" s="8" t="inlineStr">
        <is>
          <t>Free Cash Flow ($M)</t>
        </is>
      </c>
      <c r="B11" s="14" t="n">
        <v>962</v>
      </c>
      <c r="C11" s="14" t="n">
        <v>1422</v>
      </c>
      <c r="D11" s="14" t="n">
        <v>1825</v>
      </c>
      <c r="E11" s="14" t="n">
        <v>2242</v>
      </c>
    </row>
    <row r="12">
      <c r="A12" s="8" t="inlineStr">
        <is>
          <t>Discount Factor</t>
        </is>
      </c>
      <c r="B12" s="33" t="n">
        <v>0.9009</v>
      </c>
      <c r="C12" s="33" t="n">
        <v>0.8116</v>
      </c>
      <c r="D12" s="33" t="n">
        <v>0.7312</v>
      </c>
      <c r="E12" s="33" t="n">
        <v>0.6587</v>
      </c>
    </row>
    <row r="13">
      <c r="A13" s="8" t="inlineStr">
        <is>
          <t>PV of FCF ($M)</t>
        </is>
      </c>
      <c r="B13" s="14" t="n">
        <v>867</v>
      </c>
      <c r="C13" s="14" t="n">
        <v>1154</v>
      </c>
      <c r="D13" s="14" t="n">
        <v>1334</v>
      </c>
      <c r="E13" s="14" t="n">
        <v>1477</v>
      </c>
    </row>
    <row r="15">
      <c r="A15" s="5" t="inlineStr">
        <is>
          <t>Sum PV of FCFs</t>
        </is>
      </c>
      <c r="B15" s="6" t="n">
        <v>4832</v>
      </c>
    </row>
    <row r="16">
      <c r="A16" s="8" t="inlineStr">
        <is>
          <t>Terminal Value</t>
        </is>
      </c>
      <c r="B16" s="14" t="n">
        <v>28866</v>
      </c>
    </row>
    <row r="17">
      <c r="A17" s="8" t="inlineStr">
        <is>
          <t>PV of Terminal Value</t>
        </is>
      </c>
      <c r="B17" s="14" t="n">
        <v>19015</v>
      </c>
    </row>
    <row r="18">
      <c r="A18" s="5" t="inlineStr">
        <is>
          <t>Enterprise Value</t>
        </is>
      </c>
      <c r="B18" s="6" t="n">
        <v>23847</v>
      </c>
    </row>
    <row r="19">
      <c r="A19" s="5" t="inlineStr">
        <is>
          <t>Equity Value</t>
        </is>
      </c>
      <c r="B19" s="6" t="n">
        <v>24069</v>
      </c>
    </row>
    <row r="20">
      <c r="A20" s="17" t="inlineStr">
        <is>
          <t>Implied Share Price</t>
        </is>
      </c>
      <c r="B20" s="34" t="n">
        <v>13.94</v>
      </c>
    </row>
    <row r="23">
      <c r="A23" s="4" t="inlineStr">
        <is>
          <t>2. Cohort NPV / User Economics</t>
        </is>
      </c>
    </row>
    <row r="24">
      <c r="A24" s="35" t="inlineStr">
        <is>
          <t>Methodology: Value each annual user cohort's lifetime revenue stream</t>
        </is>
      </c>
    </row>
    <row r="26">
      <c r="A26" s="5" t="inlineStr">
        <is>
          <t>Cohort Assumptions</t>
        </is>
      </c>
    </row>
    <row r="27">
      <c r="A27" s="8" t="inlineStr">
        <is>
          <t xml:space="preserve">  Year-1 ARPU</t>
        </is>
      </c>
      <c r="B27" s="36" t="n">
        <v>13.31</v>
      </c>
    </row>
    <row r="28">
      <c r="A28" s="8" t="inlineStr">
        <is>
          <t xml:space="preserve">  ARPU Annual Growth</t>
        </is>
      </c>
      <c r="B28" s="32" t="n">
        <v>0.05</v>
      </c>
    </row>
    <row r="29">
      <c r="A29" s="8" t="inlineStr">
        <is>
          <t xml:space="preserve">  Annual Churn Rate</t>
        </is>
      </c>
      <c r="B29" s="32" t="n">
        <v>0.2</v>
      </c>
    </row>
    <row r="30">
      <c r="A30" s="8" t="inlineStr">
        <is>
          <t xml:space="preserve">  Cohort Gross Margin</t>
        </is>
      </c>
      <c r="B30" s="32" t="n">
        <v>0.5600000000000001</v>
      </c>
    </row>
    <row r="31">
      <c r="A31" s="8" t="inlineStr">
        <is>
          <t xml:space="preserve">  Discount Rate</t>
        </is>
      </c>
      <c r="B31" s="32" t="n">
        <v>0.11</v>
      </c>
    </row>
    <row r="32">
      <c r="A32" s="8" t="inlineStr">
        <is>
          <t xml:space="preserve">  CAC per User ($)</t>
        </is>
      </c>
      <c r="B32" s="36" t="n">
        <v>3.5</v>
      </c>
    </row>
    <row r="34">
      <c r="A34" s="2" t="inlineStr"/>
      <c r="B34" s="2" t="inlineStr">
        <is>
          <t>Year 1</t>
        </is>
      </c>
      <c r="C34" s="2" t="inlineStr">
        <is>
          <t>Year 2</t>
        </is>
      </c>
      <c r="D34" s="2" t="inlineStr">
        <is>
          <t>Year 3</t>
        </is>
      </c>
      <c r="E34" s="2" t="inlineStr">
        <is>
          <t>Year 4</t>
        </is>
      </c>
      <c r="F34" s="2" t="inlineStr">
        <is>
          <t>Year 5</t>
        </is>
      </c>
      <c r="G34" s="2" t="inlineStr">
        <is>
          <t>Year 6</t>
        </is>
      </c>
      <c r="H34" s="2" t="inlineStr">
        <is>
          <t>Year 7</t>
        </is>
      </c>
      <c r="I34" s="2" t="inlineStr">
        <is>
          <t>Year 8</t>
        </is>
      </c>
    </row>
    <row r="35">
      <c r="A35" s="8" t="inlineStr">
        <is>
          <t>Retention Rate</t>
        </is>
      </c>
      <c r="B35" s="9" t="n">
        <v>1</v>
      </c>
      <c r="C35" s="9" t="n">
        <v>0.8</v>
      </c>
      <c r="D35" s="9" t="n">
        <v>0.64</v>
      </c>
      <c r="E35" s="9" t="n">
        <v>0.512</v>
      </c>
      <c r="F35" s="9" t="n">
        <v>0.41</v>
      </c>
      <c r="G35" s="9" t="n">
        <v>0.328</v>
      </c>
      <c r="H35" s="9" t="n">
        <v>0.262</v>
      </c>
      <c r="I35" s="9" t="n">
        <v>0.21</v>
      </c>
    </row>
    <row r="36">
      <c r="A36" s="8" t="inlineStr">
        <is>
          <t>ARPU ($)</t>
        </is>
      </c>
      <c r="B36" s="16" t="n">
        <v>13.31</v>
      </c>
      <c r="C36" s="16" t="n">
        <v>13.98</v>
      </c>
      <c r="D36" s="16" t="n">
        <v>14.67</v>
      </c>
      <c r="E36" s="16" t="n">
        <v>15.41</v>
      </c>
      <c r="F36" s="16" t="n">
        <v>16.18</v>
      </c>
      <c r="G36" s="16" t="n">
        <v>16.99</v>
      </c>
      <c r="H36" s="16" t="n">
        <v>17.84</v>
      </c>
      <c r="I36" s="16" t="n">
        <v>18.73</v>
      </c>
    </row>
    <row r="37">
      <c r="A37" s="8" t="inlineStr">
        <is>
          <t>GP / User ($)</t>
        </is>
      </c>
      <c r="B37" s="16" t="n">
        <v>7.45</v>
      </c>
      <c r="C37" s="16" t="n">
        <v>6.26</v>
      </c>
      <c r="D37" s="16" t="n">
        <v>5.26</v>
      </c>
      <c r="E37" s="16" t="n">
        <v>4.42</v>
      </c>
      <c r="F37" s="16" t="n">
        <v>3.71</v>
      </c>
      <c r="G37" s="16" t="n">
        <v>3.12</v>
      </c>
      <c r="H37" s="16" t="n">
        <v>2.62</v>
      </c>
      <c r="I37" s="16" t="n">
        <v>2.2</v>
      </c>
    </row>
    <row r="38">
      <c r="A38" s="8" t="inlineStr">
        <is>
          <t>PV of GP / User ($)</t>
        </is>
      </c>
      <c r="B38" s="16" t="n">
        <v>6.71</v>
      </c>
      <c r="C38" s="16" t="n">
        <v>5.08</v>
      </c>
      <c r="D38" s="16" t="n">
        <v>3.85</v>
      </c>
      <c r="E38" s="16" t="n">
        <v>2.91</v>
      </c>
      <c r="F38" s="16" t="n">
        <v>2.2</v>
      </c>
      <c r="G38" s="16" t="n">
        <v>1.67</v>
      </c>
      <c r="H38" s="16" t="n">
        <v>1.26</v>
      </c>
      <c r="I38" s="16" t="n">
        <v>0.95</v>
      </c>
    </row>
    <row r="40">
      <c r="A40" s="5" t="inlineStr">
        <is>
          <t>Lifetime Value per User (LTV)</t>
        </is>
      </c>
      <c r="B40" s="11" t="n">
        <v>24.63</v>
      </c>
    </row>
    <row r="41">
      <c r="A41" s="8" t="inlineStr">
        <is>
          <t>CAC per User</t>
        </is>
      </c>
      <c r="B41" s="16" t="n">
        <v>3.5</v>
      </c>
    </row>
    <row r="42">
      <c r="A42" s="5" t="inlineStr">
        <is>
          <t>LTV / CAC Ratio</t>
        </is>
      </c>
      <c r="B42" s="37" t="n">
        <v>7</v>
      </c>
    </row>
    <row r="43">
      <c r="A43" s="5" t="inlineStr">
        <is>
          <t>NPV per User ($)</t>
        </is>
      </c>
      <c r="B43" s="11" t="n">
        <v>21.13</v>
      </c>
    </row>
    <row r="45">
      <c r="A45" s="5" t="inlineStr">
        <is>
          <t>Implied EV (NPV/user × DAU)</t>
        </is>
      </c>
      <c r="B45" s="6" t="n">
        <v>9973</v>
      </c>
    </row>
    <row r="46">
      <c r="A46" s="5" t="inlineStr">
        <is>
          <t>Implied Equity Value</t>
        </is>
      </c>
      <c r="B46" s="6" t="n">
        <v>10195</v>
      </c>
    </row>
    <row r="47">
      <c r="A47" s="5" t="inlineStr">
        <is>
          <t>Implied Share Price (Cohort)</t>
        </is>
      </c>
      <c r="B47" s="11" t="n">
        <v>5.91</v>
      </c>
    </row>
    <row r="50">
      <c r="A50" s="4" t="inlineStr">
        <is>
          <t>3. Adoption S-Curve Analysis</t>
        </is>
      </c>
    </row>
    <row r="52">
      <c r="A52" s="5" t="inlineStr">
        <is>
          <t>S-Curve Assumptions</t>
        </is>
      </c>
    </row>
    <row r="53">
      <c r="A53" s="8" t="inlineStr">
        <is>
          <t xml:space="preserve">  Total Addressable Market (M DAU)</t>
        </is>
      </c>
      <c r="B53" s="24" t="n">
        <v>800</v>
      </c>
    </row>
    <row r="54">
      <c r="A54" s="8" t="inlineStr">
        <is>
          <t xml:space="preserve">  Current Penetration</t>
        </is>
      </c>
      <c r="B54" s="9" t="n">
        <v>0.59</v>
      </c>
    </row>
    <row r="55">
      <c r="A55" s="35" t="inlineStr">
        <is>
          <t xml:space="preserve">  Implied Position: Mid-curve inflection → growth deceleration</t>
        </is>
      </c>
    </row>
    <row r="57">
      <c r="A57" s="2" t="inlineStr">
        <is>
          <t>Year</t>
        </is>
      </c>
      <c r="B57" s="2" t="inlineStr">
        <is>
          <t>DAU (M)</t>
        </is>
      </c>
      <c r="C57" s="2" t="inlineStr">
        <is>
          <t>Penetration</t>
        </is>
      </c>
      <c r="D57" s="2" t="inlineStr">
        <is>
          <t>YoY Growth</t>
        </is>
      </c>
      <c r="E57" s="2" t="inlineStr">
        <is>
          <t>Phase</t>
        </is>
      </c>
    </row>
    <row r="58">
      <c r="A58" s="8" t="n">
        <v>2020</v>
      </c>
      <c r="B58" s="8" t="n">
        <v>265</v>
      </c>
      <c r="C58" s="9" t="n">
        <v>0.331</v>
      </c>
      <c r="D58" s="8" t="n"/>
      <c r="E58" s="8" t="inlineStr">
        <is>
          <t>Early Growth</t>
        </is>
      </c>
    </row>
    <row r="59">
      <c r="A59" s="8" t="n">
        <v>2021</v>
      </c>
      <c r="B59" s="8" t="n">
        <v>319</v>
      </c>
      <c r="C59" s="9" t="n">
        <v>0.399</v>
      </c>
      <c r="D59" s="9" t="n">
        <v>0.204</v>
      </c>
      <c r="E59" s="8" t="inlineStr">
        <is>
          <t>Early Growth</t>
        </is>
      </c>
    </row>
    <row r="60">
      <c r="A60" s="8" t="n">
        <v>2022</v>
      </c>
      <c r="B60" s="8" t="n">
        <v>375</v>
      </c>
      <c r="C60" s="9" t="n">
        <v>0.469</v>
      </c>
      <c r="D60" s="9" t="n">
        <v>0.176</v>
      </c>
      <c r="E60" s="8" t="inlineStr">
        <is>
          <t>Acceleration</t>
        </is>
      </c>
    </row>
    <row r="61">
      <c r="A61" s="8" t="n">
        <v>2023</v>
      </c>
      <c r="B61" s="8" t="n">
        <v>414</v>
      </c>
      <c r="C61" s="9" t="n">
        <v>0.517</v>
      </c>
      <c r="D61" s="9" t="n">
        <v>0.104</v>
      </c>
      <c r="E61" s="8" t="inlineStr">
        <is>
          <t>Mid-Curve</t>
        </is>
      </c>
    </row>
    <row r="62">
      <c r="A62" s="8" t="n">
        <v>2024</v>
      </c>
      <c r="B62" s="8" t="n">
        <v>443</v>
      </c>
      <c r="C62" s="9" t="n">
        <v>0.554</v>
      </c>
      <c r="D62" s="9" t="n">
        <v>0.07000000000000001</v>
      </c>
      <c r="E62" s="8" t="inlineStr">
        <is>
          <t>Mid-Curve</t>
        </is>
      </c>
    </row>
    <row r="63">
      <c r="A63" s="8" t="n">
        <v>2025</v>
      </c>
      <c r="B63" s="8" t="n">
        <v>472</v>
      </c>
      <c r="C63" s="9" t="n">
        <v>0.59</v>
      </c>
      <c r="D63" s="9" t="n">
        <v>0.065</v>
      </c>
      <c r="E63" s="8" t="inlineStr">
        <is>
          <t>Deceleration</t>
        </is>
      </c>
    </row>
    <row r="64">
      <c r="A64" s="8" t="n">
        <v>2026</v>
      </c>
      <c r="B64" s="8" t="n">
        <v>498</v>
      </c>
      <c r="C64" s="9" t="n">
        <v>0.623</v>
      </c>
      <c r="D64" s="9" t="n">
        <v>0.055</v>
      </c>
      <c r="E64" s="8" t="inlineStr">
        <is>
          <t>Deceleration</t>
        </is>
      </c>
    </row>
    <row r="65">
      <c r="A65" s="8" t="n">
        <v>2027</v>
      </c>
      <c r="B65" s="8" t="n">
        <v>520</v>
      </c>
      <c r="C65" s="9" t="n">
        <v>0.65</v>
      </c>
      <c r="D65" s="9" t="n">
        <v>0.044</v>
      </c>
      <c r="E65" s="8" t="inlineStr">
        <is>
          <t>Deceleration</t>
        </is>
      </c>
    </row>
    <row r="66">
      <c r="A66" s="8" t="n">
        <v>2028</v>
      </c>
      <c r="B66" s="8" t="n">
        <v>541</v>
      </c>
      <c r="C66" s="9" t="n">
        <v>0.676</v>
      </c>
      <c r="D66" s="9" t="n">
        <v>0.04</v>
      </c>
      <c r="E66" s="8" t="inlineStr">
        <is>
          <t>Deceleration</t>
        </is>
      </c>
    </row>
    <row r="67">
      <c r="A67" s="8" t="n">
        <v>2029</v>
      </c>
      <c r="B67" s="8" t="n">
        <v>560</v>
      </c>
      <c r="C67" s="9" t="n">
        <v>0.7</v>
      </c>
      <c r="D67" s="9" t="n">
        <v>0.035</v>
      </c>
      <c r="E67" s="8" t="inlineStr">
        <is>
          <t>Maturation</t>
        </is>
      </c>
    </row>
    <row r="68">
      <c r="A68" s="8" t="n">
        <v>2030</v>
      </c>
      <c r="B68" s="8" t="n">
        <v>577</v>
      </c>
      <c r="C68" s="9" t="n">
        <v>0.721</v>
      </c>
      <c r="D68" s="9" t="n">
        <v>0.03</v>
      </c>
      <c r="E68" s="8" t="inlineStr">
        <is>
          <t>Maturation</t>
        </is>
      </c>
    </row>
    <row r="71">
      <c r="A71" s="4" t="inlineStr">
        <is>
          <t>4. Unit Economics → EV Sanity Check</t>
        </is>
      </c>
    </row>
    <row r="73">
      <c r="A73" s="2" t="inlineStr">
        <is>
          <t>Metric</t>
        </is>
      </c>
      <c r="B73" s="2" t="inlineStr">
        <is>
          <t>Value</t>
        </is>
      </c>
      <c r="C73" s="2" t="inlineStr">
        <is>
          <t>Commentary</t>
        </is>
      </c>
    </row>
    <row r="74">
      <c r="A74" s="8" t="inlineStr">
        <is>
          <t>Current Market Cap ($M, est.)</t>
        </is>
      </c>
      <c r="B74" s="14" t="n">
        <v>18000</v>
      </c>
      <c r="C74" s="14" t="inlineStr">
        <is>
          <t>~$10-11/share × ~1.7B shares</t>
        </is>
      </c>
    </row>
    <row r="75">
      <c r="A75" s="8" t="inlineStr">
        <is>
          <t>Enterprise Value ($M, est.)</t>
        </is>
      </c>
      <c r="B75" s="14" t="n">
        <v>17778</v>
      </c>
      <c r="C75" s="14" t="inlineStr">
        <is>
          <t>Market Cap + Net Debt</t>
        </is>
      </c>
    </row>
    <row r="76">
      <c r="A76" s="8" t="inlineStr">
        <is>
          <t>EV / DAU ($)</t>
        </is>
      </c>
      <c r="B76" s="16" t="n">
        <v>37.7</v>
      </c>
      <c r="C76" s="16" t="inlineStr">
        <is>
          <t>vs. META ~$310, PINS ~$75, TWTR was ~$85</t>
        </is>
      </c>
    </row>
    <row r="77">
      <c r="A77" s="8" t="inlineStr">
        <is>
          <t>EV / FY2025E Revenue</t>
        </is>
      </c>
      <c r="B77" s="38" t="n">
        <v>2.8</v>
      </c>
      <c r="C77" s="38" t="inlineStr">
        <is>
          <t>vs. social-media peers at 4-8x</t>
        </is>
      </c>
    </row>
    <row r="78">
      <c r="A78" s="8" t="inlineStr">
        <is>
          <t>EV / FY2026E EBITDA</t>
        </is>
      </c>
      <c r="B78" s="38" t="n">
        <v>44.6</v>
      </c>
      <c r="C78" s="38" t="inlineStr">
        <is>
          <t>vs. peers at 15-25x</t>
        </is>
      </c>
    </row>
    <row r="79">
      <c r="A79" s="8" t="inlineStr">
        <is>
          <t>FY2026E FCF Yield</t>
        </is>
      </c>
      <c r="B79" s="9" t="n">
        <v>0.079</v>
      </c>
      <c r="C79" s="9" t="inlineStr">
        <is>
          <t>Implies early FCF inflection</t>
        </is>
      </c>
    </row>
    <row r="81">
      <c r="A81" s="5" t="inlineStr">
        <is>
          <t>Revenue / DAU (ARPU) Benchmarks</t>
        </is>
      </c>
    </row>
    <row r="82">
      <c r="A82" s="8" t="inlineStr">
        <is>
          <t xml:space="preserve">  Snap FY2025E ARPU</t>
        </is>
      </c>
      <c r="B82" s="16" t="n">
        <v>13.31</v>
      </c>
      <c r="C82" s="16" t="inlineStr">
        <is>
          <t>vs. META ~$50+, PINS ~$7</t>
        </is>
      </c>
    </row>
    <row r="83">
      <c r="A83" s="8" t="inlineStr">
        <is>
          <t xml:space="preserve">  Snap FY2028E ARPU</t>
        </is>
      </c>
      <c r="B83" s="16" t="n">
        <v>16.77</v>
      </c>
      <c r="C83" s="16" t="inlineStr">
        <is>
          <t>Significant ARPU upside vs. META</t>
        </is>
      </c>
    </row>
    <row r="85">
      <c r="A85" s="4" t="inlineStr">
        <is>
          <t>Valuation Summary</t>
        </is>
      </c>
    </row>
    <row r="86">
      <c r="A86" s="2" t="inlineStr">
        <is>
          <t>Method</t>
        </is>
      </c>
      <c r="B86" s="2" t="inlineStr">
        <is>
          <t>Implied Price ($)</t>
        </is>
      </c>
      <c r="C86" s="2" t="inlineStr">
        <is>
          <t>Upside/Downside</t>
        </is>
      </c>
    </row>
    <row r="87">
      <c r="A87" s="8" t="inlineStr">
        <is>
          <t>DCF (Base Case)</t>
        </is>
      </c>
      <c r="B87" s="16" t="n">
        <v>13.94</v>
      </c>
      <c r="C87" s="9" t="n">
        <v>0.328</v>
      </c>
    </row>
    <row r="88">
      <c r="A88" s="8" t="inlineStr">
        <is>
          <t>Cohort NPV</t>
        </is>
      </c>
      <c r="B88" s="16" t="n">
        <v>5.91</v>
      </c>
      <c r="C88" s="9" t="n">
        <v>-0.437</v>
      </c>
    </row>
    <row r="89">
      <c r="A89" s="8" t="inlineStr">
        <is>
          <t>EV/Revenue Comp (4.0x FY26E)</t>
        </is>
      </c>
      <c r="B89" s="16" t="n">
        <v>16.87</v>
      </c>
      <c r="C89" s="9" t="n">
        <v>0.607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0000"/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Snap Inc. (SNAP) – Key Model Assumptions &amp; Drivers</t>
        </is>
      </c>
    </row>
    <row r="3">
      <c r="A3" s="39" t="inlineStr">
        <is>
          <t>All yellow-highlighted cells are adjustable inputs</t>
        </is>
      </c>
    </row>
    <row r="5">
      <c r="A5" s="2" t="inlineStr"/>
      <c r="B5" s="2" t="inlineStr">
        <is>
          <t>FY2025E</t>
        </is>
      </c>
      <c r="C5" s="2" t="inlineStr">
        <is>
          <t>FY2026E</t>
        </is>
      </c>
      <c r="D5" s="2" t="inlineStr">
        <is>
          <t>FY2027E</t>
        </is>
      </c>
      <c r="E5" s="2" t="inlineStr">
        <is>
          <t>FY2028E</t>
        </is>
      </c>
    </row>
    <row r="6">
      <c r="A6" s="4" t="inlineStr">
        <is>
          <t>Growth Drivers</t>
        </is>
      </c>
    </row>
    <row r="7">
      <c r="A7" s="23" t="inlineStr">
        <is>
          <t>DAU Growth (YoY)</t>
        </is>
      </c>
      <c r="B7" s="32" t="n">
        <v>0.065</v>
      </c>
      <c r="C7" s="32" t="n">
        <v>0.055</v>
      </c>
      <c r="D7" s="32" t="n">
        <v>0.045</v>
      </c>
      <c r="E7" s="32" t="n">
        <v>0.04</v>
      </c>
    </row>
    <row r="8">
      <c r="A8" s="23" t="inlineStr">
        <is>
          <t>ARPU Growth (YoY)</t>
        </is>
      </c>
      <c r="B8" s="32" t="n">
        <v>0.1</v>
      </c>
      <c r="C8" s="32" t="n">
        <v>0.09</v>
      </c>
      <c r="D8" s="32" t="n">
        <v>0.08</v>
      </c>
      <c r="E8" s="32" t="n">
        <v>0.07000000000000001</v>
      </c>
    </row>
    <row r="9">
      <c r="A9" s="8" t="inlineStr">
        <is>
          <t>Implied Revenue Growth</t>
        </is>
      </c>
      <c r="B9" s="9" t="n">
        <v>0.172</v>
      </c>
      <c r="C9" s="9" t="n">
        <v>0.15</v>
      </c>
      <c r="D9" s="9" t="n">
        <v>0.128</v>
      </c>
      <c r="E9" s="9" t="n">
        <v>0.114</v>
      </c>
    </row>
    <row r="11">
      <c r="A11" s="4" t="inlineStr">
        <is>
          <t>Margin Assumptions</t>
        </is>
      </c>
    </row>
    <row r="12">
      <c r="A12" s="23" t="inlineStr">
        <is>
          <t>Gross Margin</t>
        </is>
      </c>
      <c r="B12" s="32" t="n">
        <v>0.555</v>
      </c>
      <c r="C12" s="32" t="n">
        <v>0.57</v>
      </c>
      <c r="D12" s="32" t="n">
        <v>0.585</v>
      </c>
      <c r="E12" s="32" t="n">
        <v>0.6</v>
      </c>
    </row>
    <row r="13">
      <c r="A13" s="23" t="inlineStr">
        <is>
          <t>R&amp;D % of Revenue</t>
        </is>
      </c>
      <c r="B13" s="32" t="n">
        <v>0.3</v>
      </c>
      <c r="C13" s="32" t="n">
        <v>0.27</v>
      </c>
      <c r="D13" s="32" t="n">
        <v>0.25</v>
      </c>
      <c r="E13" s="32" t="n">
        <v>0.23</v>
      </c>
    </row>
    <row r="14">
      <c r="A14" s="23" t="inlineStr">
        <is>
          <t>S&amp;M % of Revenue</t>
        </is>
      </c>
      <c r="B14" s="32" t="n">
        <v>0.21</v>
      </c>
      <c r="C14" s="32" t="n">
        <v>0.19</v>
      </c>
      <c r="D14" s="32" t="n">
        <v>0.18</v>
      </c>
      <c r="E14" s="32" t="n">
        <v>0.17</v>
      </c>
    </row>
    <row r="15">
      <c r="A15" s="23" t="inlineStr">
        <is>
          <t>G&amp;A % of Revenue</t>
        </is>
      </c>
      <c r="B15" s="32" t="n">
        <v>0.095</v>
      </c>
      <c r="C15" s="32" t="n">
        <v>0.08799999999999999</v>
      </c>
      <c r="D15" s="32" t="n">
        <v>0.082</v>
      </c>
      <c r="E15" s="32" t="n">
        <v>0.078</v>
      </c>
    </row>
    <row r="16">
      <c r="A16" s="23" t="inlineStr">
        <is>
          <t>SBC % of Revenue</t>
        </is>
      </c>
      <c r="B16" s="32" t="n">
        <v>0.2</v>
      </c>
      <c r="C16" s="32" t="n">
        <v>0.17</v>
      </c>
      <c r="D16" s="32" t="n">
        <v>0.15</v>
      </c>
      <c r="E16" s="32" t="n">
        <v>0.13</v>
      </c>
    </row>
    <row r="18">
      <c r="A18" s="4" t="inlineStr">
        <is>
          <t>Other Assumptions</t>
        </is>
      </c>
    </row>
    <row r="19">
      <c r="A19" s="23" t="inlineStr">
        <is>
          <t>D&amp;A ($M)</t>
        </is>
      </c>
      <c r="B19" s="24" t="n">
        <v>225</v>
      </c>
      <c r="C19" s="24" t="n">
        <v>240</v>
      </c>
      <c r="D19" s="24" t="n">
        <v>255</v>
      </c>
      <c r="E19" s="24" t="n">
        <v>270</v>
      </c>
    </row>
    <row r="20">
      <c r="A20" s="23" t="inlineStr">
        <is>
          <t>CapEx ($M)</t>
        </is>
      </c>
      <c r="B20" s="24" t="n">
        <v>95</v>
      </c>
      <c r="C20" s="24" t="n">
        <v>100</v>
      </c>
      <c r="D20" s="24" t="n">
        <v>105</v>
      </c>
      <c r="E20" s="24" t="n">
        <v>110</v>
      </c>
    </row>
    <row r="21">
      <c r="A21" s="23" t="inlineStr">
        <is>
          <t>Effective Tax Rate</t>
        </is>
      </c>
      <c r="B21" s="32" t="n">
        <v>0.05</v>
      </c>
      <c r="C21" s="32" t="n">
        <v>0.07000000000000001</v>
      </c>
      <c r="D21" s="32" t="n">
        <v>0.1</v>
      </c>
      <c r="E21" s="32" t="n">
        <v>0.12</v>
      </c>
    </row>
    <row r="22">
      <c r="A22" s="23" t="inlineStr">
        <is>
          <t>Interest Expense ($M)</t>
        </is>
      </c>
      <c r="B22" s="24" t="n">
        <v>90</v>
      </c>
      <c r="C22" s="24" t="n">
        <v>85</v>
      </c>
      <c r="D22" s="24" t="n">
        <v>80</v>
      </c>
      <c r="E22" s="24" t="n">
        <v>75</v>
      </c>
    </row>
    <row r="23">
      <c r="A23" s="23" t="inlineStr">
        <is>
          <t>Annual Share Dilution (%)</t>
        </is>
      </c>
      <c r="B23" s="32" t="n">
        <v>0.012</v>
      </c>
      <c r="C23" s="32" t="n">
        <v>0.008999999999999999</v>
      </c>
      <c r="D23" s="32" t="n">
        <v>0.008999999999999999</v>
      </c>
      <c r="E23" s="32" t="n">
        <v>0.008999999999999999</v>
      </c>
    </row>
    <row r="25">
      <c r="A25" s="4" t="inlineStr">
        <is>
          <t>Revenue Build Check</t>
        </is>
      </c>
    </row>
    <row r="26">
      <c r="A26" s="8" t="inlineStr">
        <is>
          <t>DAU (M, year-end)</t>
        </is>
      </c>
      <c r="B26" s="14" t="n">
        <v>472</v>
      </c>
      <c r="C26" s="14" t="n">
        <v>498</v>
      </c>
      <c r="D26" s="14" t="n">
        <v>520</v>
      </c>
      <c r="E26" s="14" t="n">
        <v>541</v>
      </c>
    </row>
    <row r="27">
      <c r="A27" s="8" t="inlineStr">
        <is>
          <t>× ARPU ($)</t>
        </is>
      </c>
      <c r="B27" s="16" t="n">
        <v>13.31</v>
      </c>
      <c r="C27" s="16" t="n">
        <v>14.51</v>
      </c>
      <c r="D27" s="16" t="n">
        <v>15.67</v>
      </c>
      <c r="E27" s="16" t="n">
        <v>16.77</v>
      </c>
    </row>
    <row r="28">
      <c r="A28" s="5">
        <f> Revenue ($M)</f>
        <v/>
      </c>
      <c r="B28" s="6" t="n">
        <v>6282</v>
      </c>
      <c r="C28" s="6" t="n">
        <v>7226</v>
      </c>
      <c r="D28" s="6" t="n">
        <v>8148</v>
      </c>
      <c r="E28" s="6" t="n">
        <v>9073</v>
      </c>
    </row>
    <row r="30">
      <c r="A30" s="4" t="inlineStr">
        <is>
          <t>Quarterly Seasonality Weights</t>
        </is>
      </c>
    </row>
    <row r="31">
      <c r="A31" s="2" t="inlineStr"/>
      <c r="B31" s="2" t="inlineStr">
        <is>
          <t>Q1</t>
        </is>
      </c>
      <c r="C31" s="2" t="inlineStr">
        <is>
          <t>Q2</t>
        </is>
      </c>
      <c r="D31" s="2" t="inlineStr">
        <is>
          <t>Q3</t>
        </is>
      </c>
      <c r="E31" s="2" t="inlineStr">
        <is>
          <t>Q4</t>
        </is>
      </c>
    </row>
    <row r="32">
      <c r="A32" s="23" t="inlineStr">
        <is>
          <t>Revenue Seasonality</t>
        </is>
      </c>
      <c r="B32" s="32" t="n">
        <v>0.21</v>
      </c>
      <c r="C32" s="32" t="n">
        <v>0.23</v>
      </c>
      <c r="D32" s="32" t="n">
        <v>0.25</v>
      </c>
      <c r="E32" s="32" t="n">
        <v>0.31</v>
      </c>
    </row>
    <row r="33">
      <c r="A33" s="8" t="inlineStr">
        <is>
          <t>Total Check</t>
        </is>
      </c>
      <c r="B33" s="9" t="n">
        <v>1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2026-02-08T03:24:48Z</dcterms:created>
  <dcterms:modified xsi:type="dcterms:W3CDTF">2026-02-08T03:24:48Z</dcterms:modified>
</cp:coreProperties>
</file>