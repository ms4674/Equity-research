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uild" sheetId="1" state="visible" r:id="rId1"/>
    <sheet name="Non-GAAP P&amp;L" sheetId="2" state="visible" r:id="rId2"/>
    <sheet name="GAAP Reconciliation" sheetId="3" state="visible" r:id="rId3"/>
    <sheet name="Balance Sheet" sheetId="4" state="visible" r:id="rId4"/>
    <sheet name="Cash Flow &amp; FCF Bridge" sheetId="5" state="visible" r:id="rId5"/>
    <sheet name="Quarterly Detail" sheetId="6" state="visible" r:id="rId6"/>
    <sheet name="Share Count &amp; Dilution" sheetId="7" state="visible" r:id="rId7"/>
    <sheet name="Sensitivity Analysis" sheetId="8" state="visible" r:id="rId8"/>
    <sheet name="Valuation Cross-Checks" sheetId="9" state="visible" r:id="rId9"/>
    <sheet name="Assump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"/>
    <numFmt numFmtId="166" formatCode="$#,##0.0"/>
    <numFmt numFmtId="167" formatCode="0.0000"/>
    <numFmt numFmtId="168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name val="Calibri"/>
      <b val="1"/>
      <color rgb="002F5496"/>
      <sz val="10"/>
    </font>
    <font>
      <name val="Calibri"/>
      <b val="1"/>
      <color rgb="002F5496"/>
      <sz val="11"/>
    </font>
    <font>
      <name val="Calibri"/>
      <b val="1"/>
      <sz val="10"/>
    </font>
    <font>
      <name val="Calibri"/>
      <sz val="10"/>
    </font>
    <font>
      <name val="Calibri"/>
      <i val="1"/>
      <color rgb="000070C0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bottom style="medium">
        <color rgb="002F549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3" fontId="6" fillId="0" borderId="0" pivotButton="0" quotePrefix="0" xfId="0"/>
    <xf numFmtId="3" fontId="7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5" fontId="6" fillId="0" borderId="0" pivotButton="0" quotePrefix="0" xfId="0"/>
    <xf numFmtId="165" fontId="7" fillId="0" borderId="0" pivotButton="0" quotePrefix="0" xfId="0"/>
    <xf numFmtId="3" fontId="5" fillId="0" borderId="0" pivotButton="0" quotePrefix="0" xfId="0"/>
    <xf numFmtId="3" fontId="7" fillId="4" borderId="0" pivotButton="0" quotePrefix="0" xfId="0"/>
    <xf numFmtId="3" fontId="6" fillId="4" borderId="0" pivotButton="0" quotePrefix="0" xfId="0"/>
    <xf numFmtId="0" fontId="4" fillId="0" borderId="0" pivotButton="0" quotePrefix="0" xfId="0"/>
    <xf numFmtId="164" fontId="2" fillId="2" borderId="0" applyAlignment="1" pivotButton="0" quotePrefix="0" xfId="0">
      <alignment horizontal="center"/>
    </xf>
    <xf numFmtId="164" fontId="5" fillId="3" borderId="0" pivotButton="0" quotePrefix="0" xfId="0"/>
    <xf numFmtId="3" fontId="6" fillId="0" borderId="0" applyAlignment="1" pivotButton="0" quotePrefix="0" xfId="0">
      <alignment horizontal="center"/>
    </xf>
    <xf numFmtId="3" fontId="5" fillId="5" borderId="0" applyAlignment="1" pivotButton="0" quotePrefix="0" xfId="0">
      <alignment horizontal="center"/>
    </xf>
    <xf numFmtId="166" fontId="6" fillId="0" borderId="0" applyAlignment="1" pivotButton="0" quotePrefix="0" xfId="0">
      <alignment horizontal="center"/>
    </xf>
    <xf numFmtId="166" fontId="5" fillId="5" borderId="0" applyAlignment="1" pivotButton="0" quotePrefix="0" xfId="0">
      <alignment horizontal="center"/>
    </xf>
    <xf numFmtId="164" fontId="6" fillId="4" borderId="0" pivotButton="0" quotePrefix="0" xfId="0"/>
    <xf numFmtId="167" fontId="6" fillId="0" borderId="0" pivotButton="0" quotePrefix="0" xfId="0"/>
    <xf numFmtId="168" fontId="6" fillId="0" borderId="0" pivotButton="0" quotePrefix="0" xfId="0"/>
    <xf numFmtId="165" fontId="6" fillId="4" borderId="0" pivotButton="0" quotePrefix="0" xfId="0"/>
    <xf numFmtId="16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Snap Inc. (SNAP) - Revenue Build by Segment &amp; Driver</t>
        </is>
      </c>
    </row>
    <row r="3">
      <c r="A3" s="2" t="inlineStr"/>
      <c r="B3" s="2" t="inlineStr">
        <is>
          <t>2019</t>
        </is>
      </c>
      <c r="C3" s="2" t="inlineStr">
        <is>
          <t>2020</t>
        </is>
      </c>
      <c r="D3" s="2" t="inlineStr">
        <is>
          <t>2021</t>
        </is>
      </c>
      <c r="E3" s="2" t="inlineStr">
        <is>
          <t>2022</t>
        </is>
      </c>
      <c r="F3" s="2" t="inlineStr">
        <is>
          <t>2023</t>
        </is>
      </c>
      <c r="G3" s="2" t="inlineStr">
        <is>
          <t>2024</t>
        </is>
      </c>
      <c r="H3" s="2" t="inlineStr">
        <is>
          <t>2025E</t>
        </is>
      </c>
      <c r="I3" s="2" t="inlineStr">
        <is>
          <t>2026E</t>
        </is>
      </c>
      <c r="J3" s="2" t="inlineStr">
        <is>
          <t>2027E</t>
        </is>
      </c>
      <c r="K3" s="2" t="inlineStr">
        <is>
          <t>2028E</t>
        </is>
      </c>
    </row>
    <row r="4">
      <c r="A4" s="3" t="inlineStr"/>
      <c r="B4" s="3" t="inlineStr">
        <is>
          <t>Historical</t>
        </is>
      </c>
      <c r="C4" s="3" t="inlineStr">
        <is>
          <t>Historical</t>
        </is>
      </c>
      <c r="D4" s="3" t="inlineStr">
        <is>
          <t>Historical</t>
        </is>
      </c>
      <c r="E4" s="3" t="inlineStr">
        <is>
          <t>Historical</t>
        </is>
      </c>
      <c r="F4" s="3" t="inlineStr">
        <is>
          <t>Historical</t>
        </is>
      </c>
      <c r="G4" s="3" t="inlineStr">
        <is>
          <t>Historical</t>
        </is>
      </c>
      <c r="H4" s="3" t="inlineStr">
        <is>
          <t>Forecast</t>
        </is>
      </c>
      <c r="I4" s="3" t="inlineStr">
        <is>
          <t>Forecast</t>
        </is>
      </c>
      <c r="J4" s="3" t="inlineStr">
        <is>
          <t>Forecast</t>
        </is>
      </c>
      <c r="K4" s="3" t="inlineStr">
        <is>
          <t>Forecast</t>
        </is>
      </c>
    </row>
    <row r="6">
      <c r="A6" s="4" t="inlineStr">
        <is>
          <t>DAU DRIVERS</t>
        </is>
      </c>
    </row>
    <row r="7">
      <c r="A7" s="5" t="inlineStr">
        <is>
          <t>Daily Active Users (M)</t>
        </is>
      </c>
      <c r="B7" s="6" t="n">
        <v>218</v>
      </c>
      <c r="C7" s="6" t="n">
        <v>265</v>
      </c>
      <c r="D7" s="6" t="n">
        <v>319</v>
      </c>
      <c r="E7" s="6" t="n">
        <v>375</v>
      </c>
      <c r="F7" s="6" t="n">
        <v>414</v>
      </c>
      <c r="G7" s="6" t="n">
        <v>443</v>
      </c>
      <c r="H7" s="7">
        <f>ROUND(G7*(1+Assumptions!H7),0)</f>
        <v/>
      </c>
      <c r="I7" s="7">
        <f>ROUND(H7*(1+Assumptions!I7),0)</f>
        <v/>
      </c>
      <c r="J7" s="7">
        <f>ROUND(I7*(1+Assumptions!J7),0)</f>
        <v/>
      </c>
      <c r="K7" s="7">
        <f>ROUND(J7*(1+Assumptions!K7),0)</f>
        <v/>
      </c>
    </row>
    <row r="8">
      <c r="A8" s="8" t="inlineStr">
        <is>
          <t xml:space="preserve">  YoY Growth</t>
        </is>
      </c>
      <c r="C8" s="9">
        <f>C7/B7-1</f>
        <v/>
      </c>
      <c r="D8" s="9">
        <f>D7/C7-1</f>
        <v/>
      </c>
      <c r="E8" s="9">
        <f>E7/D7-1</f>
        <v/>
      </c>
      <c r="F8" s="9">
        <f>F7/E7-1</f>
        <v/>
      </c>
      <c r="G8" s="9">
        <f>G7/F7-1</f>
        <v/>
      </c>
      <c r="H8" s="10">
        <f>H7/G7-1</f>
        <v/>
      </c>
      <c r="I8" s="10">
        <f>I7/H7-1</f>
        <v/>
      </c>
      <c r="J8" s="10">
        <f>J7/I7-1</f>
        <v/>
      </c>
      <c r="K8" s="10">
        <f>K7/J7-1</f>
        <v/>
      </c>
    </row>
    <row r="10">
      <c r="A10" s="4" t="inlineStr">
        <is>
          <t>ARPU DRIVERS</t>
        </is>
      </c>
    </row>
    <row r="11">
      <c r="A11" s="5" t="inlineStr">
        <is>
          <t>Avg Revenue Per User ($)</t>
        </is>
      </c>
      <c r="B11" s="11">
        <f>ROUND(B15/B7,2)</f>
        <v/>
      </c>
      <c r="C11" s="11">
        <f>ROUND(C15/C7,2)</f>
        <v/>
      </c>
      <c r="D11" s="11">
        <f>ROUND(D15/D7,2)</f>
        <v/>
      </c>
      <c r="E11" s="11">
        <f>ROUND(E15/E7,2)</f>
        <v/>
      </c>
      <c r="F11" s="11">
        <f>ROUND(F15/F7,2)</f>
        <v/>
      </c>
      <c r="G11" s="11">
        <f>ROUND(G15/G7,2)</f>
        <v/>
      </c>
      <c r="H11" s="12">
        <f>ROUND(G11*(1+Assumptions!H8),2)</f>
        <v/>
      </c>
      <c r="I11" s="12">
        <f>ROUND(H11*(1+Assumptions!I8),2)</f>
        <v/>
      </c>
      <c r="J11" s="12">
        <f>ROUND(I11*(1+Assumptions!J8),2)</f>
        <v/>
      </c>
      <c r="K11" s="12">
        <f>ROUND(J11*(1+Assumptions!K8),2)</f>
        <v/>
      </c>
    </row>
    <row r="12">
      <c r="A12" s="8" t="inlineStr">
        <is>
          <t xml:space="preserve">  YoY Growth</t>
        </is>
      </c>
      <c r="C12" s="9">
        <f>C11/B11-1</f>
        <v/>
      </c>
      <c r="D12" s="9">
        <f>D11/C11-1</f>
        <v/>
      </c>
      <c r="E12" s="9">
        <f>E11/D11-1</f>
        <v/>
      </c>
      <c r="F12" s="9">
        <f>F11/E11-1</f>
        <v/>
      </c>
      <c r="G12" s="9">
        <f>G11/F11-1</f>
        <v/>
      </c>
      <c r="H12" s="10">
        <f>H11/G11-1</f>
        <v/>
      </c>
      <c r="I12" s="10">
        <f>I11/H11-1</f>
        <v/>
      </c>
      <c r="J12" s="10">
        <f>J11/I11-1</f>
        <v/>
      </c>
      <c r="K12" s="10">
        <f>K11/J11-1</f>
        <v/>
      </c>
    </row>
    <row r="14">
      <c r="A14" s="4" t="inlineStr">
        <is>
          <t>REVENUE</t>
        </is>
      </c>
    </row>
    <row r="15">
      <c r="A15" s="5" t="inlineStr">
        <is>
          <t>Total Revenue ($M)</t>
        </is>
      </c>
      <c r="B15" s="13" t="n">
        <v>1716</v>
      </c>
      <c r="C15" s="13" t="n">
        <v>2507</v>
      </c>
      <c r="D15" s="13" t="n">
        <v>4117</v>
      </c>
      <c r="E15" s="13" t="n">
        <v>4602</v>
      </c>
      <c r="F15" s="13" t="n">
        <v>4606</v>
      </c>
      <c r="G15" s="13" t="n">
        <v>5360</v>
      </c>
      <c r="H15" s="7">
        <f>ROUND(H7*H11,0)</f>
        <v/>
      </c>
      <c r="I15" s="7">
        <f>ROUND(I7*I11,0)</f>
        <v/>
      </c>
      <c r="J15" s="7">
        <f>ROUND(J7*J11,0)</f>
        <v/>
      </c>
      <c r="K15" s="7">
        <f>ROUND(K7*K11,0)</f>
        <v/>
      </c>
    </row>
    <row r="16">
      <c r="A16" s="8" t="inlineStr">
        <is>
          <t xml:space="preserve">  YoY Growth</t>
        </is>
      </c>
      <c r="C16" s="9">
        <f>C15/B15-1</f>
        <v/>
      </c>
      <c r="D16" s="9">
        <f>D15/C15-1</f>
        <v/>
      </c>
      <c r="E16" s="9">
        <f>E15/D15-1</f>
        <v/>
      </c>
      <c r="F16" s="9">
        <f>F15/E15-1</f>
        <v/>
      </c>
      <c r="G16" s="9">
        <f>G15/F15-1</f>
        <v/>
      </c>
      <c r="H16" s="10">
        <f>H15/G15-1</f>
        <v/>
      </c>
      <c r="I16" s="10">
        <f>I15/H15-1</f>
        <v/>
      </c>
      <c r="J16" s="10">
        <f>J15/I15-1</f>
        <v/>
      </c>
      <c r="K16" s="10">
        <f>K15/J15-1</f>
        <v/>
      </c>
    </row>
    <row r="18">
      <c r="A18" s="4" t="inlineStr">
        <is>
          <t>REVENUE BY GEOGRAPHY</t>
        </is>
      </c>
    </row>
    <row r="19">
      <c r="A19" s="8" t="inlineStr">
        <is>
          <t xml:space="preserve">  North America</t>
        </is>
      </c>
      <c r="B19" s="6" t="n">
        <v>1100</v>
      </c>
      <c r="C19" s="6" t="n">
        <v>1620</v>
      </c>
      <c r="D19" s="6" t="n">
        <v>2720</v>
      </c>
      <c r="E19" s="6" t="n">
        <v>2990</v>
      </c>
      <c r="F19" s="6" t="n">
        <v>2950</v>
      </c>
      <c r="G19" s="6" t="n">
        <v>3430</v>
      </c>
      <c r="H19" s="7">
        <f>ROUND(H15*Assumptions!H26,0)</f>
        <v/>
      </c>
      <c r="I19" s="7">
        <f>ROUND(I15*Assumptions!I26,0)</f>
        <v/>
      </c>
      <c r="J19" s="7">
        <f>ROUND(J15*Assumptions!J26,0)</f>
        <v/>
      </c>
      <c r="K19" s="7">
        <f>ROUND(K15*Assumptions!K26,0)</f>
        <v/>
      </c>
    </row>
    <row r="20">
      <c r="A20" s="8" t="inlineStr">
        <is>
          <t xml:space="preserve">    % of Total</t>
        </is>
      </c>
      <c r="B20" s="9">
        <f>B19/B15</f>
        <v/>
      </c>
      <c r="C20" s="9">
        <f>C19/C15</f>
        <v/>
      </c>
      <c r="D20" s="9">
        <f>D19/D15</f>
        <v/>
      </c>
      <c r="E20" s="9">
        <f>E19/E15</f>
        <v/>
      </c>
      <c r="F20" s="9">
        <f>F19/F15</f>
        <v/>
      </c>
      <c r="G20" s="9">
        <f>G19/G15</f>
        <v/>
      </c>
      <c r="H20" s="10">
        <f>H19/H15</f>
        <v/>
      </c>
      <c r="I20" s="10">
        <f>I19/I15</f>
        <v/>
      </c>
      <c r="J20" s="10">
        <f>J19/J15</f>
        <v/>
      </c>
      <c r="K20" s="10">
        <f>K19/K15</f>
        <v/>
      </c>
    </row>
    <row r="21">
      <c r="A21" s="8" t="inlineStr">
        <is>
          <t xml:space="preserve">  Europe</t>
        </is>
      </c>
      <c r="B21" s="6" t="n">
        <v>360</v>
      </c>
      <c r="C21" s="6" t="n">
        <v>500</v>
      </c>
      <c r="D21" s="6" t="n">
        <v>830</v>
      </c>
      <c r="E21" s="6" t="n">
        <v>920</v>
      </c>
      <c r="F21" s="6" t="n">
        <v>920</v>
      </c>
      <c r="G21" s="6" t="n">
        <v>1070</v>
      </c>
      <c r="H21" s="7">
        <f>ROUND(H15*Assumptions!H27,0)</f>
        <v/>
      </c>
      <c r="I21" s="7">
        <f>ROUND(I15*Assumptions!I27,0)</f>
        <v/>
      </c>
      <c r="J21" s="7">
        <f>ROUND(J15*Assumptions!J27,0)</f>
        <v/>
      </c>
      <c r="K21" s="7">
        <f>ROUND(K15*Assumptions!K27,0)</f>
        <v/>
      </c>
    </row>
    <row r="22">
      <c r="A22" s="8" t="inlineStr">
        <is>
          <t xml:space="preserve">    % of Total</t>
        </is>
      </c>
      <c r="B22" s="9">
        <f>B21/B15</f>
        <v/>
      </c>
      <c r="C22" s="9">
        <f>C21/C15</f>
        <v/>
      </c>
      <c r="D22" s="9">
        <f>D21/D15</f>
        <v/>
      </c>
      <c r="E22" s="9">
        <f>E21/E15</f>
        <v/>
      </c>
      <c r="F22" s="9">
        <f>F21/F15</f>
        <v/>
      </c>
      <c r="G22" s="9">
        <f>G21/G15</f>
        <v/>
      </c>
      <c r="H22" s="10">
        <f>H21/H15</f>
        <v/>
      </c>
      <c r="I22" s="10">
        <f>I21/I15</f>
        <v/>
      </c>
      <c r="J22" s="10">
        <f>J21/J15</f>
        <v/>
      </c>
      <c r="K22" s="10">
        <f>K21/K15</f>
        <v/>
      </c>
    </row>
    <row r="23">
      <c r="A23" s="8" t="inlineStr">
        <is>
          <t xml:space="preserve">  Rest of World</t>
        </is>
      </c>
      <c r="B23" s="6" t="n">
        <v>256</v>
      </c>
      <c r="C23" s="6" t="n">
        <v>387</v>
      </c>
      <c r="D23" s="6" t="n">
        <v>567</v>
      </c>
      <c r="E23" s="6" t="n">
        <v>692</v>
      </c>
      <c r="F23" s="6" t="n">
        <v>736</v>
      </c>
      <c r="G23" s="6" t="n">
        <v>860</v>
      </c>
      <c r="H23" s="7">
        <f>ROUND(H15*Assumptions!H28,0)</f>
        <v/>
      </c>
      <c r="I23" s="7">
        <f>ROUND(I15*Assumptions!I28,0)</f>
        <v/>
      </c>
      <c r="J23" s="7">
        <f>ROUND(J15*Assumptions!J28,0)</f>
        <v/>
      </c>
      <c r="K23" s="7">
        <f>ROUND(K15*Assumptions!K28,0)</f>
        <v/>
      </c>
    </row>
    <row r="24">
      <c r="A24" s="8" t="inlineStr">
        <is>
          <t xml:space="preserve">    % of Total</t>
        </is>
      </c>
      <c r="B24" s="9">
        <f>B23/B15</f>
        <v/>
      </c>
      <c r="C24" s="9">
        <f>C23/C15</f>
        <v/>
      </c>
      <c r="D24" s="9">
        <f>D23/D15</f>
        <v/>
      </c>
      <c r="E24" s="9">
        <f>E23/E15</f>
        <v/>
      </c>
      <c r="F24" s="9">
        <f>F23/F15</f>
        <v/>
      </c>
      <c r="G24" s="9">
        <f>G23/G15</f>
        <v/>
      </c>
      <c r="H24" s="10">
        <f>H23/H15</f>
        <v/>
      </c>
      <c r="I24" s="10">
        <f>I23/I15</f>
        <v/>
      </c>
      <c r="J24" s="10">
        <f>J23/J15</f>
        <v/>
      </c>
      <c r="K24" s="10">
        <f>K23/K15</f>
        <v/>
      </c>
    </row>
    <row r="26">
      <c r="A26" s="4" t="inlineStr">
        <is>
          <t>IMPLIED AD METRICS</t>
        </is>
      </c>
    </row>
    <row r="27">
      <c r="A27" s="8" t="inlineStr">
        <is>
          <t xml:space="preserve">  Impressions/DAU/Day</t>
        </is>
      </c>
      <c r="B27" s="6" t="n">
        <v>25</v>
      </c>
      <c r="C27" s="6" t="n">
        <v>27</v>
      </c>
      <c r="D27" s="6" t="n">
        <v>30</v>
      </c>
      <c r="E27" s="6" t="n">
        <v>33</v>
      </c>
      <c r="F27" s="6" t="n">
        <v>36</v>
      </c>
      <c r="G27" s="6" t="n">
        <v>39</v>
      </c>
      <c r="H27" s="14" t="n">
        <v>42</v>
      </c>
      <c r="I27" s="14" t="n">
        <v>44</v>
      </c>
      <c r="J27" s="14" t="n">
        <v>46</v>
      </c>
      <c r="K27" s="14" t="n">
        <v>48</v>
      </c>
    </row>
    <row r="28">
      <c r="A28" s="8" t="inlineStr">
        <is>
          <t xml:space="preserve">  Implied eCPM ($)</t>
        </is>
      </c>
      <c r="B28" s="11">
        <f>ROUND(B15/(B7*B27*365/1000000)*1000,2)</f>
        <v/>
      </c>
      <c r="C28" s="11">
        <f>ROUND(C15/(C7*C27*365/1000000)*1000,2)</f>
        <v/>
      </c>
      <c r="D28" s="11">
        <f>ROUND(D15/(D7*D27*365/1000000)*1000,2)</f>
        <v/>
      </c>
      <c r="E28" s="11">
        <f>ROUND(E15/(E7*E27*365/1000000)*1000,2)</f>
        <v/>
      </c>
      <c r="F28" s="11">
        <f>ROUND(F15/(F7*F27*365/1000000)*1000,2)</f>
        <v/>
      </c>
      <c r="G28" s="11">
        <f>ROUND(G15/(G7*G27*365/1000000)*1000,2)</f>
        <v/>
      </c>
      <c r="H28" s="12">
        <f>ROUND(H15/(H7*H27*365/1000000)*1000,2)</f>
        <v/>
      </c>
      <c r="I28" s="12">
        <f>ROUND(I15/(I7*I27*365/1000000)*1000,2)</f>
        <v/>
      </c>
      <c r="J28" s="12">
        <f>ROUND(J15/(J7*J27*365/1000000)*1000,2)</f>
        <v/>
      </c>
      <c r="K28" s="12">
        <f>ROUND(K15/(K7*K27*365/1000000)*1000,2)</f>
        <v/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Snap Inc. (SNAP) - Non-GAAP Income Statement ($M)</t>
        </is>
      </c>
    </row>
    <row r="3">
      <c r="A3" s="2" t="inlineStr"/>
      <c r="B3" s="2" t="inlineStr">
        <is>
          <t>2019</t>
        </is>
      </c>
      <c r="C3" s="2" t="inlineStr">
        <is>
          <t>2020</t>
        </is>
      </c>
      <c r="D3" s="2" t="inlineStr">
        <is>
          <t>2021</t>
        </is>
      </c>
      <c r="E3" s="2" t="inlineStr">
        <is>
          <t>2022</t>
        </is>
      </c>
      <c r="F3" s="2" t="inlineStr">
        <is>
          <t>2023</t>
        </is>
      </c>
      <c r="G3" s="2" t="inlineStr">
        <is>
          <t>2024</t>
        </is>
      </c>
      <c r="H3" s="2" t="inlineStr">
        <is>
          <t>2025E</t>
        </is>
      </c>
      <c r="I3" s="2" t="inlineStr">
        <is>
          <t>2026E</t>
        </is>
      </c>
      <c r="J3" s="2" t="inlineStr">
        <is>
          <t>2027E</t>
        </is>
      </c>
      <c r="K3" s="2" t="inlineStr">
        <is>
          <t>2028E</t>
        </is>
      </c>
    </row>
    <row r="4">
      <c r="A4" s="3" t="inlineStr"/>
      <c r="B4" s="3" t="inlineStr">
        <is>
          <t>Historical</t>
        </is>
      </c>
      <c r="C4" s="3" t="inlineStr">
        <is>
          <t>Historical</t>
        </is>
      </c>
      <c r="D4" s="3" t="inlineStr">
        <is>
          <t>Historical</t>
        </is>
      </c>
      <c r="E4" s="3" t="inlineStr">
        <is>
          <t>Historical</t>
        </is>
      </c>
      <c r="F4" s="3" t="inlineStr">
        <is>
          <t>Historical</t>
        </is>
      </c>
      <c r="G4" s="3" t="inlineStr">
        <is>
          <t>Historical</t>
        </is>
      </c>
      <c r="H4" s="3" t="inlineStr">
        <is>
          <t>Forecast</t>
        </is>
      </c>
      <c r="I4" s="3" t="inlineStr">
        <is>
          <t>Forecast</t>
        </is>
      </c>
      <c r="J4" s="3" t="inlineStr">
        <is>
          <t>Forecast</t>
        </is>
      </c>
      <c r="K4" s="3" t="inlineStr">
        <is>
          <t>Forecast</t>
        </is>
      </c>
    </row>
    <row r="6">
      <c r="A6" s="5" t="inlineStr">
        <is>
          <t>Revenue</t>
        </is>
      </c>
      <c r="B6" s="13" t="n">
        <v>1716</v>
      </c>
      <c r="C6" s="13" t="n">
        <v>2507</v>
      </c>
      <c r="D6" s="13" t="n">
        <v>4117</v>
      </c>
      <c r="E6" s="13" t="n">
        <v>4602</v>
      </c>
      <c r="F6" s="13" t="n">
        <v>4606</v>
      </c>
      <c r="G6" s="13" t="n">
        <v>5360</v>
      </c>
      <c r="H6" s="7">
        <f>'Revenue Build'!H15</f>
        <v/>
      </c>
      <c r="I6" s="7">
        <f>'Revenue Build'!I15</f>
        <v/>
      </c>
      <c r="J6" s="7">
        <f>'Revenue Build'!J15</f>
        <v/>
      </c>
      <c r="K6" s="7">
        <f>'Revenue Build'!K15</f>
        <v/>
      </c>
    </row>
    <row r="7">
      <c r="A7" s="8" t="inlineStr">
        <is>
          <t xml:space="preserve">  YoY Growth</t>
        </is>
      </c>
      <c r="C7" s="9">
        <f>C6/B6-1</f>
        <v/>
      </c>
      <c r="D7" s="9">
        <f>D6/C6-1</f>
        <v/>
      </c>
      <c r="E7" s="9">
        <f>E6/D6-1</f>
        <v/>
      </c>
      <c r="F7" s="9">
        <f>F6/E6-1</f>
        <v/>
      </c>
      <c r="G7" s="9">
        <f>G6/F6-1</f>
        <v/>
      </c>
      <c r="H7" s="10">
        <f>H6/G6-1</f>
        <v/>
      </c>
      <c r="I7" s="10">
        <f>I6/H6-1</f>
        <v/>
      </c>
      <c r="J7" s="10">
        <f>J6/I6-1</f>
        <v/>
      </c>
      <c r="K7" s="10">
        <f>K6/J6-1</f>
        <v/>
      </c>
    </row>
    <row r="9">
      <c r="A9" s="8" t="inlineStr">
        <is>
          <t>Non-GAAP Cost of Revenue</t>
        </is>
      </c>
      <c r="B9" s="6" t="n">
        <v>838</v>
      </c>
      <c r="C9" s="6" t="n">
        <v>1077</v>
      </c>
      <c r="D9" s="6" t="n">
        <v>1686</v>
      </c>
      <c r="E9" s="6" t="n">
        <v>2053</v>
      </c>
      <c r="F9" s="6" t="n">
        <v>2095</v>
      </c>
      <c r="G9" s="6" t="n">
        <v>2374</v>
      </c>
      <c r="H9" s="7">
        <f>ROUND(H6*(1-Assumptions!H11),0)</f>
        <v/>
      </c>
      <c r="I9" s="7">
        <f>ROUND(I6*(1-Assumptions!I11),0)</f>
        <v/>
      </c>
      <c r="J9" s="7">
        <f>ROUND(J6*(1-Assumptions!J11),0)</f>
        <v/>
      </c>
      <c r="K9" s="7">
        <f>ROUND(K6*(1-Assumptions!K11),0)</f>
        <v/>
      </c>
    </row>
    <row r="10">
      <c r="A10" s="5" t="inlineStr">
        <is>
          <t>Non-GAAP Gross Profit</t>
        </is>
      </c>
      <c r="B10" s="6">
        <f>B6-B9</f>
        <v/>
      </c>
      <c r="C10" s="6">
        <f>C6-C9</f>
        <v/>
      </c>
      <c r="D10" s="6">
        <f>D6-D9</f>
        <v/>
      </c>
      <c r="E10" s="6">
        <f>E6-E9</f>
        <v/>
      </c>
      <c r="F10" s="6">
        <f>F6-F9</f>
        <v/>
      </c>
      <c r="G10" s="6">
        <f>G6-G9</f>
        <v/>
      </c>
      <c r="H10" s="7">
        <f>H6-H9</f>
        <v/>
      </c>
      <c r="I10" s="7">
        <f>I6-I9</f>
        <v/>
      </c>
      <c r="J10" s="7">
        <f>J6-J9</f>
        <v/>
      </c>
      <c r="K10" s="7">
        <f>K6-K9</f>
        <v/>
      </c>
    </row>
    <row r="11">
      <c r="A11" s="8" t="inlineStr">
        <is>
          <t xml:space="preserve">  Non-GAAP Gross Margin</t>
        </is>
      </c>
      <c r="B11" s="9">
        <f>B10/B6</f>
        <v/>
      </c>
      <c r="C11" s="9">
        <f>C10/C6</f>
        <v/>
      </c>
      <c r="D11" s="9">
        <f>D10/D6</f>
        <v/>
      </c>
      <c r="E11" s="9">
        <f>E10/E6</f>
        <v/>
      </c>
      <c r="F11" s="9">
        <f>F10/F6</f>
        <v/>
      </c>
      <c r="G11" s="9">
        <f>G10/G6</f>
        <v/>
      </c>
      <c r="H11" s="10">
        <f>H10/H6</f>
        <v/>
      </c>
      <c r="I11" s="10">
        <f>I10/I6</f>
        <v/>
      </c>
      <c r="J11" s="10">
        <f>J10/J6</f>
        <v/>
      </c>
      <c r="K11" s="10">
        <f>K10/K6</f>
        <v/>
      </c>
    </row>
    <row r="13">
      <c r="A13" s="4" t="inlineStr">
        <is>
          <t>Non-GAAP Operating Expenses</t>
        </is>
      </c>
    </row>
    <row r="14">
      <c r="A14" s="8" t="inlineStr">
        <is>
          <t xml:space="preserve">  Non-GAAP R&amp;D</t>
        </is>
      </c>
      <c r="B14" s="6" t="n">
        <v>676</v>
      </c>
      <c r="C14" s="6" t="n">
        <v>837</v>
      </c>
      <c r="D14" s="6" t="n">
        <v>965</v>
      </c>
      <c r="E14" s="6" t="n">
        <v>1220</v>
      </c>
      <c r="F14" s="6" t="n">
        <v>1133</v>
      </c>
      <c r="G14" s="6" t="n">
        <v>1132</v>
      </c>
      <c r="H14" s="7">
        <f>ROUND(H6*Assumptions!H12,0)</f>
        <v/>
      </c>
      <c r="I14" s="7">
        <f>ROUND(I6*Assumptions!I12,0)</f>
        <v/>
      </c>
      <c r="J14" s="7">
        <f>ROUND(J6*Assumptions!J12,0)</f>
        <v/>
      </c>
      <c r="K14" s="7">
        <f>ROUND(K6*Assumptions!K12,0)</f>
        <v/>
      </c>
    </row>
    <row r="15">
      <c r="A15" s="8" t="inlineStr">
        <is>
          <t xml:space="preserve">    % of Revenue</t>
        </is>
      </c>
      <c r="B15" s="9">
        <f>B14/B6</f>
        <v/>
      </c>
      <c r="C15" s="9">
        <f>C14/C6</f>
        <v/>
      </c>
      <c r="D15" s="9">
        <f>D14/D6</f>
        <v/>
      </c>
      <c r="E15" s="9">
        <f>E14/E6</f>
        <v/>
      </c>
      <c r="F15" s="9">
        <f>F14/F6</f>
        <v/>
      </c>
      <c r="G15" s="9">
        <f>G14/G6</f>
        <v/>
      </c>
      <c r="H15" s="10">
        <f>H14/H6</f>
        <v/>
      </c>
      <c r="I15" s="10">
        <f>I14/I6</f>
        <v/>
      </c>
      <c r="J15" s="10">
        <f>J14/J6</f>
        <v/>
      </c>
      <c r="K15" s="10">
        <f>K14/K6</f>
        <v/>
      </c>
    </row>
    <row r="16">
      <c r="A16" s="8" t="inlineStr">
        <is>
          <t xml:space="preserve">  Non-GAAP S&amp;M</t>
        </is>
      </c>
      <c r="B16" s="6" t="n">
        <v>501</v>
      </c>
      <c r="C16" s="6" t="n">
        <v>599</v>
      </c>
      <c r="D16" s="6" t="n">
        <v>888</v>
      </c>
      <c r="E16" s="6" t="n">
        <v>1033</v>
      </c>
      <c r="F16" s="6" t="n">
        <v>934</v>
      </c>
      <c r="G16" s="6" t="n">
        <v>951</v>
      </c>
      <c r="H16" s="7">
        <f>ROUND(H6*Assumptions!H13,0)</f>
        <v/>
      </c>
      <c r="I16" s="7">
        <f>ROUND(I6*Assumptions!I13,0)</f>
        <v/>
      </c>
      <c r="J16" s="7">
        <f>ROUND(J6*Assumptions!J13,0)</f>
        <v/>
      </c>
      <c r="K16" s="7">
        <f>ROUND(K6*Assumptions!K13,0)</f>
        <v/>
      </c>
    </row>
    <row r="17">
      <c r="A17" s="8" t="inlineStr">
        <is>
          <t xml:space="preserve">    % of Revenue</t>
        </is>
      </c>
      <c r="B17" s="9">
        <f>B16/B6</f>
        <v/>
      </c>
      <c r="C17" s="9">
        <f>C16/C6</f>
        <v/>
      </c>
      <c r="D17" s="9">
        <f>D16/D6</f>
        <v/>
      </c>
      <c r="E17" s="9">
        <f>E16/E6</f>
        <v/>
      </c>
      <c r="F17" s="9">
        <f>F16/F6</f>
        <v/>
      </c>
      <c r="G17" s="9">
        <f>G16/G6</f>
        <v/>
      </c>
      <c r="H17" s="10">
        <f>H16/H6</f>
        <v/>
      </c>
      <c r="I17" s="10">
        <f>I16/I6</f>
        <v/>
      </c>
      <c r="J17" s="10">
        <f>J16/J6</f>
        <v/>
      </c>
      <c r="K17" s="10">
        <f>K16/K6</f>
        <v/>
      </c>
    </row>
    <row r="18">
      <c r="A18" s="8" t="inlineStr">
        <is>
          <t xml:space="preserve">  Non-GAAP G&amp;A</t>
        </is>
      </c>
      <c r="B18" s="6" t="n">
        <v>240</v>
      </c>
      <c r="C18" s="6" t="n">
        <v>264</v>
      </c>
      <c r="D18" s="6" t="n">
        <v>282</v>
      </c>
      <c r="E18" s="6" t="n">
        <v>171</v>
      </c>
      <c r="F18" s="6" t="n">
        <v>253</v>
      </c>
      <c r="G18" s="6" t="n">
        <v>282</v>
      </c>
      <c r="H18" s="7">
        <f>ROUND(H6*Assumptions!H14,0)</f>
        <v/>
      </c>
      <c r="I18" s="7">
        <f>ROUND(I6*Assumptions!I14,0)</f>
        <v/>
      </c>
      <c r="J18" s="7">
        <f>ROUND(J6*Assumptions!J14,0)</f>
        <v/>
      </c>
      <c r="K18" s="7">
        <f>ROUND(K6*Assumptions!K14,0)</f>
        <v/>
      </c>
    </row>
    <row r="19">
      <c r="A19" s="8" t="inlineStr">
        <is>
          <t xml:space="preserve">    % of Revenue</t>
        </is>
      </c>
      <c r="B19" s="9">
        <f>B18/B6</f>
        <v/>
      </c>
      <c r="C19" s="9">
        <f>C18/C6</f>
        <v/>
      </c>
      <c r="D19" s="9">
        <f>D18/D6</f>
        <v/>
      </c>
      <c r="E19" s="9">
        <f>E18/E6</f>
        <v/>
      </c>
      <c r="F19" s="9">
        <f>F18/F6</f>
        <v/>
      </c>
      <c r="G19" s="9">
        <f>G18/G6</f>
        <v/>
      </c>
      <c r="H19" s="10">
        <f>H18/H6</f>
        <v/>
      </c>
      <c r="I19" s="10">
        <f>I18/I6</f>
        <v/>
      </c>
      <c r="J19" s="10">
        <f>J18/J6</f>
        <v/>
      </c>
      <c r="K19" s="10">
        <f>K18/K6</f>
        <v/>
      </c>
    </row>
    <row r="20">
      <c r="A20" s="5" t="inlineStr">
        <is>
          <t>Non-GAAP Total OpEx</t>
        </is>
      </c>
      <c r="B20" s="6">
        <f>B14+B16+B18</f>
        <v/>
      </c>
      <c r="C20" s="6">
        <f>C14+C16+C18</f>
        <v/>
      </c>
      <c r="D20" s="6">
        <f>D14+D16+D18</f>
        <v/>
      </c>
      <c r="E20" s="6">
        <f>E14+E16+E18</f>
        <v/>
      </c>
      <c r="F20" s="6">
        <f>F14+F16+F18</f>
        <v/>
      </c>
      <c r="G20" s="6">
        <f>G14+G16+G18</f>
        <v/>
      </c>
      <c r="H20" s="7">
        <f>H14+H16+H18</f>
        <v/>
      </c>
      <c r="I20" s="7">
        <f>I14+I16+I18</f>
        <v/>
      </c>
      <c r="J20" s="7">
        <f>J14+J16+J18</f>
        <v/>
      </c>
      <c r="K20" s="7">
        <f>K14+K16+K18</f>
        <v/>
      </c>
    </row>
    <row r="21">
      <c r="A21" s="8" t="inlineStr">
        <is>
          <t xml:space="preserve">    % of Revenue</t>
        </is>
      </c>
      <c r="B21" s="9">
        <f>B20/B6</f>
        <v/>
      </c>
      <c r="C21" s="9">
        <f>C20/C6</f>
        <v/>
      </c>
      <c r="D21" s="9">
        <f>D20/D6</f>
        <v/>
      </c>
      <c r="E21" s="9">
        <f>E20/E6</f>
        <v/>
      </c>
      <c r="F21" s="9">
        <f>F20/F6</f>
        <v/>
      </c>
      <c r="G21" s="9">
        <f>G20/G6</f>
        <v/>
      </c>
      <c r="H21" s="10">
        <f>H20/H6</f>
        <v/>
      </c>
      <c r="I21" s="10">
        <f>I20/I6</f>
        <v/>
      </c>
      <c r="J21" s="10">
        <f>J20/J6</f>
        <v/>
      </c>
      <c r="K21" s="10">
        <f>K20/K6</f>
        <v/>
      </c>
    </row>
    <row r="23">
      <c r="A23" s="5" t="inlineStr">
        <is>
          <t>Non-GAAP Operating Income</t>
        </is>
      </c>
      <c r="B23" s="6">
        <f>B10-B20</f>
        <v/>
      </c>
      <c r="C23" s="6">
        <f>C10-C20</f>
        <v/>
      </c>
      <c r="D23" s="6">
        <f>D10-D20</f>
        <v/>
      </c>
      <c r="E23" s="6">
        <f>E10-E20</f>
        <v/>
      </c>
      <c r="F23" s="6">
        <f>F10-F20</f>
        <v/>
      </c>
      <c r="G23" s="6">
        <f>G10-G20</f>
        <v/>
      </c>
      <c r="H23" s="7">
        <f>H10-H20</f>
        <v/>
      </c>
      <c r="I23" s="7">
        <f>I10-I20</f>
        <v/>
      </c>
      <c r="J23" s="7">
        <f>J10-J20</f>
        <v/>
      </c>
      <c r="K23" s="7">
        <f>K10-K20</f>
        <v/>
      </c>
    </row>
    <row r="24">
      <c r="A24" s="8" t="inlineStr">
        <is>
          <t xml:space="preserve">  Non-GAAP Operating Margin</t>
        </is>
      </c>
      <c r="B24" s="9">
        <f>B23/B6</f>
        <v/>
      </c>
      <c r="C24" s="9">
        <f>C23/C6</f>
        <v/>
      </c>
      <c r="D24" s="9">
        <f>D23/D6</f>
        <v/>
      </c>
      <c r="E24" s="9">
        <f>E23/E6</f>
        <v/>
      </c>
      <c r="F24" s="9">
        <f>F23/F6</f>
        <v/>
      </c>
      <c r="G24" s="9">
        <f>G23/G6</f>
        <v/>
      </c>
      <c r="H24" s="10">
        <f>H23/H6</f>
        <v/>
      </c>
      <c r="I24" s="10">
        <f>I23/I6</f>
        <v/>
      </c>
      <c r="J24" s="10">
        <f>J23/J6</f>
        <v/>
      </c>
      <c r="K24" s="10">
        <f>K23/K6</f>
        <v/>
      </c>
    </row>
    <row r="26">
      <c r="A26" s="8" t="inlineStr">
        <is>
          <t>PP&amp;E Depreciation</t>
        </is>
      </c>
      <c r="B26" s="6" t="n">
        <v>51</v>
      </c>
      <c r="C26" s="6" t="n">
        <v>75</v>
      </c>
      <c r="D26" s="6" t="n">
        <v>85</v>
      </c>
      <c r="E26" s="6" t="n">
        <v>115</v>
      </c>
      <c r="F26" s="6" t="n">
        <v>135</v>
      </c>
      <c r="G26" s="6" t="n">
        <v>160</v>
      </c>
      <c r="H26" s="7">
        <f>Assumptions!H21</f>
        <v/>
      </c>
      <c r="I26" s="7">
        <f>Assumptions!I21</f>
        <v/>
      </c>
      <c r="J26" s="7">
        <f>Assumptions!J21</f>
        <v/>
      </c>
      <c r="K26" s="7">
        <f>Assumptions!K21</f>
        <v/>
      </c>
    </row>
    <row r="27">
      <c r="A27" s="5" t="inlineStr">
        <is>
          <t>Adjusted EBITDA</t>
        </is>
      </c>
      <c r="B27" s="6">
        <f>B23+B26</f>
        <v/>
      </c>
      <c r="C27" s="6">
        <f>C23+C26</f>
        <v/>
      </c>
      <c r="D27" s="6">
        <f>D23+D26</f>
        <v/>
      </c>
      <c r="E27" s="6">
        <f>E23+E26</f>
        <v/>
      </c>
      <c r="F27" s="6">
        <f>F23+F26</f>
        <v/>
      </c>
      <c r="G27" s="6">
        <f>G23+G26</f>
        <v/>
      </c>
      <c r="H27" s="7">
        <f>H23+H26</f>
        <v/>
      </c>
      <c r="I27" s="7">
        <f>I23+I26</f>
        <v/>
      </c>
      <c r="J27" s="7">
        <f>J23+J26</f>
        <v/>
      </c>
      <c r="K27" s="7">
        <f>K23+K26</f>
        <v/>
      </c>
    </row>
    <row r="28">
      <c r="A28" s="8" t="inlineStr">
        <is>
          <t xml:space="preserve">  Adjusted EBITDA Margin</t>
        </is>
      </c>
      <c r="B28" s="9">
        <f>B27/B6</f>
        <v/>
      </c>
      <c r="C28" s="9">
        <f>C27/C6</f>
        <v/>
      </c>
      <c r="D28" s="9">
        <f>D27/D6</f>
        <v/>
      </c>
      <c r="E28" s="9">
        <f>E27/E6</f>
        <v/>
      </c>
      <c r="F28" s="9">
        <f>F27/F6</f>
        <v/>
      </c>
      <c r="G28" s="9">
        <f>G27/G6</f>
        <v/>
      </c>
      <c r="H28" s="10">
        <f>H27/H6</f>
        <v/>
      </c>
      <c r="I28" s="10">
        <f>I27/I6</f>
        <v/>
      </c>
      <c r="J28" s="10">
        <f>J27/J6</f>
        <v/>
      </c>
      <c r="K28" s="10">
        <f>K27/K6</f>
        <v/>
      </c>
    </row>
    <row r="30">
      <c r="A30" s="8" t="inlineStr">
        <is>
          <t>Interest &amp; Other</t>
        </is>
      </c>
      <c r="B30" s="6" t="n">
        <v>-51</v>
      </c>
      <c r="C30" s="6" t="n">
        <v>-88</v>
      </c>
      <c r="D30" s="6" t="n">
        <v>-89</v>
      </c>
      <c r="E30" s="6" t="n">
        <v>-87</v>
      </c>
      <c r="F30" s="6" t="n">
        <v>-100</v>
      </c>
      <c r="G30" s="6" t="n">
        <v>-95</v>
      </c>
      <c r="H30" s="7">
        <f>-Assumptions!H32</f>
        <v/>
      </c>
      <c r="I30" s="7">
        <f>-Assumptions!I32</f>
        <v/>
      </c>
      <c r="J30" s="7">
        <f>-Assumptions!J32</f>
        <v/>
      </c>
      <c r="K30" s="7">
        <f>-Assumptions!K32</f>
        <v/>
      </c>
    </row>
    <row r="31">
      <c r="A31" s="5" t="inlineStr">
        <is>
          <t>Non-GAAP Pre-Tax Income</t>
        </is>
      </c>
      <c r="B31" s="6">
        <f>B23+B30</f>
        <v/>
      </c>
      <c r="C31" s="6">
        <f>C23+C30</f>
        <v/>
      </c>
      <c r="D31" s="6">
        <f>D23+D30</f>
        <v/>
      </c>
      <c r="E31" s="6">
        <f>E23+E30</f>
        <v/>
      </c>
      <c r="F31" s="6">
        <f>F23+F30</f>
        <v/>
      </c>
      <c r="G31" s="6">
        <f>G23+G30</f>
        <v/>
      </c>
      <c r="H31" s="7">
        <f>H23+H30</f>
        <v/>
      </c>
      <c r="I31" s="7">
        <f>I23+I30</f>
        <v/>
      </c>
      <c r="J31" s="7">
        <f>J23+J30</f>
        <v/>
      </c>
      <c r="K31" s="7">
        <f>K23+K30</f>
        <v/>
      </c>
    </row>
    <row r="32">
      <c r="A32" s="8" t="inlineStr">
        <is>
          <t>Non-GAAP Tax Provision</t>
        </is>
      </c>
      <c r="B32" s="6" t="n">
        <v>0</v>
      </c>
      <c r="C32" s="6" t="n">
        <v>0</v>
      </c>
      <c r="D32" s="6" t="n">
        <v>10</v>
      </c>
      <c r="E32" s="6" t="n">
        <v>2</v>
      </c>
      <c r="F32" s="6" t="n">
        <v>7</v>
      </c>
      <c r="G32" s="6" t="n">
        <v>53</v>
      </c>
      <c r="H32" s="7">
        <f>IF(H31&gt;0,ROUND(H31*Assumptions!H22,0),0)</f>
        <v/>
      </c>
      <c r="I32" s="7">
        <f>IF(I31&gt;0,ROUND(I31*Assumptions!I22,0),0)</f>
        <v/>
      </c>
      <c r="J32" s="7">
        <f>IF(J31&gt;0,ROUND(J31*Assumptions!J22,0),0)</f>
        <v/>
      </c>
      <c r="K32" s="7">
        <f>IF(K31&gt;0,ROUND(K31*Assumptions!K22,0),0)</f>
        <v/>
      </c>
    </row>
    <row r="33">
      <c r="A33" s="8" t="inlineStr">
        <is>
          <t xml:space="preserve">  Non-GAAP Tax Rate</t>
        </is>
      </c>
      <c r="B33" s="9">
        <f>IF(B31&gt;0,B32/B31,0)</f>
        <v/>
      </c>
      <c r="C33" s="9">
        <f>IF(C31&gt;0,C32/C31,0)</f>
        <v/>
      </c>
      <c r="D33" s="9">
        <f>IF(D31&gt;0,D32/D31,0)</f>
        <v/>
      </c>
      <c r="E33" s="9">
        <f>IF(E31&gt;0,E32/E31,0)</f>
        <v/>
      </c>
      <c r="F33" s="9">
        <f>IF(F31&gt;0,F32/F31,0)</f>
        <v/>
      </c>
      <c r="G33" s="9">
        <f>IF(G31&gt;0,G32/G31,0)</f>
        <v/>
      </c>
      <c r="H33" s="10">
        <f>IF(H31&gt;0,H32/H31,0)</f>
        <v/>
      </c>
      <c r="I33" s="10">
        <f>IF(I31&gt;0,I32/I31,0)</f>
        <v/>
      </c>
      <c r="J33" s="10">
        <f>IF(J31&gt;0,J32/J31,0)</f>
        <v/>
      </c>
      <c r="K33" s="10">
        <f>IF(K31&gt;0,K32/K31,0)</f>
        <v/>
      </c>
    </row>
    <row r="35">
      <c r="A35" s="5" t="inlineStr">
        <is>
          <t>Non-GAAP Net Income</t>
        </is>
      </c>
      <c r="B35" s="6">
        <f>B31-B32</f>
        <v/>
      </c>
      <c r="C35" s="6">
        <f>C31-C32</f>
        <v/>
      </c>
      <c r="D35" s="6">
        <f>D31-D32</f>
        <v/>
      </c>
      <c r="E35" s="6">
        <f>E31-E32</f>
        <v/>
      </c>
      <c r="F35" s="6">
        <f>F31-F32</f>
        <v/>
      </c>
      <c r="G35" s="6">
        <f>G31-G32</f>
        <v/>
      </c>
      <c r="H35" s="7">
        <f>H31-H32</f>
        <v/>
      </c>
      <c r="I35" s="7">
        <f>I31-I32</f>
        <v/>
      </c>
      <c r="J35" s="7">
        <f>J31-J32</f>
        <v/>
      </c>
      <c r="K35" s="7">
        <f>K31-K32</f>
        <v/>
      </c>
    </row>
    <row r="37">
      <c r="A37" s="8" t="inlineStr">
        <is>
          <t>Diluted Shares (M)</t>
        </is>
      </c>
      <c r="B37" s="6">
        <f>Assumptions!B48</f>
        <v/>
      </c>
      <c r="C37" s="6">
        <f>Assumptions!C48</f>
        <v/>
      </c>
      <c r="D37" s="6">
        <f>Assumptions!D48</f>
        <v/>
      </c>
      <c r="E37" s="6">
        <f>Assumptions!E48</f>
        <v/>
      </c>
      <c r="F37" s="6">
        <f>Assumptions!F48</f>
        <v/>
      </c>
      <c r="G37" s="6">
        <f>Assumptions!G48</f>
        <v/>
      </c>
      <c r="H37" s="7">
        <f>Assumptions!H48</f>
        <v/>
      </c>
      <c r="I37" s="7">
        <f>Assumptions!I48</f>
        <v/>
      </c>
      <c r="J37" s="7">
        <f>Assumptions!J48</f>
        <v/>
      </c>
      <c r="K37" s="7">
        <f>Assumptions!K48</f>
        <v/>
      </c>
    </row>
    <row r="38">
      <c r="A38" s="5" t="inlineStr">
        <is>
          <t>Non-GAAP Diluted EPS</t>
        </is>
      </c>
      <c r="B38" s="11">
        <f>ROUND(B35/B37,2)</f>
        <v/>
      </c>
      <c r="C38" s="11">
        <f>ROUND(C35/C37,2)</f>
        <v/>
      </c>
      <c r="D38" s="11">
        <f>ROUND(D35/D37,2)</f>
        <v/>
      </c>
      <c r="E38" s="11">
        <f>ROUND(E35/E37,2)</f>
        <v/>
      </c>
      <c r="F38" s="11">
        <f>ROUND(F35/F37,2)</f>
        <v/>
      </c>
      <c r="G38" s="11">
        <f>ROUND(G35/G37,2)</f>
        <v/>
      </c>
      <c r="H38" s="12">
        <f>ROUND(H35/H37,2)</f>
        <v/>
      </c>
      <c r="I38" s="12">
        <f>ROUND(I35/I37,2)</f>
        <v/>
      </c>
      <c r="J38" s="12">
        <f>ROUND(J35/J37,2)</f>
        <v/>
      </c>
      <c r="K38" s="12">
        <f>ROUND(K35/K37,2)</f>
        <v/>
      </c>
    </row>
    <row r="40">
      <c r="A40" s="4" t="inlineStr">
        <is>
          <t>Memo: GAAP Adjustment Items (add-backs)</t>
        </is>
      </c>
    </row>
    <row r="41">
      <c r="A41" s="8" t="inlineStr">
        <is>
          <t xml:space="preserve">  Stock-Based Compensation</t>
        </is>
      </c>
      <c r="B41" s="6" t="n">
        <v>600</v>
      </c>
      <c r="C41" s="6" t="n">
        <v>770</v>
      </c>
      <c r="D41" s="6" t="n">
        <v>1096</v>
      </c>
      <c r="E41" s="6" t="n">
        <v>1538</v>
      </c>
      <c r="F41" s="6" t="n">
        <v>1376</v>
      </c>
      <c r="G41" s="6" t="n">
        <v>1296</v>
      </c>
      <c r="H41" s="7">
        <f>ROUND(H6*Assumptions!H17,0)</f>
        <v/>
      </c>
      <c r="I41" s="7">
        <f>ROUND(I6*Assumptions!I17,0)</f>
        <v/>
      </c>
      <c r="J41" s="7">
        <f>ROUND(J6*Assumptions!J17,0)</f>
        <v/>
      </c>
      <c r="K41" s="7">
        <f>ROUND(K6*Assumptions!K17,0)</f>
        <v/>
      </c>
    </row>
    <row r="42">
      <c r="A42" s="8" t="inlineStr">
        <is>
          <t xml:space="preserve">    SBC % of Revenue</t>
        </is>
      </c>
      <c r="B42" s="9">
        <f>B41/B6</f>
        <v/>
      </c>
      <c r="C42" s="9">
        <f>C41/C6</f>
        <v/>
      </c>
      <c r="D42" s="9">
        <f>D41/D6</f>
        <v/>
      </c>
      <c r="E42" s="9">
        <f>E41/E6</f>
        <v/>
      </c>
      <c r="F42" s="9">
        <f>F41/F6</f>
        <v/>
      </c>
      <c r="G42" s="9">
        <f>G41/G6</f>
        <v/>
      </c>
      <c r="H42" s="10">
        <f>H41/H6</f>
        <v/>
      </c>
      <c r="I42" s="10">
        <f>I41/I6</f>
        <v/>
      </c>
      <c r="J42" s="10">
        <f>J41/J6</f>
        <v/>
      </c>
      <c r="K42" s="10">
        <f>K41/K6</f>
        <v/>
      </c>
    </row>
    <row r="43">
      <c r="A43" s="8" t="inlineStr">
        <is>
          <t xml:space="preserve">  Intangible Amortization</t>
        </is>
      </c>
      <c r="B43" s="6" t="n">
        <v>30</v>
      </c>
      <c r="C43" s="6" t="n">
        <v>32</v>
      </c>
      <c r="D43" s="6" t="n">
        <v>55</v>
      </c>
      <c r="E43" s="6" t="n">
        <v>70</v>
      </c>
      <c r="F43" s="6" t="n">
        <v>65</v>
      </c>
      <c r="G43" s="6" t="n">
        <v>55</v>
      </c>
      <c r="H43" s="7">
        <f>Assumptions!H19</f>
        <v/>
      </c>
      <c r="I43" s="7">
        <f>Assumptions!I19</f>
        <v/>
      </c>
      <c r="J43" s="7">
        <f>Assumptions!J19</f>
        <v/>
      </c>
      <c r="K43" s="7">
        <f>Assumptions!K19</f>
        <v/>
      </c>
    </row>
    <row r="44">
      <c r="A44" s="8" t="inlineStr">
        <is>
          <t xml:space="preserve">  Restructuring Charges</t>
        </is>
      </c>
      <c r="B44" s="6" t="n">
        <v>0</v>
      </c>
      <c r="C44" s="6" t="n">
        <v>0</v>
      </c>
      <c r="D44" s="6" t="n">
        <v>0</v>
      </c>
      <c r="E44" s="6" t="n">
        <v>155</v>
      </c>
      <c r="F44" s="6" t="n">
        <v>80</v>
      </c>
      <c r="G44" s="6" t="n">
        <v>35</v>
      </c>
      <c r="H44" s="7">
        <f>Assumptions!H20</f>
        <v/>
      </c>
      <c r="I44" s="7">
        <f>Assumptions!I20</f>
        <v/>
      </c>
      <c r="J44" s="7">
        <f>Assumptions!J20</f>
        <v/>
      </c>
      <c r="K44" s="7">
        <f>Assumptions!K20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F6000"/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Snap Inc. (SNAP) - Non-GAAP to GAAP Reconciliation ($M)</t>
        </is>
      </c>
    </row>
    <row r="3">
      <c r="A3" s="2" t="inlineStr"/>
      <c r="B3" s="2" t="inlineStr">
        <is>
          <t>2019</t>
        </is>
      </c>
      <c r="C3" s="2" t="inlineStr">
        <is>
          <t>2020</t>
        </is>
      </c>
      <c r="D3" s="2" t="inlineStr">
        <is>
          <t>2021</t>
        </is>
      </c>
      <c r="E3" s="2" t="inlineStr">
        <is>
          <t>2022</t>
        </is>
      </c>
      <c r="F3" s="2" t="inlineStr">
        <is>
          <t>2023</t>
        </is>
      </c>
      <c r="G3" s="2" t="inlineStr">
        <is>
          <t>2024</t>
        </is>
      </c>
      <c r="H3" s="2" t="inlineStr">
        <is>
          <t>2025E</t>
        </is>
      </c>
      <c r="I3" s="2" t="inlineStr">
        <is>
          <t>2026E</t>
        </is>
      </c>
      <c r="J3" s="2" t="inlineStr">
        <is>
          <t>2027E</t>
        </is>
      </c>
      <c r="K3" s="2" t="inlineStr">
        <is>
          <t>2028E</t>
        </is>
      </c>
    </row>
    <row r="4">
      <c r="A4" s="3" t="inlineStr"/>
      <c r="B4" s="3" t="inlineStr">
        <is>
          <t>Historical</t>
        </is>
      </c>
      <c r="C4" s="3" t="inlineStr">
        <is>
          <t>Historical</t>
        </is>
      </c>
      <c r="D4" s="3" t="inlineStr">
        <is>
          <t>Historical</t>
        </is>
      </c>
      <c r="E4" s="3" t="inlineStr">
        <is>
          <t>Historical</t>
        </is>
      </c>
      <c r="F4" s="3" t="inlineStr">
        <is>
          <t>Historical</t>
        </is>
      </c>
      <c r="G4" s="3" t="inlineStr">
        <is>
          <t>Historical</t>
        </is>
      </c>
      <c r="H4" s="3" t="inlineStr">
        <is>
          <t>Forecast</t>
        </is>
      </c>
      <c r="I4" s="3" t="inlineStr">
        <is>
          <t>Forecast</t>
        </is>
      </c>
      <c r="J4" s="3" t="inlineStr">
        <is>
          <t>Forecast</t>
        </is>
      </c>
      <c r="K4" s="3" t="inlineStr">
        <is>
          <t>Forecast</t>
        </is>
      </c>
    </row>
    <row r="6">
      <c r="A6" s="4" t="inlineStr">
        <is>
          <t>NON-GAAP OI -&gt; GAAP OI BRIDGE</t>
        </is>
      </c>
    </row>
    <row r="7">
      <c r="A7" s="5" t="inlineStr">
        <is>
          <t>Non-GAAP Operating Income</t>
        </is>
      </c>
      <c r="B7" s="6">
        <f>'Non-GAAP P&amp;L'!B23</f>
        <v/>
      </c>
      <c r="C7" s="6">
        <f>'Non-GAAP P&amp;L'!C23</f>
        <v/>
      </c>
      <c r="D7" s="6">
        <f>'Non-GAAP P&amp;L'!D23</f>
        <v/>
      </c>
      <c r="E7" s="6">
        <f>'Non-GAAP P&amp;L'!E23</f>
        <v/>
      </c>
      <c r="F7" s="6">
        <f>'Non-GAAP P&amp;L'!F23</f>
        <v/>
      </c>
      <c r="G7" s="6">
        <f>'Non-GAAP P&amp;L'!G23</f>
        <v/>
      </c>
      <c r="H7" s="7">
        <f>'Non-GAAP P&amp;L'!H23</f>
        <v/>
      </c>
      <c r="I7" s="7">
        <f>'Non-GAAP P&amp;L'!I23</f>
        <v/>
      </c>
      <c r="J7" s="7">
        <f>'Non-GAAP P&amp;L'!J23</f>
        <v/>
      </c>
      <c r="K7" s="7">
        <f>'Non-GAAP P&amp;L'!K23</f>
        <v/>
      </c>
    </row>
    <row r="8">
      <c r="A8" s="8" t="inlineStr">
        <is>
          <t xml:space="preserve">  (-) Stock-Based Compensation</t>
        </is>
      </c>
      <c r="B8" s="6">
        <f>-'Non-GAAP P&amp;L'!B41</f>
        <v/>
      </c>
      <c r="C8" s="6">
        <f>-'Non-GAAP P&amp;L'!C41</f>
        <v/>
      </c>
      <c r="D8" s="6">
        <f>-'Non-GAAP P&amp;L'!D41</f>
        <v/>
      </c>
      <c r="E8" s="6">
        <f>-'Non-GAAP P&amp;L'!E41</f>
        <v/>
      </c>
      <c r="F8" s="6">
        <f>-'Non-GAAP P&amp;L'!F41</f>
        <v/>
      </c>
      <c r="G8" s="6">
        <f>-'Non-GAAP P&amp;L'!G41</f>
        <v/>
      </c>
      <c r="H8" s="7">
        <f>-'Non-GAAP P&amp;L'!H41</f>
        <v/>
      </c>
      <c r="I8" s="7">
        <f>-'Non-GAAP P&amp;L'!I41</f>
        <v/>
      </c>
      <c r="J8" s="7">
        <f>-'Non-GAAP P&amp;L'!J41</f>
        <v/>
      </c>
      <c r="K8" s="7">
        <f>-'Non-GAAP P&amp;L'!K41</f>
        <v/>
      </c>
    </row>
    <row r="9">
      <c r="A9" s="8" t="inlineStr">
        <is>
          <t xml:space="preserve">  (-) Intangible Amortization</t>
        </is>
      </c>
      <c r="B9" s="6">
        <f>-'Non-GAAP P&amp;L'!B43</f>
        <v/>
      </c>
      <c r="C9" s="6">
        <f>-'Non-GAAP P&amp;L'!C43</f>
        <v/>
      </c>
      <c r="D9" s="6">
        <f>-'Non-GAAP P&amp;L'!D43</f>
        <v/>
      </c>
      <c r="E9" s="6">
        <f>-'Non-GAAP P&amp;L'!E43</f>
        <v/>
      </c>
      <c r="F9" s="6">
        <f>-'Non-GAAP P&amp;L'!F43</f>
        <v/>
      </c>
      <c r="G9" s="6">
        <f>-'Non-GAAP P&amp;L'!G43</f>
        <v/>
      </c>
      <c r="H9" s="7">
        <f>-'Non-GAAP P&amp;L'!H43</f>
        <v/>
      </c>
      <c r="I9" s="7">
        <f>-'Non-GAAP P&amp;L'!I43</f>
        <v/>
      </c>
      <c r="J9" s="7">
        <f>-'Non-GAAP P&amp;L'!J43</f>
        <v/>
      </c>
      <c r="K9" s="7">
        <f>-'Non-GAAP P&amp;L'!K43</f>
        <v/>
      </c>
    </row>
    <row r="10">
      <c r="A10" s="8" t="inlineStr">
        <is>
          <t xml:space="preserve">  (-) Restructuring Charges</t>
        </is>
      </c>
      <c r="B10" s="6">
        <f>-'Non-GAAP P&amp;L'!B44</f>
        <v/>
      </c>
      <c r="C10" s="6">
        <f>-'Non-GAAP P&amp;L'!C44</f>
        <v/>
      </c>
      <c r="D10" s="6">
        <f>-'Non-GAAP P&amp;L'!D44</f>
        <v/>
      </c>
      <c r="E10" s="6">
        <f>-'Non-GAAP P&amp;L'!E44</f>
        <v/>
      </c>
      <c r="F10" s="6">
        <f>-'Non-GAAP P&amp;L'!F44</f>
        <v/>
      </c>
      <c r="G10" s="6">
        <f>-'Non-GAAP P&amp;L'!G44</f>
        <v/>
      </c>
      <c r="H10" s="7">
        <f>-'Non-GAAP P&amp;L'!H44</f>
        <v/>
      </c>
      <c r="I10" s="7">
        <f>-'Non-GAAP P&amp;L'!I44</f>
        <v/>
      </c>
      <c r="J10" s="7">
        <f>-'Non-GAAP P&amp;L'!J44</f>
        <v/>
      </c>
      <c r="K10" s="7">
        <f>-'Non-GAAP P&amp;L'!K44</f>
        <v/>
      </c>
    </row>
    <row r="11">
      <c r="A11" s="5" t="inlineStr">
        <is>
          <t>GAAP Operating Income (Loss)</t>
        </is>
      </c>
      <c r="B11" s="6">
        <f>B7+B8+B9+B10</f>
        <v/>
      </c>
      <c r="C11" s="6">
        <f>C7+C8+C9+C10</f>
        <v/>
      </c>
      <c r="D11" s="6">
        <f>D7+D8+D9+D10</f>
        <v/>
      </c>
      <c r="E11" s="6">
        <f>E7+E8+E9+E10</f>
        <v/>
      </c>
      <c r="F11" s="6">
        <f>F7+F8+F9+F10</f>
        <v/>
      </c>
      <c r="G11" s="6">
        <f>G7+G8+G9+G10</f>
        <v/>
      </c>
      <c r="H11" s="7">
        <f>H7+H8+H9+H10</f>
        <v/>
      </c>
      <c r="I11" s="7">
        <f>I7+I8+I9+I10</f>
        <v/>
      </c>
      <c r="J11" s="7">
        <f>J7+J8+J9+J10</f>
        <v/>
      </c>
      <c r="K11" s="7">
        <f>K7+K8+K9+K10</f>
        <v/>
      </c>
    </row>
    <row r="12">
      <c r="A12" s="8" t="inlineStr">
        <is>
          <t xml:space="preserve">  GAAP Operating Margin</t>
        </is>
      </c>
      <c r="B12" s="9">
        <f>B11/'Non-GAAP P&amp;L'!B6</f>
        <v/>
      </c>
      <c r="C12" s="9">
        <f>C11/'Non-GAAP P&amp;L'!C6</f>
        <v/>
      </c>
      <c r="D12" s="9">
        <f>D11/'Non-GAAP P&amp;L'!D6</f>
        <v/>
      </c>
      <c r="E12" s="9">
        <f>E11/'Non-GAAP P&amp;L'!E6</f>
        <v/>
      </c>
      <c r="F12" s="9">
        <f>F11/'Non-GAAP P&amp;L'!F6</f>
        <v/>
      </c>
      <c r="G12" s="9">
        <f>G11/'Non-GAAP P&amp;L'!G6</f>
        <v/>
      </c>
      <c r="H12" s="10">
        <f>H11/'Non-GAAP P&amp;L'!H6</f>
        <v/>
      </c>
      <c r="I12" s="10">
        <f>I11/'Non-GAAP P&amp;L'!I6</f>
        <v/>
      </c>
      <c r="J12" s="10">
        <f>J11/'Non-GAAP P&amp;L'!J6</f>
        <v/>
      </c>
      <c r="K12" s="10">
        <f>K11/'Non-GAAP P&amp;L'!K6</f>
        <v/>
      </c>
    </row>
    <row r="14">
      <c r="A14" s="4" t="inlineStr">
        <is>
          <t>NON-GAAP NI -&gt; GAAP NI BRIDGE</t>
        </is>
      </c>
    </row>
    <row r="15">
      <c r="A15" s="5" t="inlineStr">
        <is>
          <t>Non-GAAP Net Income</t>
        </is>
      </c>
      <c r="B15" s="6">
        <f>'Non-GAAP P&amp;L'!B35</f>
        <v/>
      </c>
      <c r="C15" s="6">
        <f>'Non-GAAP P&amp;L'!C35</f>
        <v/>
      </c>
      <c r="D15" s="6">
        <f>'Non-GAAP P&amp;L'!D35</f>
        <v/>
      </c>
      <c r="E15" s="6">
        <f>'Non-GAAP P&amp;L'!E35</f>
        <v/>
      </c>
      <c r="F15" s="6">
        <f>'Non-GAAP P&amp;L'!F35</f>
        <v/>
      </c>
      <c r="G15" s="6">
        <f>'Non-GAAP P&amp;L'!G35</f>
        <v/>
      </c>
      <c r="H15" s="7">
        <f>'Non-GAAP P&amp;L'!H35</f>
        <v/>
      </c>
      <c r="I15" s="7">
        <f>'Non-GAAP P&amp;L'!I35</f>
        <v/>
      </c>
      <c r="J15" s="7">
        <f>'Non-GAAP P&amp;L'!J35</f>
        <v/>
      </c>
      <c r="K15" s="7">
        <f>'Non-GAAP P&amp;L'!K35</f>
        <v/>
      </c>
    </row>
    <row r="16">
      <c r="A16" s="8" t="inlineStr">
        <is>
          <t xml:space="preserve">  (-) Stock-Based Compensation</t>
        </is>
      </c>
      <c r="B16" s="6">
        <f>-'Non-GAAP P&amp;L'!B41</f>
        <v/>
      </c>
      <c r="C16" s="6">
        <f>-'Non-GAAP P&amp;L'!C41</f>
        <v/>
      </c>
      <c r="D16" s="6">
        <f>-'Non-GAAP P&amp;L'!D41</f>
        <v/>
      </c>
      <c r="E16" s="6">
        <f>-'Non-GAAP P&amp;L'!E41</f>
        <v/>
      </c>
      <c r="F16" s="6">
        <f>-'Non-GAAP P&amp;L'!F41</f>
        <v/>
      </c>
      <c r="G16" s="6">
        <f>-'Non-GAAP P&amp;L'!G41</f>
        <v/>
      </c>
      <c r="H16" s="7">
        <f>-'Non-GAAP P&amp;L'!H41</f>
        <v/>
      </c>
      <c r="I16" s="7">
        <f>-'Non-GAAP P&amp;L'!I41</f>
        <v/>
      </c>
      <c r="J16" s="7">
        <f>-'Non-GAAP P&amp;L'!J41</f>
        <v/>
      </c>
      <c r="K16" s="7">
        <f>-'Non-GAAP P&amp;L'!K41</f>
        <v/>
      </c>
    </row>
    <row r="17">
      <c r="A17" s="8" t="inlineStr">
        <is>
          <t xml:space="preserve">  (-) Intangible Amortization</t>
        </is>
      </c>
      <c r="B17" s="6">
        <f>-'Non-GAAP P&amp;L'!B43</f>
        <v/>
      </c>
      <c r="C17" s="6">
        <f>-'Non-GAAP P&amp;L'!C43</f>
        <v/>
      </c>
      <c r="D17" s="6">
        <f>-'Non-GAAP P&amp;L'!D43</f>
        <v/>
      </c>
      <c r="E17" s="6">
        <f>-'Non-GAAP P&amp;L'!E43</f>
        <v/>
      </c>
      <c r="F17" s="6">
        <f>-'Non-GAAP P&amp;L'!F43</f>
        <v/>
      </c>
      <c r="G17" s="6">
        <f>-'Non-GAAP P&amp;L'!G43</f>
        <v/>
      </c>
      <c r="H17" s="7">
        <f>-'Non-GAAP P&amp;L'!H43</f>
        <v/>
      </c>
      <c r="I17" s="7">
        <f>-'Non-GAAP P&amp;L'!I43</f>
        <v/>
      </c>
      <c r="J17" s="7">
        <f>-'Non-GAAP P&amp;L'!J43</f>
        <v/>
      </c>
      <c r="K17" s="7">
        <f>-'Non-GAAP P&amp;L'!K43</f>
        <v/>
      </c>
    </row>
    <row r="18">
      <c r="A18" s="8" t="inlineStr">
        <is>
          <t xml:space="preserve">  (-) Restructuring Charges</t>
        </is>
      </c>
      <c r="B18" s="6">
        <f>-'Non-GAAP P&amp;L'!B44</f>
        <v/>
      </c>
      <c r="C18" s="6">
        <f>-'Non-GAAP P&amp;L'!C44</f>
        <v/>
      </c>
      <c r="D18" s="6">
        <f>-'Non-GAAP P&amp;L'!D44</f>
        <v/>
      </c>
      <c r="E18" s="6">
        <f>-'Non-GAAP P&amp;L'!E44</f>
        <v/>
      </c>
      <c r="F18" s="6">
        <f>-'Non-GAAP P&amp;L'!F44</f>
        <v/>
      </c>
      <c r="G18" s="6">
        <f>-'Non-GAAP P&amp;L'!G44</f>
        <v/>
      </c>
      <c r="H18" s="7">
        <f>-'Non-GAAP P&amp;L'!H44</f>
        <v/>
      </c>
      <c r="I18" s="7">
        <f>-'Non-GAAP P&amp;L'!I44</f>
        <v/>
      </c>
      <c r="J18" s="7">
        <f>-'Non-GAAP P&amp;L'!J44</f>
        <v/>
      </c>
      <c r="K18" s="7">
        <f>-'Non-GAAP P&amp;L'!K44</f>
        <v/>
      </c>
    </row>
    <row r="19">
      <c r="A19" s="8" t="inlineStr">
        <is>
          <t xml:space="preserve">  (+) Tax Effect of Adjustments</t>
        </is>
      </c>
      <c r="B19" s="6">
        <f>'Non-GAAP P&amp;L'!B32-B43</f>
        <v/>
      </c>
      <c r="C19" s="6">
        <f>'Non-GAAP P&amp;L'!C32-C43</f>
        <v/>
      </c>
      <c r="D19" s="6">
        <f>'Non-GAAP P&amp;L'!D32-D43</f>
        <v/>
      </c>
      <c r="E19" s="6">
        <f>'Non-GAAP P&amp;L'!E32-E43</f>
        <v/>
      </c>
      <c r="F19" s="6">
        <f>'Non-GAAP P&amp;L'!F32-F43</f>
        <v/>
      </c>
      <c r="G19" s="6">
        <f>'Non-GAAP P&amp;L'!G32-G43</f>
        <v/>
      </c>
      <c r="H19" s="7">
        <f>'Non-GAAP P&amp;L'!H32-H43</f>
        <v/>
      </c>
      <c r="I19" s="7">
        <f>'Non-GAAP P&amp;L'!I32-I43</f>
        <v/>
      </c>
      <c r="J19" s="7">
        <f>'Non-GAAP P&amp;L'!J32-J43</f>
        <v/>
      </c>
      <c r="K19" s="7">
        <f>'Non-GAAP P&amp;L'!K32-K43</f>
        <v/>
      </c>
    </row>
    <row r="20">
      <c r="A20" s="5" t="inlineStr">
        <is>
          <t>GAAP Net Income (Loss)</t>
        </is>
      </c>
      <c r="B20" s="6">
        <f>B15+B16+B17+B18+B19</f>
        <v/>
      </c>
      <c r="C20" s="6">
        <f>C15+C16+C17+C18+C19</f>
        <v/>
      </c>
      <c r="D20" s="6">
        <f>D15+D16+D17+D18+D19</f>
        <v/>
      </c>
      <c r="E20" s="6">
        <f>E15+E16+E17+E18+E19</f>
        <v/>
      </c>
      <c r="F20" s="6">
        <f>F15+F16+F17+F18+F19</f>
        <v/>
      </c>
      <c r="G20" s="6">
        <f>G15+G16+G17+G18+G19</f>
        <v/>
      </c>
      <c r="H20" s="7">
        <f>H15+H16+H17+H18+H19</f>
        <v/>
      </c>
      <c r="I20" s="7">
        <f>I15+I16+I17+I18+I19</f>
        <v/>
      </c>
      <c r="J20" s="7">
        <f>J15+J16+J17+J18+J19</f>
        <v/>
      </c>
      <c r="K20" s="7">
        <f>K15+K16+K17+K18+K19</f>
        <v/>
      </c>
    </row>
    <row r="21">
      <c r="A21" s="5" t="inlineStr">
        <is>
          <t>GAAP Diluted EPS</t>
        </is>
      </c>
      <c r="B21" s="11">
        <f>ROUND(B20/'Non-GAAP P&amp;L'!B37,2)</f>
        <v/>
      </c>
      <c r="C21" s="11">
        <f>ROUND(C20/'Non-GAAP P&amp;L'!C37,2)</f>
        <v/>
      </c>
      <c r="D21" s="11">
        <f>ROUND(D20/'Non-GAAP P&amp;L'!D37,2)</f>
        <v/>
      </c>
      <c r="E21" s="11">
        <f>ROUND(E20/'Non-GAAP P&amp;L'!E37,2)</f>
        <v/>
      </c>
      <c r="F21" s="11">
        <f>ROUND(F20/'Non-GAAP P&amp;L'!F37,2)</f>
        <v/>
      </c>
      <c r="G21" s="11">
        <f>ROUND(G20/'Non-GAAP P&amp;L'!G37,2)</f>
        <v/>
      </c>
      <c r="H21" s="12">
        <f>ROUND(H20/'Non-GAAP P&amp;L'!H37,2)</f>
        <v/>
      </c>
      <c r="I21" s="12">
        <f>ROUND(I20/'Non-GAAP P&amp;L'!I37,2)</f>
        <v/>
      </c>
      <c r="J21" s="12">
        <f>ROUND(J20/'Non-GAAP P&amp;L'!J37,2)</f>
        <v/>
      </c>
      <c r="K21" s="12">
        <f>ROUND(K20/'Non-GAAP P&amp;L'!K37,2)</f>
        <v/>
      </c>
    </row>
    <row r="24">
      <c r="A24" s="4" t="inlineStr">
        <is>
          <t>FULL GAAP INCOME STATEMENT</t>
        </is>
      </c>
    </row>
    <row r="25">
      <c r="A25" s="5" t="inlineStr">
        <is>
          <t>Revenue</t>
        </is>
      </c>
      <c r="B25" s="6">
        <f>'Non-GAAP P&amp;L'!B6</f>
        <v/>
      </c>
      <c r="C25" s="6">
        <f>'Non-GAAP P&amp;L'!C6</f>
        <v/>
      </c>
      <c r="D25" s="6">
        <f>'Non-GAAP P&amp;L'!D6</f>
        <v/>
      </c>
      <c r="E25" s="6">
        <f>'Non-GAAP P&amp;L'!E6</f>
        <v/>
      </c>
      <c r="F25" s="6">
        <f>'Non-GAAP P&amp;L'!F6</f>
        <v/>
      </c>
      <c r="G25" s="6">
        <f>'Non-GAAP P&amp;L'!G6</f>
        <v/>
      </c>
      <c r="H25" s="7">
        <f>'Non-GAAP P&amp;L'!H6</f>
        <v/>
      </c>
      <c r="I25" s="7">
        <f>'Non-GAAP P&amp;L'!I6</f>
        <v/>
      </c>
      <c r="J25" s="7">
        <f>'Non-GAAP P&amp;L'!J6</f>
        <v/>
      </c>
      <c r="K25" s="7">
        <f>'Non-GAAP P&amp;L'!K6</f>
        <v/>
      </c>
    </row>
    <row r="26">
      <c r="A26" s="8" t="inlineStr">
        <is>
          <t>GAAP Cost of Revenue</t>
        </is>
      </c>
      <c r="B26" s="6" t="n">
        <v>880</v>
      </c>
      <c r="C26" s="6" t="n">
        <v>1128</v>
      </c>
      <c r="D26" s="6" t="n">
        <v>1763</v>
      </c>
      <c r="E26" s="6" t="n">
        <v>2158</v>
      </c>
      <c r="F26" s="6" t="n">
        <v>2190</v>
      </c>
      <c r="G26" s="6" t="n">
        <v>2461</v>
      </c>
      <c r="H26" s="7">
        <f>'Non-GAAP P&amp;L'!H9+ROUND('Non-GAAP P&amp;L'!H41*Assumptions!H18,0)+ROUND('Non-GAAP P&amp;L'!H43*0.4,0)</f>
        <v/>
      </c>
      <c r="I26" s="7">
        <f>'Non-GAAP P&amp;L'!I9+ROUND('Non-GAAP P&amp;L'!I41*Assumptions!I18,0)+ROUND('Non-GAAP P&amp;L'!I43*0.4,0)</f>
        <v/>
      </c>
      <c r="J26" s="7">
        <f>'Non-GAAP P&amp;L'!J9+ROUND('Non-GAAP P&amp;L'!J41*Assumptions!J18,0)+ROUND('Non-GAAP P&amp;L'!J43*0.4,0)</f>
        <v/>
      </c>
      <c r="K26" s="7">
        <f>'Non-GAAP P&amp;L'!K9+ROUND('Non-GAAP P&amp;L'!K41*Assumptions!K18,0)+ROUND('Non-GAAP P&amp;L'!K43*0.4,0)</f>
        <v/>
      </c>
    </row>
    <row r="27">
      <c r="A27" s="5" t="inlineStr">
        <is>
          <t>GAAP Gross Profit</t>
        </is>
      </c>
      <c r="B27" s="6">
        <f>B25-B26</f>
        <v/>
      </c>
      <c r="C27" s="6">
        <f>C25-C26</f>
        <v/>
      </c>
      <c r="D27" s="6">
        <f>D25-D26</f>
        <v/>
      </c>
      <c r="E27" s="6">
        <f>E25-E26</f>
        <v/>
      </c>
      <c r="F27" s="6">
        <f>F25-F26</f>
        <v/>
      </c>
      <c r="G27" s="6">
        <f>G25-G26</f>
        <v/>
      </c>
      <c r="H27" s="7">
        <f>H25-H26</f>
        <v/>
      </c>
      <c r="I27" s="7">
        <f>I25-I26</f>
        <v/>
      </c>
      <c r="J27" s="7">
        <f>J25-J26</f>
        <v/>
      </c>
      <c r="K27" s="7">
        <f>K25-K26</f>
        <v/>
      </c>
    </row>
    <row r="28">
      <c r="A28" s="8" t="inlineStr">
        <is>
          <t xml:space="preserve">  GAAP Gross Margin</t>
        </is>
      </c>
      <c r="B28" s="9">
        <f>B27/B25</f>
        <v/>
      </c>
      <c r="C28" s="9">
        <f>C27/C25</f>
        <v/>
      </c>
      <c r="D28" s="9">
        <f>D27/D25</f>
        <v/>
      </c>
      <c r="E28" s="9">
        <f>E27/E25</f>
        <v/>
      </c>
      <c r="F28" s="9">
        <f>F27/F25</f>
        <v/>
      </c>
      <c r="G28" s="9">
        <f>G27/G25</f>
        <v/>
      </c>
      <c r="H28" s="10">
        <f>H27/H25</f>
        <v/>
      </c>
      <c r="I28" s="10">
        <f>I27/I25</f>
        <v/>
      </c>
      <c r="J28" s="10">
        <f>J27/J25</f>
        <v/>
      </c>
      <c r="K28" s="10">
        <f>K27/K25</f>
        <v/>
      </c>
    </row>
    <row r="30">
      <c r="A30" s="8" t="inlineStr">
        <is>
          <t>GAAP R&amp;D</t>
        </is>
      </c>
      <c r="B30" s="6" t="n">
        <v>988</v>
      </c>
      <c r="C30" s="6" t="n">
        <v>1235</v>
      </c>
      <c r="D30" s="6" t="n">
        <v>1535</v>
      </c>
      <c r="E30" s="6" t="n">
        <v>2017</v>
      </c>
      <c r="F30" s="6" t="n">
        <v>1847</v>
      </c>
      <c r="G30" s="6" t="n">
        <v>1802</v>
      </c>
      <c r="H30" s="7">
        <f>'Non-GAAP P&amp;L'!H14+ROUND('Non-GAAP P&amp;L'!H41*0.50,0)+ROUND('Non-GAAP P&amp;L'!H43*0.40,0)</f>
        <v/>
      </c>
      <c r="I30" s="7">
        <f>'Non-GAAP P&amp;L'!I14+ROUND('Non-GAAP P&amp;L'!I41*0.50,0)+ROUND('Non-GAAP P&amp;L'!I43*0.40,0)</f>
        <v/>
      </c>
      <c r="J30" s="7">
        <f>'Non-GAAP P&amp;L'!J14+ROUND('Non-GAAP P&amp;L'!J41*0.50,0)+ROUND('Non-GAAP P&amp;L'!J43*0.40,0)</f>
        <v/>
      </c>
      <c r="K30" s="7">
        <f>'Non-GAAP P&amp;L'!K14+ROUND('Non-GAAP P&amp;L'!K41*0.50,0)+ROUND('Non-GAAP P&amp;L'!K43*0.40,0)</f>
        <v/>
      </c>
    </row>
    <row r="31">
      <c r="A31" s="8" t="inlineStr">
        <is>
          <t>GAAP S&amp;M</t>
        </is>
      </c>
      <c r="B31" s="6" t="n">
        <v>654</v>
      </c>
      <c r="C31" s="6" t="n">
        <v>794</v>
      </c>
      <c r="D31" s="6" t="n">
        <v>1168</v>
      </c>
      <c r="E31" s="6" t="n">
        <v>1424</v>
      </c>
      <c r="F31" s="6" t="n">
        <v>1284</v>
      </c>
      <c r="G31" s="6" t="n">
        <v>1281</v>
      </c>
      <c r="H31" s="7">
        <f>'Non-GAAP P&amp;L'!H16+ROUND('Non-GAAP P&amp;L'!H41*0.25,0)+ROUND('Non-GAAP P&amp;L'!H43*0.10,0)</f>
        <v/>
      </c>
      <c r="I31" s="7">
        <f>'Non-GAAP P&amp;L'!I16+ROUND('Non-GAAP P&amp;L'!I41*0.25,0)+ROUND('Non-GAAP P&amp;L'!I43*0.10,0)</f>
        <v/>
      </c>
      <c r="J31" s="7">
        <f>'Non-GAAP P&amp;L'!J16+ROUND('Non-GAAP P&amp;L'!J41*0.25,0)+ROUND('Non-GAAP P&amp;L'!J43*0.10,0)</f>
        <v/>
      </c>
      <c r="K31" s="7">
        <f>'Non-GAAP P&amp;L'!K16+ROUND('Non-GAAP P&amp;L'!K41*0.25,0)+ROUND('Non-GAAP P&amp;L'!K43*0.10,0)</f>
        <v/>
      </c>
    </row>
    <row r="32">
      <c r="A32" s="8" t="inlineStr">
        <is>
          <t>GAAP G&amp;A</t>
        </is>
      </c>
      <c r="B32" s="6" t="n">
        <v>363</v>
      </c>
      <c r="C32" s="6" t="n">
        <v>421</v>
      </c>
      <c r="D32" s="6" t="n">
        <v>507</v>
      </c>
      <c r="E32" s="6" t="n">
        <v>641</v>
      </c>
      <c r="F32" s="6" t="n">
        <v>614</v>
      </c>
      <c r="G32" s="6" t="n">
        <v>582</v>
      </c>
      <c r="H32" s="7">
        <f>'Non-GAAP P&amp;L'!H18+ROUND('Non-GAAP P&amp;L'!H41*0.20,0)+ROUND('Non-GAAP P&amp;L'!H43*0.10,0)+'Non-GAAP P&amp;L'!H44</f>
        <v/>
      </c>
      <c r="I32" s="7">
        <f>'Non-GAAP P&amp;L'!I18+ROUND('Non-GAAP P&amp;L'!I41*0.20,0)+ROUND('Non-GAAP P&amp;L'!I43*0.10,0)+'Non-GAAP P&amp;L'!I44</f>
        <v/>
      </c>
      <c r="J32" s="7">
        <f>'Non-GAAP P&amp;L'!J18+ROUND('Non-GAAP P&amp;L'!J41*0.20,0)+ROUND('Non-GAAP P&amp;L'!J43*0.10,0)+'Non-GAAP P&amp;L'!J44</f>
        <v/>
      </c>
      <c r="K32" s="7">
        <f>'Non-GAAP P&amp;L'!K18+ROUND('Non-GAAP P&amp;L'!K41*0.20,0)+ROUND('Non-GAAP P&amp;L'!K43*0.10,0)+'Non-GAAP P&amp;L'!K44</f>
        <v/>
      </c>
    </row>
    <row r="33">
      <c r="A33" s="5" t="inlineStr">
        <is>
          <t>GAAP Total OpEx</t>
        </is>
      </c>
      <c r="B33" s="6">
        <f>B30+B31+B32</f>
        <v/>
      </c>
      <c r="C33" s="6">
        <f>C30+C31+C32</f>
        <v/>
      </c>
      <c r="D33" s="6">
        <f>D30+D31+D32</f>
        <v/>
      </c>
      <c r="E33" s="6">
        <f>E30+E31+E32</f>
        <v/>
      </c>
      <c r="F33" s="6">
        <f>F30+F31+F32</f>
        <v/>
      </c>
      <c r="G33" s="6">
        <f>G30+G31+G32</f>
        <v/>
      </c>
      <c r="H33" s="7">
        <f>H30+H31+H32</f>
        <v/>
      </c>
      <c r="I33" s="7">
        <f>I30+I31+I32</f>
        <v/>
      </c>
      <c r="J33" s="7">
        <f>J30+J31+J32</f>
        <v/>
      </c>
      <c r="K33" s="7">
        <f>K30+K31+K32</f>
        <v/>
      </c>
    </row>
    <row r="34">
      <c r="A34" s="5" t="inlineStr">
        <is>
          <t>GAAP Operating Income (Loss)</t>
        </is>
      </c>
      <c r="B34" s="6">
        <f>B27-B33</f>
        <v/>
      </c>
      <c r="C34" s="6">
        <f>C27-C33</f>
        <v/>
      </c>
      <c r="D34" s="6">
        <f>D27-D33</f>
        <v/>
      </c>
      <c r="E34" s="6">
        <f>E27-E33</f>
        <v/>
      </c>
      <c r="F34" s="6">
        <f>F27-F33</f>
        <v/>
      </c>
      <c r="G34" s="6">
        <f>G27-G33</f>
        <v/>
      </c>
      <c r="H34" s="7">
        <f>H27-H33</f>
        <v/>
      </c>
      <c r="I34" s="7">
        <f>I27-I33</f>
        <v/>
      </c>
      <c r="J34" s="7">
        <f>J27-J33</f>
        <v/>
      </c>
      <c r="K34" s="7">
        <f>K27-K33</f>
        <v/>
      </c>
    </row>
    <row r="35">
      <c r="A35" s="8" t="inlineStr">
        <is>
          <t xml:space="preserve">  GAAP Operating Margin</t>
        </is>
      </c>
      <c r="B35" s="9">
        <f>B34/B25</f>
        <v/>
      </c>
      <c r="C35" s="9">
        <f>C34/C25</f>
        <v/>
      </c>
      <c r="D35" s="9">
        <f>D34/D25</f>
        <v/>
      </c>
      <c r="E35" s="9">
        <f>E34/E25</f>
        <v/>
      </c>
      <c r="F35" s="9">
        <f>F34/F25</f>
        <v/>
      </c>
      <c r="G35" s="9">
        <f>G34/G25</f>
        <v/>
      </c>
      <c r="H35" s="10">
        <f>H34/H25</f>
        <v/>
      </c>
      <c r="I35" s="10">
        <f>I34/I25</f>
        <v/>
      </c>
      <c r="J35" s="10">
        <f>J34/J25</f>
        <v/>
      </c>
      <c r="K35" s="10">
        <f>K34/K25</f>
        <v/>
      </c>
    </row>
    <row r="37">
      <c r="A37" s="8" t="inlineStr">
        <is>
          <t>Total D&amp;A (PP&amp;E + Intangible)</t>
        </is>
      </c>
      <c r="B37" s="6">
        <f>'Non-GAAP P&amp;L'!B26+'Non-GAAP P&amp;L'!B43</f>
        <v/>
      </c>
      <c r="C37" s="6">
        <f>'Non-GAAP P&amp;L'!C26+'Non-GAAP P&amp;L'!C43</f>
        <v/>
      </c>
      <c r="D37" s="6">
        <f>'Non-GAAP P&amp;L'!D26+'Non-GAAP P&amp;L'!D43</f>
        <v/>
      </c>
      <c r="E37" s="6">
        <f>'Non-GAAP P&amp;L'!E26+'Non-GAAP P&amp;L'!E43</f>
        <v/>
      </c>
      <c r="F37" s="6">
        <f>'Non-GAAP P&amp;L'!F26+'Non-GAAP P&amp;L'!F43</f>
        <v/>
      </c>
      <c r="G37" s="6">
        <f>'Non-GAAP P&amp;L'!G26+'Non-GAAP P&amp;L'!G43</f>
        <v/>
      </c>
      <c r="H37" s="7">
        <f>'Non-GAAP P&amp;L'!H26+'Non-GAAP P&amp;L'!H43</f>
        <v/>
      </c>
      <c r="I37" s="7">
        <f>'Non-GAAP P&amp;L'!I26+'Non-GAAP P&amp;L'!I43</f>
        <v/>
      </c>
      <c r="J37" s="7">
        <f>'Non-GAAP P&amp;L'!J26+'Non-GAAP P&amp;L'!J43</f>
        <v/>
      </c>
      <c r="K37" s="7">
        <f>'Non-GAAP P&amp;L'!K26+'Non-GAAP P&amp;L'!K43</f>
        <v/>
      </c>
    </row>
    <row r="38">
      <c r="A38" s="5" t="inlineStr">
        <is>
          <t>GAAP EBITDA</t>
        </is>
      </c>
      <c r="B38" s="6">
        <f>B34+B37</f>
        <v/>
      </c>
      <c r="C38" s="6">
        <f>C34+C37</f>
        <v/>
      </c>
      <c r="D38" s="6">
        <f>D34+D37</f>
        <v/>
      </c>
      <c r="E38" s="6">
        <f>E34+E37</f>
        <v/>
      </c>
      <c r="F38" s="6">
        <f>F34+F37</f>
        <v/>
      </c>
      <c r="G38" s="6">
        <f>G34+G37</f>
        <v/>
      </c>
      <c r="H38" s="7">
        <f>H34+H37</f>
        <v/>
      </c>
      <c r="I38" s="7">
        <f>I34+I37</f>
        <v/>
      </c>
      <c r="J38" s="7">
        <f>J34+J37</f>
        <v/>
      </c>
      <c r="K38" s="7">
        <f>K34+K37</f>
        <v/>
      </c>
    </row>
    <row r="39">
      <c r="A39" s="8" t="inlineStr">
        <is>
          <t xml:space="preserve">  GAAP EBITDA Margin</t>
        </is>
      </c>
      <c r="B39" s="9">
        <f>B38/B25</f>
        <v/>
      </c>
      <c r="C39" s="9">
        <f>C38/C25</f>
        <v/>
      </c>
      <c r="D39" s="9">
        <f>D38/D25</f>
        <v/>
      </c>
      <c r="E39" s="9">
        <f>E38/E25</f>
        <v/>
      </c>
      <c r="F39" s="9">
        <f>F38/F25</f>
        <v/>
      </c>
      <c r="G39" s="9">
        <f>G38/G25</f>
        <v/>
      </c>
      <c r="H39" s="10">
        <f>H38/H25</f>
        <v/>
      </c>
      <c r="I39" s="10">
        <f>I38/I25</f>
        <v/>
      </c>
      <c r="J39" s="10">
        <f>J38/J25</f>
        <v/>
      </c>
      <c r="K39" s="10">
        <f>K38/K25</f>
        <v/>
      </c>
    </row>
    <row r="41">
      <c r="A41" s="8" t="inlineStr">
        <is>
          <t>Interest &amp; Other</t>
        </is>
      </c>
      <c r="B41" s="6">
        <f>'Non-GAAP P&amp;L'!B30</f>
        <v/>
      </c>
      <c r="C41" s="6">
        <f>'Non-GAAP P&amp;L'!C30</f>
        <v/>
      </c>
      <c r="D41" s="6">
        <f>'Non-GAAP P&amp;L'!D30</f>
        <v/>
      </c>
      <c r="E41" s="6">
        <f>'Non-GAAP P&amp;L'!E30</f>
        <v/>
      </c>
      <c r="F41" s="6">
        <f>'Non-GAAP P&amp;L'!F30</f>
        <v/>
      </c>
      <c r="G41" s="6">
        <f>'Non-GAAP P&amp;L'!G30</f>
        <v/>
      </c>
      <c r="H41" s="7">
        <f>'Non-GAAP P&amp;L'!H30</f>
        <v/>
      </c>
      <c r="I41" s="7">
        <f>'Non-GAAP P&amp;L'!I30</f>
        <v/>
      </c>
      <c r="J41" s="7">
        <f>'Non-GAAP P&amp;L'!J30</f>
        <v/>
      </c>
      <c r="K41" s="7">
        <f>'Non-GAAP P&amp;L'!K30</f>
        <v/>
      </c>
    </row>
    <row r="42">
      <c r="A42" s="5" t="inlineStr">
        <is>
          <t>GAAP Pre-Tax Income (Loss)</t>
        </is>
      </c>
      <c r="B42" s="6">
        <f>B34+B41</f>
        <v/>
      </c>
      <c r="C42" s="6">
        <f>C34+C41</f>
        <v/>
      </c>
      <c r="D42" s="6">
        <f>D34+D41</f>
        <v/>
      </c>
      <c r="E42" s="6">
        <f>E34+E41</f>
        <v/>
      </c>
      <c r="F42" s="6">
        <f>F34+F41</f>
        <v/>
      </c>
      <c r="G42" s="6">
        <f>G34+G41</f>
        <v/>
      </c>
      <c r="H42" s="7">
        <f>H34+H41</f>
        <v/>
      </c>
      <c r="I42" s="7">
        <f>I34+I41</f>
        <v/>
      </c>
      <c r="J42" s="7">
        <f>J34+J41</f>
        <v/>
      </c>
      <c r="K42" s="7">
        <f>K34+K41</f>
        <v/>
      </c>
    </row>
    <row r="43">
      <c r="A43" s="8" t="inlineStr">
        <is>
          <t>GAAP Tax Provision</t>
        </is>
      </c>
      <c r="B43" s="6" t="n">
        <v>5</v>
      </c>
      <c r="C43" s="6" t="n">
        <v>7</v>
      </c>
      <c r="D43" s="6" t="n">
        <v>14</v>
      </c>
      <c r="E43" s="6" t="n">
        <v>20</v>
      </c>
      <c r="F43" s="6" t="n">
        <v>25</v>
      </c>
      <c r="G43" s="6" t="n">
        <v>28</v>
      </c>
      <c r="H43" s="7">
        <f>IF(H42&gt;0,ROUND(H42*Assumptions!H23,0),0)</f>
        <v/>
      </c>
      <c r="I43" s="7">
        <f>IF(I42&gt;0,ROUND(I42*Assumptions!I23,0),0)</f>
        <v/>
      </c>
      <c r="J43" s="7">
        <f>IF(J42&gt;0,ROUND(J42*Assumptions!J23,0),0)</f>
        <v/>
      </c>
      <c r="K43" s="7">
        <f>IF(K42&gt;0,ROUND(K42*Assumptions!K23,0),0)</f>
        <v/>
      </c>
    </row>
    <row r="45">
      <c r="A45" s="5" t="inlineStr">
        <is>
          <t>GAAP Net Income (Loss)</t>
        </is>
      </c>
      <c r="B45" s="6">
        <f>B42-B43</f>
        <v/>
      </c>
      <c r="C45" s="6">
        <f>C42-C43</f>
        <v/>
      </c>
      <c r="D45" s="6">
        <f>D42-D43</f>
        <v/>
      </c>
      <c r="E45" s="6">
        <f>E42-E43</f>
        <v/>
      </c>
      <c r="F45" s="6">
        <f>F42-F43</f>
        <v/>
      </c>
      <c r="G45" s="6">
        <f>G42-G43</f>
        <v/>
      </c>
      <c r="H45" s="7">
        <f>H42-H43</f>
        <v/>
      </c>
      <c r="I45" s="7">
        <f>I42-I43</f>
        <v/>
      </c>
      <c r="J45" s="7">
        <f>J42-J43</f>
        <v/>
      </c>
      <c r="K45" s="7">
        <f>K42-K43</f>
        <v/>
      </c>
    </row>
    <row r="46">
      <c r="A46" s="5" t="inlineStr">
        <is>
          <t>GAAP Diluted EPS</t>
        </is>
      </c>
      <c r="B46" s="11">
        <f>ROUND(B45/'Non-GAAP P&amp;L'!B37,2)</f>
        <v/>
      </c>
      <c r="C46" s="11">
        <f>ROUND(C45/'Non-GAAP P&amp;L'!C37,2)</f>
        <v/>
      </c>
      <c r="D46" s="11">
        <f>ROUND(D45/'Non-GAAP P&amp;L'!D37,2)</f>
        <v/>
      </c>
      <c r="E46" s="11">
        <f>ROUND(E45/'Non-GAAP P&amp;L'!E37,2)</f>
        <v/>
      </c>
      <c r="F46" s="11">
        <f>ROUND(F45/'Non-GAAP P&amp;L'!F37,2)</f>
        <v/>
      </c>
      <c r="G46" s="11">
        <f>ROUND(G45/'Non-GAAP P&amp;L'!G37,2)</f>
        <v/>
      </c>
      <c r="H46" s="12">
        <f>ROUND(H45/'Non-GAAP P&amp;L'!H37,2)</f>
        <v/>
      </c>
      <c r="I46" s="12">
        <f>ROUND(I45/'Non-GAAP P&amp;L'!I37,2)</f>
        <v/>
      </c>
      <c r="J46" s="12">
        <f>ROUND(J45/'Non-GAAP P&amp;L'!J37,2)</f>
        <v/>
      </c>
      <c r="K46" s="12">
        <f>ROUND(K45/'Non-GAAP P&amp;L'!K37,2)</f>
        <v/>
      </c>
    </row>
    <row r="49">
      <c r="A49" s="4" t="inlineStr">
        <is>
          <t>ADJUSTED EBITDA -&gt; FREE CASH FLOW BRIDGE</t>
        </is>
      </c>
    </row>
    <row r="50">
      <c r="A50" s="5" t="inlineStr">
        <is>
          <t>Adjusted EBITDA</t>
        </is>
      </c>
      <c r="B50" s="6">
        <f>'Non-GAAP P&amp;L'!B27</f>
        <v/>
      </c>
      <c r="C50" s="6">
        <f>'Non-GAAP P&amp;L'!C27</f>
        <v/>
      </c>
      <c r="D50" s="6">
        <f>'Non-GAAP P&amp;L'!D27</f>
        <v/>
      </c>
      <c r="E50" s="6">
        <f>'Non-GAAP P&amp;L'!E27</f>
        <v/>
      </c>
      <c r="F50" s="6">
        <f>'Non-GAAP P&amp;L'!F27</f>
        <v/>
      </c>
      <c r="G50" s="6">
        <f>'Non-GAAP P&amp;L'!G27</f>
        <v/>
      </c>
      <c r="H50" s="7">
        <f>'Non-GAAP P&amp;L'!H27</f>
        <v/>
      </c>
      <c r="I50" s="7">
        <f>'Non-GAAP P&amp;L'!I27</f>
        <v/>
      </c>
      <c r="J50" s="7">
        <f>'Non-GAAP P&amp;L'!J27</f>
        <v/>
      </c>
      <c r="K50" s="7">
        <f>'Non-GAAP P&amp;L'!K27</f>
        <v/>
      </c>
    </row>
    <row r="51">
      <c r="A51" s="8" t="inlineStr">
        <is>
          <t xml:space="preserve">  (-) PP&amp;E Depreciation</t>
        </is>
      </c>
      <c r="B51" s="6">
        <f>-'Non-GAAP P&amp;L'!B26</f>
        <v/>
      </c>
      <c r="C51" s="6">
        <f>-'Non-GAAP P&amp;L'!C26</f>
        <v/>
      </c>
      <c r="D51" s="6">
        <f>-'Non-GAAP P&amp;L'!D26</f>
        <v/>
      </c>
      <c r="E51" s="6">
        <f>-'Non-GAAP P&amp;L'!E26</f>
        <v/>
      </c>
      <c r="F51" s="6">
        <f>-'Non-GAAP P&amp;L'!F26</f>
        <v/>
      </c>
      <c r="G51" s="6">
        <f>-'Non-GAAP P&amp;L'!G26</f>
        <v/>
      </c>
      <c r="H51" s="7">
        <f>-'Non-GAAP P&amp;L'!H26</f>
        <v/>
      </c>
      <c r="I51" s="7">
        <f>-'Non-GAAP P&amp;L'!I26</f>
        <v/>
      </c>
      <c r="J51" s="7">
        <f>-'Non-GAAP P&amp;L'!J26</f>
        <v/>
      </c>
      <c r="K51" s="7">
        <f>-'Non-GAAP P&amp;L'!K26</f>
        <v/>
      </c>
    </row>
    <row r="52">
      <c r="A52" s="5">
        <f> Non-GAAP Operating Income</f>
        <v/>
      </c>
      <c r="B52" s="6">
        <f>B50+B51</f>
        <v/>
      </c>
      <c r="C52" s="6">
        <f>C50+C51</f>
        <v/>
      </c>
      <c r="D52" s="6">
        <f>D50+D51</f>
        <v/>
      </c>
      <c r="E52" s="6">
        <f>E50+E51</f>
        <v/>
      </c>
      <c r="F52" s="6">
        <f>F50+F51</f>
        <v/>
      </c>
      <c r="G52" s="6">
        <f>G50+G51</f>
        <v/>
      </c>
      <c r="H52" s="7">
        <f>H50+H51</f>
        <v/>
      </c>
      <c r="I52" s="7">
        <f>I50+I51</f>
        <v/>
      </c>
      <c r="J52" s="7">
        <f>J50+J51</f>
        <v/>
      </c>
      <c r="K52" s="7">
        <f>K50+K51</f>
        <v/>
      </c>
    </row>
    <row r="53">
      <c r="A53" s="8" t="inlineStr">
        <is>
          <t xml:space="preserve">  (-) SBC</t>
        </is>
      </c>
      <c r="B53" s="6">
        <f>-'Non-GAAP P&amp;L'!B41</f>
        <v/>
      </c>
      <c r="C53" s="6">
        <f>-'Non-GAAP P&amp;L'!C41</f>
        <v/>
      </c>
      <c r="D53" s="6">
        <f>-'Non-GAAP P&amp;L'!D41</f>
        <v/>
      </c>
      <c r="E53" s="6">
        <f>-'Non-GAAP P&amp;L'!E41</f>
        <v/>
      </c>
      <c r="F53" s="6">
        <f>-'Non-GAAP P&amp;L'!F41</f>
        <v/>
      </c>
      <c r="G53" s="6">
        <f>-'Non-GAAP P&amp;L'!G41</f>
        <v/>
      </c>
      <c r="H53" s="7">
        <f>-'Non-GAAP P&amp;L'!H41</f>
        <v/>
      </c>
      <c r="I53" s="7">
        <f>-'Non-GAAP P&amp;L'!I41</f>
        <v/>
      </c>
      <c r="J53" s="7">
        <f>-'Non-GAAP P&amp;L'!J41</f>
        <v/>
      </c>
      <c r="K53" s="7">
        <f>-'Non-GAAP P&amp;L'!K41</f>
        <v/>
      </c>
    </row>
    <row r="54">
      <c r="A54" s="8" t="inlineStr">
        <is>
          <t xml:space="preserve">  (-) Intangible Amortization</t>
        </is>
      </c>
      <c r="B54" s="6">
        <f>-'Non-GAAP P&amp;L'!B43</f>
        <v/>
      </c>
      <c r="C54" s="6">
        <f>-'Non-GAAP P&amp;L'!C43</f>
        <v/>
      </c>
      <c r="D54" s="6">
        <f>-'Non-GAAP P&amp;L'!D43</f>
        <v/>
      </c>
      <c r="E54" s="6">
        <f>-'Non-GAAP P&amp;L'!E43</f>
        <v/>
      </c>
      <c r="F54" s="6">
        <f>-'Non-GAAP P&amp;L'!F43</f>
        <v/>
      </c>
      <c r="G54" s="6">
        <f>-'Non-GAAP P&amp;L'!G43</f>
        <v/>
      </c>
      <c r="H54" s="7">
        <f>-'Non-GAAP P&amp;L'!H43</f>
        <v/>
      </c>
      <c r="I54" s="7">
        <f>-'Non-GAAP P&amp;L'!I43</f>
        <v/>
      </c>
      <c r="J54" s="7">
        <f>-'Non-GAAP P&amp;L'!J43</f>
        <v/>
      </c>
      <c r="K54" s="7">
        <f>-'Non-GAAP P&amp;L'!K43</f>
        <v/>
      </c>
    </row>
    <row r="55">
      <c r="A55" s="8" t="inlineStr">
        <is>
          <t xml:space="preserve">  (-) Restructuring</t>
        </is>
      </c>
      <c r="B55" s="6">
        <f>-'Non-GAAP P&amp;L'!B44</f>
        <v/>
      </c>
      <c r="C55" s="6">
        <f>-'Non-GAAP P&amp;L'!C44</f>
        <v/>
      </c>
      <c r="D55" s="6">
        <f>-'Non-GAAP P&amp;L'!D44</f>
        <v/>
      </c>
      <c r="E55" s="6">
        <f>-'Non-GAAP P&amp;L'!E44</f>
        <v/>
      </c>
      <c r="F55" s="6">
        <f>-'Non-GAAP P&amp;L'!F44</f>
        <v/>
      </c>
      <c r="G55" s="6">
        <f>-'Non-GAAP P&amp;L'!G44</f>
        <v/>
      </c>
      <c r="H55" s="7">
        <f>-'Non-GAAP P&amp;L'!H44</f>
        <v/>
      </c>
      <c r="I55" s="7">
        <f>-'Non-GAAP P&amp;L'!I44</f>
        <v/>
      </c>
      <c r="J55" s="7">
        <f>-'Non-GAAP P&amp;L'!J44</f>
        <v/>
      </c>
      <c r="K55" s="7">
        <f>-'Non-GAAP P&amp;L'!K44</f>
        <v/>
      </c>
    </row>
    <row r="56">
      <c r="A56" s="5">
        <f> GAAP Operating Income</f>
        <v/>
      </c>
      <c r="B56" s="6">
        <f>B52+B53+B54+B55</f>
        <v/>
      </c>
      <c r="C56" s="6">
        <f>C52+C53+C54+C55</f>
        <v/>
      </c>
      <c r="D56" s="6">
        <f>D52+D53+D54+D55</f>
        <v/>
      </c>
      <c r="E56" s="6">
        <f>E52+E53+E54+E55</f>
        <v/>
      </c>
      <c r="F56" s="6">
        <f>F52+F53+F54+F55</f>
        <v/>
      </c>
      <c r="G56" s="6">
        <f>G52+G53+G54+G55</f>
        <v/>
      </c>
      <c r="H56" s="7">
        <f>H52+H53+H54+H55</f>
        <v/>
      </c>
      <c r="I56" s="7">
        <f>I52+I53+I54+I55</f>
        <v/>
      </c>
      <c r="J56" s="7">
        <f>J52+J53+J54+J55</f>
        <v/>
      </c>
      <c r="K56" s="7">
        <f>K52+K53+K54+K55</f>
        <v/>
      </c>
    </row>
    <row r="57">
      <c r="A57" s="8" t="inlineStr">
        <is>
          <t xml:space="preserve">  (+/-) Interest &amp; Other</t>
        </is>
      </c>
      <c r="B57" s="6">
        <f>'Non-GAAP P&amp;L'!B30</f>
        <v/>
      </c>
      <c r="C57" s="6">
        <f>'Non-GAAP P&amp;L'!C30</f>
        <v/>
      </c>
      <c r="D57" s="6">
        <f>'Non-GAAP P&amp;L'!D30</f>
        <v/>
      </c>
      <c r="E57" s="6">
        <f>'Non-GAAP P&amp;L'!E30</f>
        <v/>
      </c>
      <c r="F57" s="6">
        <f>'Non-GAAP P&amp;L'!F30</f>
        <v/>
      </c>
      <c r="G57" s="6">
        <f>'Non-GAAP P&amp;L'!G30</f>
        <v/>
      </c>
      <c r="H57" s="7">
        <f>'Non-GAAP P&amp;L'!H30</f>
        <v/>
      </c>
      <c r="I57" s="7">
        <f>'Non-GAAP P&amp;L'!I30</f>
        <v/>
      </c>
      <c r="J57" s="7">
        <f>'Non-GAAP P&amp;L'!J30</f>
        <v/>
      </c>
      <c r="K57" s="7">
        <f>'Non-GAAP P&amp;L'!K30</f>
        <v/>
      </c>
    </row>
    <row r="58">
      <c r="A58" s="8" t="inlineStr">
        <is>
          <t xml:space="preserve">  (-) GAAP Tax</t>
        </is>
      </c>
      <c r="B58" s="6">
        <f>-B43</f>
        <v/>
      </c>
      <c r="C58" s="6">
        <f>-C43</f>
        <v/>
      </c>
      <c r="D58" s="6">
        <f>-D43</f>
        <v/>
      </c>
      <c r="E58" s="6">
        <f>-E43</f>
        <v/>
      </c>
      <c r="F58" s="6">
        <f>-F43</f>
        <v/>
      </c>
      <c r="G58" s="6">
        <f>-G43</f>
        <v/>
      </c>
      <c r="H58" s="7">
        <f>-H43</f>
        <v/>
      </c>
      <c r="I58" s="7">
        <f>-I43</f>
        <v/>
      </c>
      <c r="J58" s="7">
        <f>-J43</f>
        <v/>
      </c>
      <c r="K58" s="7">
        <f>-K43</f>
        <v/>
      </c>
    </row>
    <row r="59">
      <c r="A59" s="5">
        <f> GAAP Net Income</f>
        <v/>
      </c>
      <c r="B59" s="6">
        <f>B56+B57+B58</f>
        <v/>
      </c>
      <c r="C59" s="6">
        <f>C56+C57+C58</f>
        <v/>
      </c>
      <c r="D59" s="6">
        <f>D56+D57+D58</f>
        <v/>
      </c>
      <c r="E59" s="6">
        <f>E56+E57+E58</f>
        <v/>
      </c>
      <c r="F59" s="6">
        <f>F56+F57+F58</f>
        <v/>
      </c>
      <c r="G59" s="6">
        <f>G56+G57+G58</f>
        <v/>
      </c>
      <c r="H59" s="7">
        <f>H56+H57+H58</f>
        <v/>
      </c>
      <c r="I59" s="7">
        <f>I56+I57+I58</f>
        <v/>
      </c>
      <c r="J59" s="7">
        <f>J56+J57+J58</f>
        <v/>
      </c>
      <c r="K59" s="7">
        <f>K56+K57+K58</f>
        <v/>
      </c>
    </row>
    <row r="60">
      <c r="A60" s="8" t="inlineStr">
        <is>
          <t xml:space="preserve">  (+) Total D&amp;A</t>
        </is>
      </c>
      <c r="B60" s="6">
        <f>B37</f>
        <v/>
      </c>
      <c r="C60" s="6">
        <f>C37</f>
        <v/>
      </c>
      <c r="D60" s="6">
        <f>D37</f>
        <v/>
      </c>
      <c r="E60" s="6">
        <f>E37</f>
        <v/>
      </c>
      <c r="F60" s="6">
        <f>F37</f>
        <v/>
      </c>
      <c r="G60" s="6">
        <f>G37</f>
        <v/>
      </c>
      <c r="H60" s="7">
        <f>H37</f>
        <v/>
      </c>
      <c r="I60" s="7">
        <f>I37</f>
        <v/>
      </c>
      <c r="J60" s="7">
        <f>J37</f>
        <v/>
      </c>
      <c r="K60" s="7">
        <f>K37</f>
        <v/>
      </c>
    </row>
    <row r="61">
      <c r="A61" s="8" t="inlineStr">
        <is>
          <t xml:space="preserve">  (+) SBC (non-cash)</t>
        </is>
      </c>
      <c r="B61" s="6">
        <f>'Non-GAAP P&amp;L'!B41</f>
        <v/>
      </c>
      <c r="C61" s="6">
        <f>'Non-GAAP P&amp;L'!C41</f>
        <v/>
      </c>
      <c r="D61" s="6">
        <f>'Non-GAAP P&amp;L'!D41</f>
        <v/>
      </c>
      <c r="E61" s="6">
        <f>'Non-GAAP P&amp;L'!E41</f>
        <v/>
      </c>
      <c r="F61" s="6">
        <f>'Non-GAAP P&amp;L'!F41</f>
        <v/>
      </c>
      <c r="G61" s="6">
        <f>'Non-GAAP P&amp;L'!G41</f>
        <v/>
      </c>
      <c r="H61" s="7">
        <f>'Non-GAAP P&amp;L'!H41</f>
        <v/>
      </c>
      <c r="I61" s="7">
        <f>'Non-GAAP P&amp;L'!I41</f>
        <v/>
      </c>
      <c r="J61" s="7">
        <f>'Non-GAAP P&amp;L'!J41</f>
        <v/>
      </c>
      <c r="K61" s="7">
        <f>'Non-GAAP P&amp;L'!K41</f>
        <v/>
      </c>
    </row>
    <row r="62">
      <c r="A62" s="8" t="inlineStr">
        <is>
          <t xml:space="preserve">  (+/-) WC &amp; Other</t>
        </is>
      </c>
      <c r="B62" s="6" t="n">
        <v>503</v>
      </c>
      <c r="C62" s="6" t="n">
        <v>455</v>
      </c>
      <c r="D62" s="6" t="n">
        <v>354</v>
      </c>
      <c r="E62" s="6" t="n">
        <v>256</v>
      </c>
      <c r="F62" s="6" t="n">
        <v>-47</v>
      </c>
      <c r="G62" s="6" t="n">
        <v>-362</v>
      </c>
      <c r="H62" s="7">
        <f>Assumptions!H33</f>
        <v/>
      </c>
      <c r="I62" s="7">
        <f>Assumptions!I33</f>
        <v/>
      </c>
      <c r="J62" s="7">
        <f>Assumptions!J33</f>
        <v/>
      </c>
      <c r="K62" s="7">
        <f>Assumptions!K33</f>
        <v/>
      </c>
    </row>
    <row r="63">
      <c r="A63" s="5">
        <f> CFO</f>
        <v/>
      </c>
      <c r="B63" s="6">
        <f>B59+B60+B61+B62</f>
        <v/>
      </c>
      <c r="C63" s="6">
        <f>C59+C60+C61+C62</f>
        <v/>
      </c>
      <c r="D63" s="6">
        <f>D59+D60+D61+D62</f>
        <v/>
      </c>
      <c r="E63" s="6">
        <f>E59+E60+E61+E62</f>
        <v/>
      </c>
      <c r="F63" s="6">
        <f>F59+F60+F61+F62</f>
        <v/>
      </c>
      <c r="G63" s="6">
        <f>G59+G60+G61+G62</f>
        <v/>
      </c>
      <c r="H63" s="7">
        <f>H59+H60+H61+H62</f>
        <v/>
      </c>
      <c r="I63" s="7">
        <f>I59+I60+I61+I62</f>
        <v/>
      </c>
      <c r="J63" s="7">
        <f>J59+J60+J61+J62</f>
        <v/>
      </c>
      <c r="K63" s="7">
        <f>K59+K60+K61+K62</f>
        <v/>
      </c>
    </row>
    <row r="64">
      <c r="A64" s="8" t="inlineStr">
        <is>
          <t xml:space="preserve">  (-) CapEx</t>
        </is>
      </c>
      <c r="B64" s="6" t="n">
        <v>-51</v>
      </c>
      <c r="C64" s="6" t="n">
        <v>-59</v>
      </c>
      <c r="D64" s="6" t="n">
        <v>-85</v>
      </c>
      <c r="E64" s="6" t="n">
        <v>-115</v>
      </c>
      <c r="F64" s="6" t="n">
        <v>-93</v>
      </c>
      <c r="G64" s="6" t="n">
        <v>-90</v>
      </c>
      <c r="H64" s="7">
        <f>-Assumptions!H31</f>
        <v/>
      </c>
      <c r="I64" s="7">
        <f>-Assumptions!I31</f>
        <v/>
      </c>
      <c r="J64" s="7">
        <f>-Assumptions!J31</f>
        <v/>
      </c>
      <c r="K64" s="7">
        <f>-Assumptions!K31</f>
        <v/>
      </c>
    </row>
    <row r="65">
      <c r="A65" s="5">
        <f> Free Cash Flow</f>
        <v/>
      </c>
      <c r="B65" s="6">
        <f>B63+B64</f>
        <v/>
      </c>
      <c r="C65" s="6">
        <f>C63+C64</f>
        <v/>
      </c>
      <c r="D65" s="6">
        <f>D63+D64</f>
        <v/>
      </c>
      <c r="E65" s="6">
        <f>E63+E64</f>
        <v/>
      </c>
      <c r="F65" s="6">
        <f>F63+F64</f>
        <v/>
      </c>
      <c r="G65" s="6">
        <f>G63+G64</f>
        <v/>
      </c>
      <c r="H65" s="7">
        <f>H63+H64</f>
        <v/>
      </c>
      <c r="I65" s="7">
        <f>I63+I64</f>
        <v/>
      </c>
      <c r="J65" s="7">
        <f>J63+J64</f>
        <v/>
      </c>
      <c r="K65" s="7">
        <f>K63+K64</f>
        <v/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Snap Inc. (SNAP) - Balance Sheet ($M, GAAP)</t>
        </is>
      </c>
    </row>
    <row r="3">
      <c r="A3" s="2" t="inlineStr"/>
      <c r="B3" s="2" t="inlineStr">
        <is>
          <t>2019</t>
        </is>
      </c>
      <c r="C3" s="2" t="inlineStr">
        <is>
          <t>2020</t>
        </is>
      </c>
      <c r="D3" s="2" t="inlineStr">
        <is>
          <t>2021</t>
        </is>
      </c>
      <c r="E3" s="2" t="inlineStr">
        <is>
          <t>2022</t>
        </is>
      </c>
      <c r="F3" s="2" t="inlineStr">
        <is>
          <t>2023</t>
        </is>
      </c>
      <c r="G3" s="2" t="inlineStr">
        <is>
          <t>2024</t>
        </is>
      </c>
      <c r="H3" s="2" t="inlineStr">
        <is>
          <t>2025E</t>
        </is>
      </c>
      <c r="I3" s="2" t="inlineStr">
        <is>
          <t>2026E</t>
        </is>
      </c>
      <c r="J3" s="2" t="inlineStr">
        <is>
          <t>2027E</t>
        </is>
      </c>
      <c r="K3" s="2" t="inlineStr">
        <is>
          <t>2028E</t>
        </is>
      </c>
    </row>
    <row r="4">
      <c r="A4" s="3" t="inlineStr"/>
      <c r="B4" s="3" t="inlineStr">
        <is>
          <t>Historical</t>
        </is>
      </c>
      <c r="C4" s="3" t="inlineStr">
        <is>
          <t>Historical</t>
        </is>
      </c>
      <c r="D4" s="3" t="inlineStr">
        <is>
          <t>Historical</t>
        </is>
      </c>
      <c r="E4" s="3" t="inlineStr">
        <is>
          <t>Historical</t>
        </is>
      </c>
      <c r="F4" s="3" t="inlineStr">
        <is>
          <t>Historical</t>
        </is>
      </c>
      <c r="G4" s="3" t="inlineStr">
        <is>
          <t>Historical</t>
        </is>
      </c>
      <c r="H4" s="3" t="inlineStr">
        <is>
          <t>Forecast</t>
        </is>
      </c>
      <c r="I4" s="3" t="inlineStr">
        <is>
          <t>Forecast</t>
        </is>
      </c>
      <c r="J4" s="3" t="inlineStr">
        <is>
          <t>Forecast</t>
        </is>
      </c>
      <c r="K4" s="3" t="inlineStr">
        <is>
          <t>Forecast</t>
        </is>
      </c>
    </row>
    <row r="6">
      <c r="A6" s="4" t="inlineStr">
        <is>
          <t>ASSETS</t>
        </is>
      </c>
    </row>
    <row r="7">
      <c r="A7" s="8" t="inlineStr">
        <is>
          <t>Cash &amp; Equivalents</t>
        </is>
      </c>
      <c r="B7" s="6" t="n">
        <v>2024</v>
      </c>
      <c r="C7" s="6" t="n">
        <v>2768</v>
      </c>
      <c r="D7" s="6" t="n">
        <v>3506</v>
      </c>
      <c r="E7" s="6" t="n">
        <v>3938</v>
      </c>
      <c r="F7" s="6" t="n">
        <v>3374</v>
      </c>
      <c r="G7" s="6" t="n">
        <v>3205</v>
      </c>
      <c r="H7" s="7">
        <f>'Cash Flow &amp; FCF Bridge'!H24</f>
        <v/>
      </c>
      <c r="I7" s="7">
        <f>'Cash Flow &amp; FCF Bridge'!I24</f>
        <v/>
      </c>
      <c r="J7" s="7">
        <f>'Cash Flow &amp; FCF Bridge'!J24</f>
        <v/>
      </c>
      <c r="K7" s="7">
        <f>'Cash Flow &amp; FCF Bridge'!K24</f>
        <v/>
      </c>
    </row>
    <row r="8">
      <c r="A8" s="8" t="inlineStr">
        <is>
          <t>Accounts Receivable</t>
        </is>
      </c>
      <c r="B8" s="6" t="n">
        <v>548</v>
      </c>
      <c r="C8" s="6" t="n">
        <v>737</v>
      </c>
      <c r="D8" s="6" t="n">
        <v>1068</v>
      </c>
      <c r="E8" s="6" t="n">
        <v>995</v>
      </c>
      <c r="F8" s="6" t="n">
        <v>1109</v>
      </c>
      <c r="G8" s="6" t="n">
        <v>1230</v>
      </c>
      <c r="H8" s="7">
        <f>ROUND('Revenue Build'!H15*Assumptions!H43/365,0)</f>
        <v/>
      </c>
      <c r="I8" s="7">
        <f>ROUND('Revenue Build'!I15*Assumptions!I43/365,0)</f>
        <v/>
      </c>
      <c r="J8" s="7">
        <f>ROUND('Revenue Build'!J15*Assumptions!J43/365,0)</f>
        <v/>
      </c>
      <c r="K8" s="7">
        <f>ROUND('Revenue Build'!K15*Assumptions!K43/365,0)</f>
        <v/>
      </c>
    </row>
    <row r="9">
      <c r="A9" s="8" t="inlineStr">
        <is>
          <t>Other Current Assets</t>
        </is>
      </c>
      <c r="B9" s="6" t="n">
        <v>174</v>
      </c>
      <c r="C9" s="6" t="n">
        <v>200</v>
      </c>
      <c r="D9" s="6" t="n">
        <v>201</v>
      </c>
      <c r="E9" s="6" t="n">
        <v>182</v>
      </c>
      <c r="F9" s="6" t="n">
        <v>217</v>
      </c>
      <c r="G9" s="6" t="n">
        <v>215</v>
      </c>
      <c r="H9" s="7" t="n">
        <v>200</v>
      </c>
      <c r="I9" s="7" t="n">
        <v>200</v>
      </c>
      <c r="J9" s="7" t="n">
        <v>200</v>
      </c>
      <c r="K9" s="7" t="n">
        <v>200</v>
      </c>
    </row>
    <row r="10">
      <c r="A10" s="5" t="inlineStr">
        <is>
          <t>Total Current Assets</t>
        </is>
      </c>
      <c r="B10" s="6">
        <f>B7+B8+B9</f>
        <v/>
      </c>
      <c r="C10" s="6">
        <f>C7+C8+C9</f>
        <v/>
      </c>
      <c r="D10" s="6">
        <f>D7+D8+D9</f>
        <v/>
      </c>
      <c r="E10" s="6">
        <f>E7+E8+E9</f>
        <v/>
      </c>
      <c r="F10" s="6">
        <f>F7+F8+F9</f>
        <v/>
      </c>
      <c r="G10" s="6">
        <f>G7+G8+G9</f>
        <v/>
      </c>
      <c r="H10" s="7">
        <f>H7+H8+H9</f>
        <v/>
      </c>
      <c r="I10" s="7">
        <f>I7+I8+I9</f>
        <v/>
      </c>
      <c r="J10" s="7">
        <f>J7+J8+J9</f>
        <v/>
      </c>
      <c r="K10" s="7">
        <f>K7+K8+K9</f>
        <v/>
      </c>
    </row>
    <row r="12">
      <c r="A12" s="8" t="inlineStr">
        <is>
          <t>PP&amp;E</t>
        </is>
      </c>
      <c r="B12" s="6" t="n">
        <v>204</v>
      </c>
      <c r="C12" s="6" t="n">
        <v>258</v>
      </c>
      <c r="D12" s="6" t="n">
        <v>339</v>
      </c>
      <c r="E12" s="6" t="n">
        <v>452</v>
      </c>
      <c r="F12" s="6" t="n">
        <v>430</v>
      </c>
      <c r="G12" s="6" t="n">
        <v>400</v>
      </c>
      <c r="H12" s="7">
        <f>Assumptions!H36</f>
        <v/>
      </c>
      <c r="I12" s="7">
        <f>Assumptions!I36</f>
        <v/>
      </c>
      <c r="J12" s="7">
        <f>Assumptions!J36</f>
        <v/>
      </c>
      <c r="K12" s="7">
        <f>Assumptions!K36</f>
        <v/>
      </c>
    </row>
    <row r="13">
      <c r="A13" s="8" t="inlineStr">
        <is>
          <t>Intangibles</t>
        </is>
      </c>
      <c r="B13" s="6" t="n">
        <v>181</v>
      </c>
      <c r="C13" s="6" t="n">
        <v>182</v>
      </c>
      <c r="D13" s="6" t="n">
        <v>411</v>
      </c>
      <c r="E13" s="6" t="n">
        <v>440</v>
      </c>
      <c r="F13" s="6" t="n">
        <v>395</v>
      </c>
      <c r="G13" s="6" t="n">
        <v>360</v>
      </c>
      <c r="H13" s="7">
        <f>Assumptions!H37</f>
        <v/>
      </c>
      <c r="I13" s="7">
        <f>Assumptions!I37</f>
        <v/>
      </c>
      <c r="J13" s="7">
        <f>Assumptions!J37</f>
        <v/>
      </c>
      <c r="K13" s="7">
        <f>Assumptions!K37</f>
        <v/>
      </c>
    </row>
    <row r="14">
      <c r="A14" s="8" t="inlineStr">
        <is>
          <t>ROU Assets</t>
        </is>
      </c>
      <c r="B14" s="6" t="n">
        <v>250</v>
      </c>
      <c r="C14" s="6" t="n">
        <v>280</v>
      </c>
      <c r="D14" s="6" t="n">
        <v>310</v>
      </c>
      <c r="E14" s="6" t="n">
        <v>350</v>
      </c>
      <c r="F14" s="6" t="n">
        <v>360</v>
      </c>
      <c r="G14" s="6" t="n">
        <v>370</v>
      </c>
      <c r="H14" s="7">
        <f>Assumptions!H38</f>
        <v/>
      </c>
      <c r="I14" s="7">
        <f>Assumptions!I38</f>
        <v/>
      </c>
      <c r="J14" s="7">
        <f>Assumptions!J38</f>
        <v/>
      </c>
      <c r="K14" s="7">
        <f>Assumptions!K38</f>
        <v/>
      </c>
    </row>
    <row r="15">
      <c r="A15" s="8" t="inlineStr">
        <is>
          <t>Other LT Assets</t>
        </is>
      </c>
      <c r="B15" s="6" t="n">
        <v>150</v>
      </c>
      <c r="C15" s="6" t="n">
        <v>180</v>
      </c>
      <c r="D15" s="6" t="n">
        <v>250</v>
      </c>
      <c r="E15" s="6" t="n">
        <v>310</v>
      </c>
      <c r="F15" s="6" t="n">
        <v>330</v>
      </c>
      <c r="G15" s="6" t="n">
        <v>350</v>
      </c>
      <c r="H15" s="7">
        <f>Assumptions!H39</f>
        <v/>
      </c>
      <c r="I15" s="7">
        <f>Assumptions!I39</f>
        <v/>
      </c>
      <c r="J15" s="7">
        <f>Assumptions!J39</f>
        <v/>
      </c>
      <c r="K15" s="7">
        <f>Assumptions!K39</f>
        <v/>
      </c>
    </row>
    <row r="16">
      <c r="A16" s="5" t="inlineStr">
        <is>
          <t>Total Assets</t>
        </is>
      </c>
      <c r="B16" s="6">
        <f>B10+B12+B13+B14+B15</f>
        <v/>
      </c>
      <c r="C16" s="6">
        <f>C10+C12+C13+C14+C15</f>
        <v/>
      </c>
      <c r="D16" s="6">
        <f>D10+D12+D13+D14+D15</f>
        <v/>
      </c>
      <c r="E16" s="6">
        <f>E10+E12+E13+E14+E15</f>
        <v/>
      </c>
      <c r="F16" s="6">
        <f>F10+F12+F13+F14+F15</f>
        <v/>
      </c>
      <c r="G16" s="6">
        <f>G10+G12+G13+G14+G15</f>
        <v/>
      </c>
      <c r="H16" s="7">
        <f>H10+H12+H13+H14+H15</f>
        <v/>
      </c>
      <c r="I16" s="7">
        <f>I10+I12+I13+I14+I15</f>
        <v/>
      </c>
      <c r="J16" s="7">
        <f>J10+J12+J13+J14+J15</f>
        <v/>
      </c>
      <c r="K16" s="7">
        <f>K10+K12+K13+K14+K15</f>
        <v/>
      </c>
    </row>
    <row r="18">
      <c r="A18" s="4" t="inlineStr">
        <is>
          <t>LIABILITIES</t>
        </is>
      </c>
    </row>
    <row r="19">
      <c r="A19" s="8" t="inlineStr">
        <is>
          <t>Accounts Payable</t>
        </is>
      </c>
      <c r="B19" s="6" t="n">
        <v>120</v>
      </c>
      <c r="C19" s="6" t="n">
        <v>155</v>
      </c>
      <c r="D19" s="6" t="n">
        <v>245</v>
      </c>
      <c r="E19" s="6" t="n">
        <v>265</v>
      </c>
      <c r="F19" s="6" t="n">
        <v>280</v>
      </c>
      <c r="G19" s="6" t="n">
        <v>295</v>
      </c>
      <c r="H19" s="7">
        <f>ROUND('GAAP Reconciliation'!H26*Assumptions!H44/365,0)</f>
        <v/>
      </c>
      <c r="I19" s="7">
        <f>ROUND('GAAP Reconciliation'!I26*Assumptions!I44/365,0)</f>
        <v/>
      </c>
      <c r="J19" s="7">
        <f>ROUND('GAAP Reconciliation'!J26*Assumptions!J44/365,0)</f>
        <v/>
      </c>
      <c r="K19" s="7">
        <f>ROUND('GAAP Reconciliation'!K26*Assumptions!K44/365,0)</f>
        <v/>
      </c>
    </row>
    <row r="20">
      <c r="A20" s="8" t="inlineStr">
        <is>
          <t>Accrued Liabilities</t>
        </is>
      </c>
      <c r="B20" s="6" t="n">
        <v>350</v>
      </c>
      <c r="C20" s="6" t="n">
        <v>430</v>
      </c>
      <c r="D20" s="6" t="n">
        <v>620</v>
      </c>
      <c r="E20" s="6" t="n">
        <v>705</v>
      </c>
      <c r="F20" s="6" t="n">
        <v>680</v>
      </c>
      <c r="G20" s="6" t="n">
        <v>720</v>
      </c>
      <c r="H20" s="7">
        <f>ROUND('Revenue Build'!H15*Assumptions!H45,0)</f>
        <v/>
      </c>
      <c r="I20" s="7">
        <f>ROUND('Revenue Build'!I15*Assumptions!I45,0)</f>
        <v/>
      </c>
      <c r="J20" s="7">
        <f>ROUND('Revenue Build'!J15*Assumptions!J45,0)</f>
        <v/>
      </c>
      <c r="K20" s="7">
        <f>ROUND('Revenue Build'!K15*Assumptions!K45,0)</f>
        <v/>
      </c>
    </row>
    <row r="21">
      <c r="A21" s="8" t="inlineStr">
        <is>
          <t>Deferred Revenue</t>
        </is>
      </c>
      <c r="B21" s="6" t="n">
        <v>25</v>
      </c>
      <c r="C21" s="6" t="n">
        <v>30</v>
      </c>
      <c r="D21" s="6" t="n">
        <v>35</v>
      </c>
      <c r="E21" s="6" t="n">
        <v>40</v>
      </c>
      <c r="F21" s="6" t="n">
        <v>42</v>
      </c>
      <c r="G21" s="6" t="n">
        <v>45</v>
      </c>
      <c r="H21" s="7">
        <f>ROUND('Revenue Build'!H15*0.007,0)</f>
        <v/>
      </c>
      <c r="I21" s="7">
        <f>ROUND('Revenue Build'!I15*0.007,0)</f>
        <v/>
      </c>
      <c r="J21" s="7">
        <f>ROUND('Revenue Build'!J15*0.007,0)</f>
        <v/>
      </c>
      <c r="K21" s="7">
        <f>ROUND('Revenue Build'!K15*0.007,0)</f>
        <v/>
      </c>
    </row>
    <row r="22">
      <c r="A22" s="8" t="inlineStr">
        <is>
          <t>Other Current Liab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7" t="n">
        <v>100</v>
      </c>
      <c r="I22" s="7" t="n">
        <v>100</v>
      </c>
      <c r="J22" s="7" t="n">
        <v>100</v>
      </c>
      <c r="K22" s="7" t="n">
        <v>100</v>
      </c>
    </row>
    <row r="23">
      <c r="A23" s="5" t="inlineStr">
        <is>
          <t>Total Current Liabilities</t>
        </is>
      </c>
      <c r="B23" s="6">
        <f>B19+B20+B21+B22</f>
        <v/>
      </c>
      <c r="C23" s="6">
        <f>C19+C20+C21+C22</f>
        <v/>
      </c>
      <c r="D23" s="6">
        <f>D19+D20+D21+D22</f>
        <v/>
      </c>
      <c r="E23" s="6">
        <f>E19+E20+E21+E22</f>
        <v/>
      </c>
      <c r="F23" s="6">
        <f>F19+F20+F21+F22</f>
        <v/>
      </c>
      <c r="G23" s="6">
        <f>G19+G20+G21+G22</f>
        <v/>
      </c>
      <c r="H23" s="7">
        <f>H19+H20+H21+H22</f>
        <v/>
      </c>
      <c r="I23" s="7">
        <f>I19+I20+I21+I22</f>
        <v/>
      </c>
      <c r="J23" s="7">
        <f>J19+J20+J21+J22</f>
        <v/>
      </c>
      <c r="K23" s="7">
        <f>K19+K20+K21+K22</f>
        <v/>
      </c>
    </row>
    <row r="25">
      <c r="A25" s="8" t="inlineStr">
        <is>
          <t>Long-Term Debt</t>
        </is>
      </c>
      <c r="B25" s="6" t="n">
        <v>1485</v>
      </c>
      <c r="C25" s="6" t="n">
        <v>2190</v>
      </c>
      <c r="D25" s="6" t="n">
        <v>3745</v>
      </c>
      <c r="E25" s="6" t="n">
        <v>3745</v>
      </c>
      <c r="F25" s="6" t="n">
        <v>3745</v>
      </c>
      <c r="G25" s="6" t="n">
        <v>3745</v>
      </c>
      <c r="H25" s="7">
        <f>Assumptions!H40</f>
        <v/>
      </c>
      <c r="I25" s="7">
        <f>Assumptions!I40</f>
        <v/>
      </c>
      <c r="J25" s="7">
        <f>Assumptions!J40</f>
        <v/>
      </c>
      <c r="K25" s="7">
        <f>Assumptions!K40</f>
        <v/>
      </c>
    </row>
    <row r="26">
      <c r="A26" s="8" t="inlineStr">
        <is>
          <t>Lease Liab</t>
        </is>
      </c>
      <c r="B26" s="6" t="n">
        <v>220</v>
      </c>
      <c r="C26" s="6" t="n">
        <v>260</v>
      </c>
      <c r="D26" s="6" t="n">
        <v>300</v>
      </c>
      <c r="E26" s="6" t="n">
        <v>340</v>
      </c>
      <c r="F26" s="6" t="n">
        <v>350</v>
      </c>
      <c r="G26" s="6" t="n">
        <v>360</v>
      </c>
      <c r="H26" s="7">
        <f>Assumptions!H41</f>
        <v/>
      </c>
      <c r="I26" s="7">
        <f>Assumptions!I41</f>
        <v/>
      </c>
      <c r="J26" s="7">
        <f>Assumptions!J41</f>
        <v/>
      </c>
      <c r="K26" s="7">
        <f>Assumptions!K41</f>
        <v/>
      </c>
    </row>
    <row r="27">
      <c r="A27" s="8" t="inlineStr">
        <is>
          <t>Other LT Liab</t>
        </is>
      </c>
      <c r="B27" s="6" t="n">
        <v>80</v>
      </c>
      <c r="C27" s="6" t="n">
        <v>95</v>
      </c>
      <c r="D27" s="6" t="n">
        <v>120</v>
      </c>
      <c r="E27" s="6" t="n">
        <v>140</v>
      </c>
      <c r="F27" s="6" t="n">
        <v>150</v>
      </c>
      <c r="G27" s="6" t="n">
        <v>155</v>
      </c>
      <c r="H27" s="7">
        <f>Assumptions!H42</f>
        <v/>
      </c>
      <c r="I27" s="7">
        <f>Assumptions!I42</f>
        <v/>
      </c>
      <c r="J27" s="7">
        <f>Assumptions!J42</f>
        <v/>
      </c>
      <c r="K27" s="7">
        <f>Assumptions!K42</f>
        <v/>
      </c>
    </row>
    <row r="28">
      <c r="A28" s="5" t="inlineStr">
        <is>
          <t>Total Liabilities</t>
        </is>
      </c>
      <c r="B28" s="6">
        <f>B23+B25+B26+B27</f>
        <v/>
      </c>
      <c r="C28" s="6">
        <f>C23+C25+C26+C27</f>
        <v/>
      </c>
      <c r="D28" s="6">
        <f>D23+D25+D26+D27</f>
        <v/>
      </c>
      <c r="E28" s="6">
        <f>E23+E25+E26+E27</f>
        <v/>
      </c>
      <c r="F28" s="6">
        <f>F23+F25+F26+F27</f>
        <v/>
      </c>
      <c r="G28" s="6">
        <f>G23+G25+G26+G27</f>
        <v/>
      </c>
      <c r="H28" s="7">
        <f>H23+H25+H26+H27</f>
        <v/>
      </c>
      <c r="I28" s="7">
        <f>I23+I25+I26+I27</f>
        <v/>
      </c>
      <c r="J28" s="7">
        <f>J23+J25+J26+J27</f>
        <v/>
      </c>
      <c r="K28" s="7">
        <f>K23+K25+K26+K27</f>
        <v/>
      </c>
    </row>
    <row r="30">
      <c r="A30" s="4" t="inlineStr">
        <is>
          <t>STOCKHOLDERS' EQUITY</t>
        </is>
      </c>
    </row>
    <row r="31">
      <c r="A31" s="5" t="inlineStr">
        <is>
          <t>Total Equity</t>
        </is>
      </c>
      <c r="B31" s="6">
        <f>B16-B28</f>
        <v/>
      </c>
      <c r="C31" s="6">
        <f>C16-C28</f>
        <v/>
      </c>
      <c r="D31" s="6">
        <f>D16-D28</f>
        <v/>
      </c>
      <c r="E31" s="6">
        <f>E16-E28</f>
        <v/>
      </c>
      <c r="F31" s="6">
        <f>F16-F28</f>
        <v/>
      </c>
      <c r="G31" s="6">
        <f>G16-G28</f>
        <v/>
      </c>
      <c r="H31" s="7">
        <f>H16-H28</f>
        <v/>
      </c>
      <c r="I31" s="7">
        <f>I16-I28</f>
        <v/>
      </c>
      <c r="J31" s="7">
        <f>J16-J28</f>
        <v/>
      </c>
      <c r="K31" s="7">
        <f>K16-K28</f>
        <v/>
      </c>
    </row>
    <row r="32">
      <c r="A32" s="5" t="inlineStr">
        <is>
          <t>Total L&amp;E</t>
        </is>
      </c>
      <c r="B32" s="6">
        <f>B28+B31</f>
        <v/>
      </c>
      <c r="C32" s="6">
        <f>C28+C31</f>
        <v/>
      </c>
      <c r="D32" s="6">
        <f>D28+D31</f>
        <v/>
      </c>
      <c r="E32" s="6">
        <f>E28+E31</f>
        <v/>
      </c>
      <c r="F32" s="6">
        <f>F28+F31</f>
        <v/>
      </c>
      <c r="G32" s="6">
        <f>G28+G31</f>
        <v/>
      </c>
      <c r="H32" s="7">
        <f>H28+H31</f>
        <v/>
      </c>
      <c r="I32" s="7">
        <f>I28+I31</f>
        <v/>
      </c>
      <c r="J32" s="7">
        <f>J28+J31</f>
        <v/>
      </c>
      <c r="K32" s="7">
        <f>K28+K31</f>
        <v/>
      </c>
    </row>
    <row r="34">
      <c r="A34" s="8" t="inlineStr">
        <is>
          <t>Balance Check (=0)</t>
        </is>
      </c>
      <c r="B34" s="6">
        <f>B16-B32</f>
        <v/>
      </c>
      <c r="C34" s="6">
        <f>C16-C32</f>
        <v/>
      </c>
      <c r="D34" s="6">
        <f>D16-D32</f>
        <v/>
      </c>
      <c r="E34" s="6">
        <f>E16-E32</f>
        <v/>
      </c>
      <c r="F34" s="6">
        <f>F16-F32</f>
        <v/>
      </c>
      <c r="G34" s="6">
        <f>G16-G32</f>
        <v/>
      </c>
      <c r="H34" s="7">
        <f>H16-H32</f>
        <v/>
      </c>
      <c r="I34" s="7">
        <f>I16-I32</f>
        <v/>
      </c>
      <c r="J34" s="7">
        <f>J16-J32</f>
        <v/>
      </c>
      <c r="K34" s="7">
        <f>K16-K32</f>
        <v/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Snap Inc. (SNAP) - Cash Flow Statement ($M)</t>
        </is>
      </c>
    </row>
    <row r="3">
      <c r="A3" s="2" t="inlineStr"/>
      <c r="B3" s="2" t="inlineStr">
        <is>
          <t>2019</t>
        </is>
      </c>
      <c r="C3" s="2" t="inlineStr">
        <is>
          <t>2020</t>
        </is>
      </c>
      <c r="D3" s="2" t="inlineStr">
        <is>
          <t>2021</t>
        </is>
      </c>
      <c r="E3" s="2" t="inlineStr">
        <is>
          <t>2022</t>
        </is>
      </c>
      <c r="F3" s="2" t="inlineStr">
        <is>
          <t>2023</t>
        </is>
      </c>
      <c r="G3" s="2" t="inlineStr">
        <is>
          <t>2024</t>
        </is>
      </c>
      <c r="H3" s="2" t="inlineStr">
        <is>
          <t>2025E</t>
        </is>
      </c>
      <c r="I3" s="2" t="inlineStr">
        <is>
          <t>2026E</t>
        </is>
      </c>
      <c r="J3" s="2" t="inlineStr">
        <is>
          <t>2027E</t>
        </is>
      </c>
      <c r="K3" s="2" t="inlineStr">
        <is>
          <t>2028E</t>
        </is>
      </c>
    </row>
    <row r="4">
      <c r="A4" s="3" t="inlineStr"/>
      <c r="B4" s="3" t="inlineStr">
        <is>
          <t>Historical</t>
        </is>
      </c>
      <c r="C4" s="3" t="inlineStr">
        <is>
          <t>Historical</t>
        </is>
      </c>
      <c r="D4" s="3" t="inlineStr">
        <is>
          <t>Historical</t>
        </is>
      </c>
      <c r="E4" s="3" t="inlineStr">
        <is>
          <t>Historical</t>
        </is>
      </c>
      <c r="F4" s="3" t="inlineStr">
        <is>
          <t>Historical</t>
        </is>
      </c>
      <c r="G4" s="3" t="inlineStr">
        <is>
          <t>Historical</t>
        </is>
      </c>
      <c r="H4" s="3" t="inlineStr">
        <is>
          <t>Forecast</t>
        </is>
      </c>
      <c r="I4" s="3" t="inlineStr">
        <is>
          <t>Forecast</t>
        </is>
      </c>
      <c r="J4" s="3" t="inlineStr">
        <is>
          <t>Forecast</t>
        </is>
      </c>
      <c r="K4" s="3" t="inlineStr">
        <is>
          <t>Forecast</t>
        </is>
      </c>
    </row>
    <row r="6">
      <c r="A6" s="4" t="inlineStr">
        <is>
          <t>CASH FROM OPERATIONS</t>
        </is>
      </c>
    </row>
    <row r="7">
      <c r="A7" s="8" t="inlineStr">
        <is>
          <t>GAAP Net Income (Loss)</t>
        </is>
      </c>
      <c r="B7" s="6">
        <f>'GAAP Reconciliation'!B45</f>
        <v/>
      </c>
      <c r="C7" s="6">
        <f>'GAAP Reconciliation'!C45</f>
        <v/>
      </c>
      <c r="D7" s="6">
        <f>'GAAP Reconciliation'!D45</f>
        <v/>
      </c>
      <c r="E7" s="6">
        <f>'GAAP Reconciliation'!E45</f>
        <v/>
      </c>
      <c r="F7" s="6">
        <f>'GAAP Reconciliation'!F45</f>
        <v/>
      </c>
      <c r="G7" s="6">
        <f>'GAAP Reconciliation'!G45</f>
        <v/>
      </c>
      <c r="H7" s="7">
        <f>'GAAP Reconciliation'!H45</f>
        <v/>
      </c>
      <c r="I7" s="7">
        <f>'GAAP Reconciliation'!I45</f>
        <v/>
      </c>
      <c r="J7" s="7">
        <f>'GAAP Reconciliation'!J45</f>
        <v/>
      </c>
      <c r="K7" s="7">
        <f>'GAAP Reconciliation'!K45</f>
        <v/>
      </c>
    </row>
    <row r="8">
      <c r="A8" s="8" t="inlineStr">
        <is>
          <t xml:space="preserve">  (+) Total D&amp;A</t>
        </is>
      </c>
      <c r="B8" s="6">
        <f>'Non-GAAP P&amp;L'!B26+'Non-GAAP P&amp;L'!B43</f>
        <v/>
      </c>
      <c r="C8" s="6">
        <f>'Non-GAAP P&amp;L'!C26+'Non-GAAP P&amp;L'!C43</f>
        <v/>
      </c>
      <c r="D8" s="6">
        <f>'Non-GAAP P&amp;L'!D26+'Non-GAAP P&amp;L'!D43</f>
        <v/>
      </c>
      <c r="E8" s="6">
        <f>'Non-GAAP P&amp;L'!E26+'Non-GAAP P&amp;L'!E43</f>
        <v/>
      </c>
      <c r="F8" s="6">
        <f>'Non-GAAP P&amp;L'!F26+'Non-GAAP P&amp;L'!F43</f>
        <v/>
      </c>
      <c r="G8" s="6">
        <f>'Non-GAAP P&amp;L'!G26+'Non-GAAP P&amp;L'!G43</f>
        <v/>
      </c>
      <c r="H8" s="7">
        <f>'Non-GAAP P&amp;L'!H26+'Non-GAAP P&amp;L'!H43</f>
        <v/>
      </c>
      <c r="I8" s="7">
        <f>'Non-GAAP P&amp;L'!I26+'Non-GAAP P&amp;L'!I43</f>
        <v/>
      </c>
      <c r="J8" s="7">
        <f>'Non-GAAP P&amp;L'!J26+'Non-GAAP P&amp;L'!J43</f>
        <v/>
      </c>
      <c r="K8" s="7">
        <f>'Non-GAAP P&amp;L'!K26+'Non-GAAP P&amp;L'!K43</f>
        <v/>
      </c>
    </row>
    <row r="9">
      <c r="A9" s="8" t="inlineStr">
        <is>
          <t xml:space="preserve">  (+) Stock-Based Compensation</t>
        </is>
      </c>
      <c r="B9" s="6">
        <f>'Non-GAAP P&amp;L'!B41</f>
        <v/>
      </c>
      <c r="C9" s="6">
        <f>'Non-GAAP P&amp;L'!C41</f>
        <v/>
      </c>
      <c r="D9" s="6">
        <f>'Non-GAAP P&amp;L'!D41</f>
        <v/>
      </c>
      <c r="E9" s="6">
        <f>'Non-GAAP P&amp;L'!E41</f>
        <v/>
      </c>
      <c r="F9" s="6">
        <f>'Non-GAAP P&amp;L'!F41</f>
        <v/>
      </c>
      <c r="G9" s="6">
        <f>'Non-GAAP P&amp;L'!G41</f>
        <v/>
      </c>
      <c r="H9" s="7">
        <f>'Non-GAAP P&amp;L'!H41</f>
        <v/>
      </c>
      <c r="I9" s="7">
        <f>'Non-GAAP P&amp;L'!I41</f>
        <v/>
      </c>
      <c r="J9" s="7">
        <f>'Non-GAAP P&amp;L'!J41</f>
        <v/>
      </c>
      <c r="K9" s="7">
        <f>'Non-GAAP P&amp;L'!K41</f>
        <v/>
      </c>
    </row>
    <row r="10">
      <c r="A10" s="8" t="inlineStr">
        <is>
          <t xml:space="preserve">  (+/-) Working Capital Changes</t>
        </is>
      </c>
      <c r="B10" s="6" t="n">
        <v>-80</v>
      </c>
      <c r="C10" s="6" t="n">
        <v>-45</v>
      </c>
      <c r="D10" s="6" t="n">
        <v>-120</v>
      </c>
      <c r="E10" s="6" t="n">
        <v>50</v>
      </c>
      <c r="F10" s="6" t="n">
        <v>30</v>
      </c>
      <c r="G10" s="6" t="n">
        <v>15</v>
      </c>
      <c r="H10" s="7">
        <f>Assumptions!H33</f>
        <v/>
      </c>
      <c r="I10" s="7">
        <f>Assumptions!I33</f>
        <v/>
      </c>
      <c r="J10" s="7">
        <f>Assumptions!J33</f>
        <v/>
      </c>
      <c r="K10" s="7">
        <f>Assumptions!K33</f>
        <v/>
      </c>
    </row>
    <row r="11">
      <c r="A11" s="8" t="inlineStr">
        <is>
          <t xml:space="preserve">  (+/-) Other Non-Cash Adj.</t>
        </is>
      </c>
      <c r="B11" s="6" t="n">
        <v>583</v>
      </c>
      <c r="C11" s="6" t="n">
        <v>500</v>
      </c>
      <c r="D11" s="6" t="n">
        <v>474</v>
      </c>
      <c r="E11" s="6" t="n">
        <v>206</v>
      </c>
      <c r="F11" s="6" t="n">
        <v>-77</v>
      </c>
      <c r="G11" s="6" t="n">
        <v>-377</v>
      </c>
      <c r="H11" s="7" t="n">
        <v>0</v>
      </c>
      <c r="I11" s="7" t="n">
        <v>0</v>
      </c>
      <c r="J11" s="7" t="n">
        <v>0</v>
      </c>
      <c r="K11" s="7" t="n">
        <v>0</v>
      </c>
    </row>
    <row r="12">
      <c r="A12" s="5" t="inlineStr">
        <is>
          <t>Cash from Operations (CFO)</t>
        </is>
      </c>
      <c r="B12" s="6">
        <f>SUM(B7:B11)</f>
        <v/>
      </c>
      <c r="C12" s="6">
        <f>SUM(C7:C11)</f>
        <v/>
      </c>
      <c r="D12" s="6">
        <f>SUM(D7:D11)</f>
        <v/>
      </c>
      <c r="E12" s="6">
        <f>SUM(E7:E11)</f>
        <v/>
      </c>
      <c r="F12" s="6">
        <f>SUM(F7:F11)</f>
        <v/>
      </c>
      <c r="G12" s="6">
        <f>SUM(G7:G11)</f>
        <v/>
      </c>
      <c r="H12" s="7">
        <f>SUM(H7:H11)</f>
        <v/>
      </c>
      <c r="I12" s="7">
        <f>SUM(I7:I11)</f>
        <v/>
      </c>
      <c r="J12" s="7">
        <f>SUM(J7:J11)</f>
        <v/>
      </c>
      <c r="K12" s="7">
        <f>SUM(K7:K11)</f>
        <v/>
      </c>
    </row>
    <row r="14">
      <c r="A14" s="4" t="inlineStr">
        <is>
          <t>CASH FROM INVESTING</t>
        </is>
      </c>
    </row>
    <row r="15">
      <c r="A15" s="8" t="inlineStr">
        <is>
          <t xml:space="preserve">  Capital Expenditures</t>
        </is>
      </c>
      <c r="B15" s="6" t="n">
        <v>-51</v>
      </c>
      <c r="C15" s="6" t="n">
        <v>-59</v>
      </c>
      <c r="D15" s="6" t="n">
        <v>-85</v>
      </c>
      <c r="E15" s="6" t="n">
        <v>-115</v>
      </c>
      <c r="F15" s="6" t="n">
        <v>-93</v>
      </c>
      <c r="G15" s="6" t="n">
        <v>-90</v>
      </c>
      <c r="H15" s="7">
        <f>-Assumptions!H31</f>
        <v/>
      </c>
      <c r="I15" s="7">
        <f>-Assumptions!I31</f>
        <v/>
      </c>
      <c r="J15" s="7">
        <f>-Assumptions!J31</f>
        <v/>
      </c>
      <c r="K15" s="7">
        <f>-Assumptions!K31</f>
        <v/>
      </c>
    </row>
    <row r="16">
      <c r="A16" s="8" t="inlineStr">
        <is>
          <t xml:space="preserve">  Other Investing</t>
        </is>
      </c>
      <c r="B16" s="6" t="n">
        <v>-149</v>
      </c>
      <c r="C16" s="6" t="n">
        <v>-441</v>
      </c>
      <c r="D16" s="6" t="n">
        <v>-1115</v>
      </c>
      <c r="E16" s="6" t="n">
        <v>-235</v>
      </c>
      <c r="F16" s="6" t="n">
        <v>-27</v>
      </c>
      <c r="G16" s="6" t="n">
        <v>-10</v>
      </c>
      <c r="H16" s="7" t="n">
        <v>0</v>
      </c>
      <c r="I16" s="7" t="n">
        <v>0</v>
      </c>
      <c r="J16" s="7" t="n">
        <v>0</v>
      </c>
      <c r="K16" s="7" t="n">
        <v>0</v>
      </c>
    </row>
    <row r="17">
      <c r="A17" s="5" t="inlineStr">
        <is>
          <t>Cash from Investing (CFI)</t>
        </is>
      </c>
      <c r="B17" s="6">
        <f>B15+B16</f>
        <v/>
      </c>
      <c r="C17" s="6">
        <f>C15+C16</f>
        <v/>
      </c>
      <c r="D17" s="6">
        <f>D15+D16</f>
        <v/>
      </c>
      <c r="E17" s="6">
        <f>E15+E16</f>
        <v/>
      </c>
      <c r="F17" s="6">
        <f>F15+F16</f>
        <v/>
      </c>
      <c r="G17" s="6">
        <f>G15+G16</f>
        <v/>
      </c>
      <c r="H17" s="7">
        <f>H15+H16</f>
        <v/>
      </c>
      <c r="I17" s="7">
        <f>I15+I16</f>
        <v/>
      </c>
      <c r="J17" s="7">
        <f>J15+J16</f>
        <v/>
      </c>
      <c r="K17" s="7">
        <f>K15+K16</f>
        <v/>
      </c>
    </row>
    <row r="19">
      <c r="A19" s="4" t="inlineStr">
        <is>
          <t>CASH FROM FINANCING</t>
        </is>
      </c>
    </row>
    <row r="20">
      <c r="A20" s="5" t="inlineStr">
        <is>
          <t>Cash from Financing (CFF)</t>
        </is>
      </c>
      <c r="B20" s="6">
        <f>Assumptions!B52</f>
        <v/>
      </c>
      <c r="C20" s="6">
        <f>Assumptions!C52</f>
        <v/>
      </c>
      <c r="D20" s="6">
        <f>Assumptions!D52</f>
        <v/>
      </c>
      <c r="E20" s="6">
        <f>Assumptions!E52</f>
        <v/>
      </c>
      <c r="F20" s="6">
        <f>Assumptions!F52</f>
        <v/>
      </c>
      <c r="G20" s="6">
        <f>Assumptions!G52</f>
        <v/>
      </c>
      <c r="H20" s="7">
        <f>Assumptions!H52</f>
        <v/>
      </c>
      <c r="I20" s="7">
        <f>Assumptions!I52</f>
        <v/>
      </c>
      <c r="J20" s="7">
        <f>Assumptions!J52</f>
        <v/>
      </c>
      <c r="K20" s="7">
        <f>Assumptions!K52</f>
        <v/>
      </c>
    </row>
    <row r="22">
      <c r="A22" s="5" t="inlineStr">
        <is>
          <t>Net Change in Cash</t>
        </is>
      </c>
      <c r="B22" s="6">
        <f>B12+B17+B20</f>
        <v/>
      </c>
      <c r="C22" s="6">
        <f>C12+C17+C20</f>
        <v/>
      </c>
      <c r="D22" s="6">
        <f>D12+D17+D20</f>
        <v/>
      </c>
      <c r="E22" s="6">
        <f>E12+E17+E20</f>
        <v/>
      </c>
      <c r="F22" s="6">
        <f>F12+F17+F20</f>
        <v/>
      </c>
      <c r="G22" s="6">
        <f>G12+G17+G20</f>
        <v/>
      </c>
      <c r="H22" s="7">
        <f>H12+H17+H20</f>
        <v/>
      </c>
      <c r="I22" s="7">
        <f>I12+I17+I20</f>
        <v/>
      </c>
      <c r="J22" s="7">
        <f>J12+J17+J20</f>
        <v/>
      </c>
      <c r="K22" s="7">
        <f>K12+K17+K20</f>
        <v/>
      </c>
    </row>
    <row r="23">
      <c r="A23" s="8" t="inlineStr">
        <is>
          <t>Beginning Cash</t>
        </is>
      </c>
      <c r="B23" s="6" t="n">
        <v>1365</v>
      </c>
      <c r="C23" s="6" t="n">
        <v>2024</v>
      </c>
      <c r="D23" s="6" t="n">
        <v>2768</v>
      </c>
      <c r="E23" s="6" t="n">
        <v>3506</v>
      </c>
      <c r="F23" s="6" t="n">
        <v>3938</v>
      </c>
      <c r="G23" s="6" t="n">
        <v>3374</v>
      </c>
      <c r="H23" s="7">
        <f>G24</f>
        <v/>
      </c>
      <c r="I23" s="7">
        <f>H24</f>
        <v/>
      </c>
      <c r="J23" s="7">
        <f>I24</f>
        <v/>
      </c>
      <c r="K23" s="7">
        <f>J24</f>
        <v/>
      </c>
    </row>
    <row r="24">
      <c r="A24" s="5" t="inlineStr">
        <is>
          <t>Ending Cash</t>
        </is>
      </c>
      <c r="B24" s="6">
        <f>B23+B22</f>
        <v/>
      </c>
      <c r="C24" s="6">
        <f>C23+C22</f>
        <v/>
      </c>
      <c r="D24" s="6">
        <f>D23+D22</f>
        <v/>
      </c>
      <c r="E24" s="6">
        <f>E23+E22</f>
        <v/>
      </c>
      <c r="F24" s="6">
        <f>F23+F22</f>
        <v/>
      </c>
      <c r="G24" s="6">
        <f>G23+G22</f>
        <v/>
      </c>
      <c r="H24" s="7">
        <f>H23+H22</f>
        <v/>
      </c>
      <c r="I24" s="7">
        <f>I23+I22</f>
        <v/>
      </c>
      <c r="J24" s="7">
        <f>J23+J22</f>
        <v/>
      </c>
      <c r="K24" s="7">
        <f>K23+K22</f>
        <v/>
      </c>
    </row>
    <row r="26">
      <c r="A26" s="5" t="inlineStr">
        <is>
          <t>Free Cash Flow (CFO + CapEx)</t>
        </is>
      </c>
      <c r="B26" s="6">
        <f>B12+B15</f>
        <v/>
      </c>
      <c r="C26" s="6">
        <f>C12+C15</f>
        <v/>
      </c>
      <c r="D26" s="6">
        <f>D12+D15</f>
        <v/>
      </c>
      <c r="E26" s="6">
        <f>E12+E15</f>
        <v/>
      </c>
      <c r="F26" s="6">
        <f>F12+F15</f>
        <v/>
      </c>
      <c r="G26" s="6">
        <f>G12+G15</f>
        <v/>
      </c>
      <c r="H26" s="7">
        <f>H12+H15</f>
        <v/>
      </c>
      <c r="I26" s="7">
        <f>I12+I15</f>
        <v/>
      </c>
      <c r="J26" s="7">
        <f>J12+J15</f>
        <v/>
      </c>
      <c r="K26" s="7">
        <f>K12+K15</f>
        <v/>
      </c>
    </row>
    <row r="27">
      <c r="A27" s="8" t="inlineStr">
        <is>
          <t xml:space="preserve">  FCF Margin</t>
        </is>
      </c>
      <c r="B27" s="9">
        <f>B26/'Revenue Build'!B15</f>
        <v/>
      </c>
      <c r="C27" s="9">
        <f>C26/'Revenue Build'!C15</f>
        <v/>
      </c>
      <c r="D27" s="9">
        <f>D26/'Revenue Build'!D15</f>
        <v/>
      </c>
      <c r="E27" s="9">
        <f>E26/'Revenue Build'!E15</f>
        <v/>
      </c>
      <c r="F27" s="9">
        <f>F26/'Revenue Build'!F15</f>
        <v/>
      </c>
      <c r="G27" s="9">
        <f>G26/'Revenue Build'!G15</f>
        <v/>
      </c>
      <c r="H27" s="10">
        <f>H26/'Revenue Build'!H15</f>
        <v/>
      </c>
      <c r="I27" s="10">
        <f>I26/'Revenue Build'!I15</f>
        <v/>
      </c>
      <c r="J27" s="10">
        <f>J26/'Revenue Build'!J15</f>
        <v/>
      </c>
      <c r="K27" s="10">
        <f>K26/'Revenue Build'!K15</f>
        <v/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Snap Inc. (SNAP) - Non-GAAP Quarterly P&amp;L ($M)</t>
        </is>
      </c>
    </row>
    <row r="3">
      <c r="A3" s="2" t="inlineStr"/>
      <c r="B3" s="2" t="inlineStr">
        <is>
          <t>Q1-23</t>
        </is>
      </c>
      <c r="C3" s="2" t="inlineStr">
        <is>
          <t>Q2-23</t>
        </is>
      </c>
      <c r="D3" s="2" t="inlineStr">
        <is>
          <t>Q3-23</t>
        </is>
      </c>
      <c r="E3" s="2" t="inlineStr">
        <is>
          <t>Q4-23</t>
        </is>
      </c>
      <c r="F3" s="2" t="inlineStr">
        <is>
          <t>Q1-24</t>
        </is>
      </c>
      <c r="G3" s="2" t="inlineStr">
        <is>
          <t>Q2-24</t>
        </is>
      </c>
      <c r="H3" s="2" t="inlineStr">
        <is>
          <t>Q3-24</t>
        </is>
      </c>
      <c r="I3" s="2" t="inlineStr">
        <is>
          <t>Q4-24</t>
        </is>
      </c>
      <c r="J3" s="2" t="inlineStr">
        <is>
          <t>Q1-25E</t>
        </is>
      </c>
      <c r="K3" s="2" t="inlineStr">
        <is>
          <t>Q2-25E</t>
        </is>
      </c>
      <c r="L3" s="2" t="inlineStr">
        <is>
          <t>Q3-25E</t>
        </is>
      </c>
      <c r="M3" s="2" t="inlineStr">
        <is>
          <t>Q4-25E</t>
        </is>
      </c>
      <c r="N3" s="2" t="inlineStr">
        <is>
          <t>Q1-26E</t>
        </is>
      </c>
      <c r="O3" s="2" t="inlineStr">
        <is>
          <t>Q2-26E</t>
        </is>
      </c>
      <c r="P3" s="2" t="inlineStr">
        <is>
          <t>Q3-26E</t>
        </is>
      </c>
      <c r="Q3" s="2" t="inlineStr">
        <is>
          <t>Q4-26E</t>
        </is>
      </c>
    </row>
    <row r="4">
      <c r="A4" s="3" t="inlineStr"/>
      <c r="B4" s="3" t="inlineStr">
        <is>
          <t>Historical</t>
        </is>
      </c>
      <c r="C4" s="3" t="inlineStr">
        <is>
          <t>Historical</t>
        </is>
      </c>
      <c r="D4" s="3" t="inlineStr">
        <is>
          <t>Historical</t>
        </is>
      </c>
      <c r="E4" s="3" t="inlineStr">
        <is>
          <t>Historical</t>
        </is>
      </c>
      <c r="F4" s="3" t="inlineStr">
        <is>
          <t>Historical</t>
        </is>
      </c>
      <c r="G4" s="3" t="inlineStr">
        <is>
          <t>Historical</t>
        </is>
      </c>
      <c r="H4" s="3" t="inlineStr">
        <is>
          <t>Historical</t>
        </is>
      </c>
      <c r="I4" s="3" t="inlineStr">
        <is>
          <t>Historical</t>
        </is>
      </c>
      <c r="J4" s="3" t="inlineStr">
        <is>
          <t>Forecast</t>
        </is>
      </c>
      <c r="K4" s="3" t="inlineStr">
        <is>
          <t>Forecast</t>
        </is>
      </c>
      <c r="L4" s="3" t="inlineStr">
        <is>
          <t>Forecast</t>
        </is>
      </c>
      <c r="M4" s="3" t="inlineStr">
        <is>
          <t>Forecast</t>
        </is>
      </c>
      <c r="N4" s="3" t="inlineStr">
        <is>
          <t>Forecast</t>
        </is>
      </c>
      <c r="O4" s="3" t="inlineStr">
        <is>
          <t>Forecast</t>
        </is>
      </c>
      <c r="P4" s="3" t="inlineStr">
        <is>
          <t>Forecast</t>
        </is>
      </c>
      <c r="Q4" s="3" t="inlineStr">
        <is>
          <t>Forecast</t>
        </is>
      </c>
    </row>
    <row r="6">
      <c r="A6" s="5" t="inlineStr">
        <is>
          <t>DAU (M)</t>
        </is>
      </c>
      <c r="B6" s="6" t="n">
        <v>383</v>
      </c>
      <c r="C6" s="6" t="n">
        <v>397</v>
      </c>
      <c r="D6" s="6" t="n">
        <v>406</v>
      </c>
      <c r="E6" s="6" t="n">
        <v>414</v>
      </c>
      <c r="F6" s="6" t="n">
        <v>422</v>
      </c>
      <c r="G6" s="6" t="n">
        <v>432</v>
      </c>
      <c r="H6" s="6" t="n">
        <v>437</v>
      </c>
      <c r="I6" s="6" t="n">
        <v>443</v>
      </c>
      <c r="J6" s="7">
        <f>ROUND('Revenue Build'!G7+('Revenue Build'!H7-'Revenue Build'!G7)*1/4,0)</f>
        <v/>
      </c>
      <c r="K6" s="7">
        <f>ROUND('Revenue Build'!G7+('Revenue Build'!H7-'Revenue Build'!G7)*2/4,0)</f>
        <v/>
      </c>
      <c r="L6" s="7">
        <f>ROUND('Revenue Build'!G7+('Revenue Build'!H7-'Revenue Build'!G7)*3/4,0)</f>
        <v/>
      </c>
      <c r="M6" s="7">
        <f>ROUND('Revenue Build'!G7+('Revenue Build'!H7-'Revenue Build'!G7)*4/4,0)</f>
        <v/>
      </c>
      <c r="N6" s="7">
        <f>ROUND('Revenue Build'!H7+('Revenue Build'!I7-'Revenue Build'!H7)*1/4,0)</f>
        <v/>
      </c>
      <c r="O6" s="7">
        <f>ROUND('Revenue Build'!H7+('Revenue Build'!I7-'Revenue Build'!H7)*2/4,0)</f>
        <v/>
      </c>
      <c r="P6" s="7">
        <f>ROUND('Revenue Build'!H7+('Revenue Build'!I7-'Revenue Build'!H7)*3/4,0)</f>
        <v/>
      </c>
      <c r="Q6" s="7">
        <f>ROUND('Revenue Build'!H7+('Revenue Build'!I7-'Revenue Build'!H7)*4/4,0)</f>
        <v/>
      </c>
    </row>
    <row r="7">
      <c r="A7" s="5" t="inlineStr">
        <is>
          <t>Revenue</t>
        </is>
      </c>
      <c r="B7" s="13" t="n">
        <v>989</v>
      </c>
      <c r="C7" s="13" t="n">
        <v>1068</v>
      </c>
      <c r="D7" s="13" t="n">
        <v>1189</v>
      </c>
      <c r="E7" s="13" t="n">
        <v>1361</v>
      </c>
      <c r="F7" s="13" t="n">
        <v>1195</v>
      </c>
      <c r="G7" s="13" t="n">
        <v>1237</v>
      </c>
      <c r="H7" s="13" t="n">
        <v>1373</v>
      </c>
      <c r="I7" s="13" t="n">
        <v>1556</v>
      </c>
      <c r="J7" s="7">
        <f>ROUND('Revenue Build'!H15*Assumptions!B56,0)</f>
        <v/>
      </c>
      <c r="K7" s="7">
        <f>ROUND('Revenue Build'!H15*Assumptions!C56,0)</f>
        <v/>
      </c>
      <c r="L7" s="7">
        <f>ROUND('Revenue Build'!H15*Assumptions!D56,0)</f>
        <v/>
      </c>
      <c r="M7" s="7">
        <f>ROUND('Revenue Build'!H15*Assumptions!E56,0)</f>
        <v/>
      </c>
      <c r="N7" s="7">
        <f>ROUND('Revenue Build'!I15*Assumptions!B56,0)</f>
        <v/>
      </c>
      <c r="O7" s="7">
        <f>ROUND('Revenue Build'!I15*Assumptions!C56,0)</f>
        <v/>
      </c>
      <c r="P7" s="7">
        <f>ROUND('Revenue Build'!I15*Assumptions!D56,0)</f>
        <v/>
      </c>
      <c r="Q7" s="7">
        <f>ROUND('Revenue Build'!I15*Assumptions!E56,0)</f>
        <v/>
      </c>
    </row>
    <row r="8">
      <c r="A8" s="8" t="inlineStr">
        <is>
          <t>ARPU ($)</t>
        </is>
      </c>
      <c r="B8" s="11">
        <f>ROUND(B7/B6,2)</f>
        <v/>
      </c>
      <c r="C8" s="11">
        <f>ROUND(C7/C6,2)</f>
        <v/>
      </c>
      <c r="D8" s="11">
        <f>ROUND(D7/D6,2)</f>
        <v/>
      </c>
      <c r="E8" s="11">
        <f>ROUND(E7/E6,2)</f>
        <v/>
      </c>
      <c r="F8" s="11">
        <f>ROUND(F7/F6,2)</f>
        <v/>
      </c>
      <c r="G8" s="11">
        <f>ROUND(G7/G6,2)</f>
        <v/>
      </c>
      <c r="H8" s="11">
        <f>ROUND(H7/H6,2)</f>
        <v/>
      </c>
      <c r="I8" s="11">
        <f>ROUND(I7/I6,2)</f>
        <v/>
      </c>
      <c r="J8" s="12">
        <f>ROUND(J7/J6,2)</f>
        <v/>
      </c>
      <c r="K8" s="12">
        <f>ROUND(K7/K6,2)</f>
        <v/>
      </c>
      <c r="L8" s="12">
        <f>ROUND(L7/L6,2)</f>
        <v/>
      </c>
      <c r="M8" s="12">
        <f>ROUND(M7/M6,2)</f>
        <v/>
      </c>
      <c r="N8" s="12">
        <f>ROUND(N7/N6,2)</f>
        <v/>
      </c>
      <c r="O8" s="12">
        <f>ROUND(O7/O6,2)</f>
        <v/>
      </c>
      <c r="P8" s="12">
        <f>ROUND(P7/P6,2)</f>
        <v/>
      </c>
      <c r="Q8" s="12">
        <f>ROUND(Q7/Q6,2)</f>
        <v/>
      </c>
    </row>
    <row r="10">
      <c r="A10" s="8" t="inlineStr">
        <is>
          <t>Non-GAAP COGS</t>
        </is>
      </c>
      <c r="B10" s="6" t="n">
        <v>460</v>
      </c>
      <c r="C10" s="6" t="n">
        <v>480</v>
      </c>
      <c r="D10" s="6" t="n">
        <v>515</v>
      </c>
      <c r="E10" s="6" t="n">
        <v>610</v>
      </c>
      <c r="F10" s="6" t="n">
        <v>515</v>
      </c>
      <c r="G10" s="6" t="n">
        <v>535</v>
      </c>
      <c r="H10" s="6" t="n">
        <v>588</v>
      </c>
      <c r="I10" s="6" t="n">
        <v>697</v>
      </c>
      <c r="J10" s="7">
        <f>ROUND(J7*(1-Assumptions!H11),0)</f>
        <v/>
      </c>
      <c r="K10" s="7">
        <f>ROUND(K7*(1-Assumptions!H11),0)</f>
        <v/>
      </c>
      <c r="L10" s="7">
        <f>ROUND(L7*(1-Assumptions!H11),0)</f>
        <v/>
      </c>
      <c r="M10" s="7">
        <f>ROUND(M7*(1-Assumptions!H11),0)</f>
        <v/>
      </c>
      <c r="N10" s="7">
        <f>ROUND(N7*(1-Assumptions!I11),0)</f>
        <v/>
      </c>
      <c r="O10" s="7">
        <f>ROUND(O7*(1-Assumptions!I11),0)</f>
        <v/>
      </c>
      <c r="P10" s="7">
        <f>ROUND(P7*(1-Assumptions!I11),0)</f>
        <v/>
      </c>
      <c r="Q10" s="7">
        <f>ROUND(Q7*(1-Assumptions!I11),0)</f>
        <v/>
      </c>
    </row>
    <row r="11">
      <c r="A11" s="5" t="inlineStr">
        <is>
          <t>Non-GAAP Gross Profit</t>
        </is>
      </c>
      <c r="B11" s="6">
        <f>B7-B10</f>
        <v/>
      </c>
      <c r="C11" s="6">
        <f>C7-C10</f>
        <v/>
      </c>
      <c r="D11" s="6">
        <f>D7-D10</f>
        <v/>
      </c>
      <c r="E11" s="6">
        <f>E7-E10</f>
        <v/>
      </c>
      <c r="F11" s="6">
        <f>F7-F10</f>
        <v/>
      </c>
      <c r="G11" s="6">
        <f>G7-G10</f>
        <v/>
      </c>
      <c r="H11" s="6">
        <f>H7-H10</f>
        <v/>
      </c>
      <c r="I11" s="6">
        <f>I7-I10</f>
        <v/>
      </c>
      <c r="J11" s="7">
        <f>J7-J10</f>
        <v/>
      </c>
      <c r="K11" s="7">
        <f>K7-K10</f>
        <v/>
      </c>
      <c r="L11" s="7">
        <f>L7-L10</f>
        <v/>
      </c>
      <c r="M11" s="7">
        <f>M7-M10</f>
        <v/>
      </c>
      <c r="N11" s="7">
        <f>N7-N10</f>
        <v/>
      </c>
      <c r="O11" s="7">
        <f>O7-O10</f>
        <v/>
      </c>
      <c r="P11" s="7">
        <f>P7-P10</f>
        <v/>
      </c>
      <c r="Q11" s="7">
        <f>Q7-Q10</f>
        <v/>
      </c>
    </row>
    <row r="12">
      <c r="A12" s="8" t="inlineStr">
        <is>
          <t xml:space="preserve">  Non-GAAP GM</t>
        </is>
      </c>
      <c r="B12" s="9">
        <f>B11/B7</f>
        <v/>
      </c>
      <c r="C12" s="9">
        <f>C11/C7</f>
        <v/>
      </c>
      <c r="D12" s="9">
        <f>D11/D7</f>
        <v/>
      </c>
      <c r="E12" s="9">
        <f>E11/E7</f>
        <v/>
      </c>
      <c r="F12" s="9">
        <f>F11/F7</f>
        <v/>
      </c>
      <c r="G12" s="9">
        <f>G11/G7</f>
        <v/>
      </c>
      <c r="H12" s="9">
        <f>H11/H7</f>
        <v/>
      </c>
      <c r="I12" s="9">
        <f>I11/I7</f>
        <v/>
      </c>
      <c r="J12" s="10">
        <f>J11/J7</f>
        <v/>
      </c>
      <c r="K12" s="10">
        <f>K11/K7</f>
        <v/>
      </c>
      <c r="L12" s="10">
        <f>L11/L7</f>
        <v/>
      </c>
      <c r="M12" s="10">
        <f>M11/M7</f>
        <v/>
      </c>
      <c r="N12" s="10">
        <f>N11/N7</f>
        <v/>
      </c>
      <c r="O12" s="10">
        <f>O11/O7</f>
        <v/>
      </c>
      <c r="P12" s="10">
        <f>P11/P7</f>
        <v/>
      </c>
      <c r="Q12" s="10">
        <f>Q11/Q7</f>
        <v/>
      </c>
    </row>
    <row r="14">
      <c r="A14" s="8" t="inlineStr">
        <is>
          <t>Non-GAAP R&amp;D</t>
        </is>
      </c>
      <c r="B14" s="6" t="n">
        <v>260</v>
      </c>
      <c r="C14" s="6" t="n">
        <v>252</v>
      </c>
      <c r="D14" s="6" t="n">
        <v>248</v>
      </c>
      <c r="E14" s="6" t="n">
        <v>246</v>
      </c>
      <c r="F14" s="6" t="n">
        <v>248</v>
      </c>
      <c r="G14" s="6" t="n">
        <v>244</v>
      </c>
      <c r="H14" s="6" t="n">
        <v>244</v>
      </c>
      <c r="I14" s="6" t="n">
        <v>245</v>
      </c>
      <c r="J14" s="7">
        <f>ROUND(J7*Assumptions!H12,0)</f>
        <v/>
      </c>
      <c r="K14" s="7">
        <f>ROUND(K7*Assumptions!H12,0)</f>
        <v/>
      </c>
      <c r="L14" s="7">
        <f>ROUND(L7*Assumptions!H12,0)</f>
        <v/>
      </c>
      <c r="M14" s="7">
        <f>ROUND(M7*Assumptions!H12,0)</f>
        <v/>
      </c>
      <c r="N14" s="7">
        <f>ROUND(N7*Assumptions!I12,0)</f>
        <v/>
      </c>
      <c r="O14" s="7">
        <f>ROUND(O7*Assumptions!I12,0)</f>
        <v/>
      </c>
      <c r="P14" s="7">
        <f>ROUND(P7*Assumptions!I12,0)</f>
        <v/>
      </c>
      <c r="Q14" s="7">
        <f>ROUND(Q7*Assumptions!I12,0)</f>
        <v/>
      </c>
    </row>
    <row r="15">
      <c r="A15" s="8" t="inlineStr">
        <is>
          <t>Non-GAAP S&amp;M</t>
        </is>
      </c>
      <c r="B15" s="6" t="n">
        <v>240</v>
      </c>
      <c r="C15" s="6" t="n">
        <v>232</v>
      </c>
      <c r="D15" s="6" t="n">
        <v>234</v>
      </c>
      <c r="E15" s="6" t="n">
        <v>231</v>
      </c>
      <c r="F15" s="6" t="n">
        <v>235</v>
      </c>
      <c r="G15" s="6" t="n">
        <v>232</v>
      </c>
      <c r="H15" s="6" t="n">
        <v>234</v>
      </c>
      <c r="I15" s="6" t="n">
        <v>234</v>
      </c>
      <c r="J15" s="7">
        <f>ROUND(J7*Assumptions!H13,0)</f>
        <v/>
      </c>
      <c r="K15" s="7">
        <f>ROUND(K7*Assumptions!H13,0)</f>
        <v/>
      </c>
      <c r="L15" s="7">
        <f>ROUND(L7*Assumptions!H13,0)</f>
        <v/>
      </c>
      <c r="M15" s="7">
        <f>ROUND(M7*Assumptions!H13,0)</f>
        <v/>
      </c>
      <c r="N15" s="7">
        <f>ROUND(N7*Assumptions!I13,0)</f>
        <v/>
      </c>
      <c r="O15" s="7">
        <f>ROUND(O7*Assumptions!I13,0)</f>
        <v/>
      </c>
      <c r="P15" s="7">
        <f>ROUND(P7*Assumptions!I13,0)</f>
        <v/>
      </c>
      <c r="Q15" s="7">
        <f>ROUND(Q7*Assumptions!I13,0)</f>
        <v/>
      </c>
    </row>
    <row r="16">
      <c r="A16" s="8" t="inlineStr">
        <is>
          <t>Non-GAAP G&amp;A</t>
        </is>
      </c>
      <c r="B16" s="6" t="n">
        <v>58</v>
      </c>
      <c r="C16" s="6" t="n">
        <v>57</v>
      </c>
      <c r="D16" s="6" t="n">
        <v>55</v>
      </c>
      <c r="E16" s="6" t="n">
        <v>55</v>
      </c>
      <c r="F16" s="6" t="n">
        <v>53</v>
      </c>
      <c r="G16" s="6" t="n">
        <v>52</v>
      </c>
      <c r="H16" s="6" t="n">
        <v>52</v>
      </c>
      <c r="I16" s="6" t="n">
        <v>52</v>
      </c>
      <c r="J16" s="7">
        <f>ROUND(J7*Assumptions!H14,0)</f>
        <v/>
      </c>
      <c r="K16" s="7">
        <f>ROUND(K7*Assumptions!H14,0)</f>
        <v/>
      </c>
      <c r="L16" s="7">
        <f>ROUND(L7*Assumptions!H14,0)</f>
        <v/>
      </c>
      <c r="M16" s="7">
        <f>ROUND(M7*Assumptions!H14,0)</f>
        <v/>
      </c>
      <c r="N16" s="7">
        <f>ROUND(N7*Assumptions!I14,0)</f>
        <v/>
      </c>
      <c r="O16" s="7">
        <f>ROUND(O7*Assumptions!I14,0)</f>
        <v/>
      </c>
      <c r="P16" s="7">
        <f>ROUND(P7*Assumptions!I14,0)</f>
        <v/>
      </c>
      <c r="Q16" s="7">
        <f>ROUND(Q7*Assumptions!I14,0)</f>
        <v/>
      </c>
    </row>
    <row r="17">
      <c r="A17" s="5" t="inlineStr">
        <is>
          <t>Non-GAAP Operating Income</t>
        </is>
      </c>
      <c r="B17" s="6">
        <f>B11-B14-B15-B16</f>
        <v/>
      </c>
      <c r="C17" s="6">
        <f>C11-C14-C15-C16</f>
        <v/>
      </c>
      <c r="D17" s="6">
        <f>D11-D14-D15-D16</f>
        <v/>
      </c>
      <c r="E17" s="6">
        <f>E11-E14-E15-E16</f>
        <v/>
      </c>
      <c r="F17" s="6">
        <f>F11-F14-F15-F16</f>
        <v/>
      </c>
      <c r="G17" s="6">
        <f>G11-G14-G15-G16</f>
        <v/>
      </c>
      <c r="H17" s="6">
        <f>H11-H14-H15-H16</f>
        <v/>
      </c>
      <c r="I17" s="6">
        <f>I11-I14-I15-I16</f>
        <v/>
      </c>
      <c r="J17" s="7">
        <f>J11-J14-J15-J16</f>
        <v/>
      </c>
      <c r="K17" s="7">
        <f>K11-K14-K15-K16</f>
        <v/>
      </c>
      <c r="L17" s="7">
        <f>L11-L14-L15-L16</f>
        <v/>
      </c>
      <c r="M17" s="7">
        <f>M11-M14-M15-M16</f>
        <v/>
      </c>
      <c r="N17" s="7">
        <f>N11-N14-N15-N16</f>
        <v/>
      </c>
      <c r="O17" s="7">
        <f>O11-O14-O15-O16</f>
        <v/>
      </c>
      <c r="P17" s="7">
        <f>P11-P14-P15-P16</f>
        <v/>
      </c>
      <c r="Q17" s="7">
        <f>Q11-Q14-Q15-Q16</f>
        <v/>
      </c>
    </row>
    <row r="18">
      <c r="A18" s="8" t="inlineStr">
        <is>
          <t xml:space="preserve">  Non-GAAP OI Margin</t>
        </is>
      </c>
      <c r="B18" s="9">
        <f>B17/B7</f>
        <v/>
      </c>
      <c r="C18" s="9">
        <f>C17/C7</f>
        <v/>
      </c>
      <c r="D18" s="9">
        <f>D17/D7</f>
        <v/>
      </c>
      <c r="E18" s="9">
        <f>E17/E7</f>
        <v/>
      </c>
      <c r="F18" s="9">
        <f>F17/F7</f>
        <v/>
      </c>
      <c r="G18" s="9">
        <f>G17/G7</f>
        <v/>
      </c>
      <c r="H18" s="9">
        <f>H17/H7</f>
        <v/>
      </c>
      <c r="I18" s="9">
        <f>I17/I7</f>
        <v/>
      </c>
      <c r="J18" s="10">
        <f>J17/J7</f>
        <v/>
      </c>
      <c r="K18" s="10">
        <f>K17/K7</f>
        <v/>
      </c>
      <c r="L18" s="10">
        <f>L17/L7</f>
        <v/>
      </c>
      <c r="M18" s="10">
        <f>M17/M7</f>
        <v/>
      </c>
      <c r="N18" s="10">
        <f>N17/N7</f>
        <v/>
      </c>
      <c r="O18" s="10">
        <f>O17/O7</f>
        <v/>
      </c>
      <c r="P18" s="10">
        <f>P17/P7</f>
        <v/>
      </c>
      <c r="Q18" s="10">
        <f>Q17/Q7</f>
        <v/>
      </c>
    </row>
    <row r="20">
      <c r="A20" s="8" t="inlineStr">
        <is>
          <t>PP&amp;E Depreciation</t>
        </is>
      </c>
      <c r="B20" s="6" t="n">
        <v>34</v>
      </c>
      <c r="C20" s="6" t="n">
        <v>34</v>
      </c>
      <c r="D20" s="6" t="n">
        <v>34</v>
      </c>
      <c r="E20" s="6" t="n">
        <v>33</v>
      </c>
      <c r="F20" s="6" t="n">
        <v>40</v>
      </c>
      <c r="G20" s="6" t="n">
        <v>40</v>
      </c>
      <c r="H20" s="6" t="n">
        <v>40</v>
      </c>
      <c r="I20" s="6" t="n">
        <v>40</v>
      </c>
      <c r="J20" s="7">
        <f>ROUND(Assumptions!H21/4,0)</f>
        <v/>
      </c>
      <c r="K20" s="7">
        <f>ROUND(Assumptions!H21/4,0)</f>
        <v/>
      </c>
      <c r="L20" s="7">
        <f>ROUND(Assumptions!H21/4,0)</f>
        <v/>
      </c>
      <c r="M20" s="7">
        <f>ROUND(Assumptions!H21/4,0)</f>
        <v/>
      </c>
      <c r="N20" s="7">
        <f>ROUND(Assumptions!I21/4,0)</f>
        <v/>
      </c>
      <c r="O20" s="7">
        <f>ROUND(Assumptions!I21/4,0)</f>
        <v/>
      </c>
      <c r="P20" s="7">
        <f>ROUND(Assumptions!I21/4,0)</f>
        <v/>
      </c>
      <c r="Q20" s="7">
        <f>ROUND(Assumptions!I21/4,0)</f>
        <v/>
      </c>
    </row>
    <row r="21">
      <c r="A21" s="5" t="inlineStr">
        <is>
          <t>Adjusted EBITDA</t>
        </is>
      </c>
      <c r="B21" s="6">
        <f>B17+B20</f>
        <v/>
      </c>
      <c r="C21" s="6">
        <f>C17+C20</f>
        <v/>
      </c>
      <c r="D21" s="6">
        <f>D17+D20</f>
        <v/>
      </c>
      <c r="E21" s="6">
        <f>E17+E20</f>
        <v/>
      </c>
      <c r="F21" s="6">
        <f>F17+F20</f>
        <v/>
      </c>
      <c r="G21" s="6">
        <f>G17+G20</f>
        <v/>
      </c>
      <c r="H21" s="6">
        <f>H17+H20</f>
        <v/>
      </c>
      <c r="I21" s="6">
        <f>I17+I20</f>
        <v/>
      </c>
      <c r="J21" s="7">
        <f>J17+J20</f>
        <v/>
      </c>
      <c r="K21" s="7">
        <f>K17+K20</f>
        <v/>
      </c>
      <c r="L21" s="7">
        <f>L17+L20</f>
        <v/>
      </c>
      <c r="M21" s="7">
        <f>M17+M20</f>
        <v/>
      </c>
      <c r="N21" s="7">
        <f>N17+N20</f>
        <v/>
      </c>
      <c r="O21" s="7">
        <f>O17+O20</f>
        <v/>
      </c>
      <c r="P21" s="7">
        <f>P17+P20</f>
        <v/>
      </c>
      <c r="Q21" s="7">
        <f>Q17+Q20</f>
        <v/>
      </c>
    </row>
    <row r="23">
      <c r="A23" s="8" t="inlineStr">
        <is>
          <t>SBC</t>
        </is>
      </c>
      <c r="B23" s="6" t="n">
        <v>355</v>
      </c>
      <c r="C23" s="6" t="n">
        <v>345</v>
      </c>
      <c r="D23" s="6" t="n">
        <v>340</v>
      </c>
      <c r="E23" s="6" t="n">
        <v>336</v>
      </c>
      <c r="F23" s="6" t="n">
        <v>330</v>
      </c>
      <c r="G23" s="6" t="n">
        <v>325</v>
      </c>
      <c r="H23" s="6" t="n">
        <v>322</v>
      </c>
      <c r="I23" s="6" t="n">
        <v>319</v>
      </c>
      <c r="J23" s="7">
        <f>ROUND(J7*Assumptions!H17,0)</f>
        <v/>
      </c>
      <c r="K23" s="7">
        <f>ROUND(K7*Assumptions!H17,0)</f>
        <v/>
      </c>
      <c r="L23" s="7">
        <f>ROUND(L7*Assumptions!H17,0)</f>
        <v/>
      </c>
      <c r="M23" s="7">
        <f>ROUND(M7*Assumptions!H17,0)</f>
        <v/>
      </c>
      <c r="N23" s="7">
        <f>ROUND(N7*Assumptions!I17,0)</f>
        <v/>
      </c>
      <c r="O23" s="7">
        <f>ROUND(O7*Assumptions!I17,0)</f>
        <v/>
      </c>
      <c r="P23" s="7">
        <f>ROUND(P7*Assumptions!I17,0)</f>
        <v/>
      </c>
      <c r="Q23" s="7">
        <f>ROUND(Q7*Assumptions!I17,0)</f>
        <v/>
      </c>
    </row>
    <row r="24">
      <c r="A24" s="8" t="inlineStr">
        <is>
          <t>Intangible Amort</t>
        </is>
      </c>
      <c r="B24" s="6" t="n">
        <v>16</v>
      </c>
      <c r="C24" s="6" t="n">
        <v>16</v>
      </c>
      <c r="D24" s="6" t="n">
        <v>17</v>
      </c>
      <c r="E24" s="6" t="n">
        <v>16</v>
      </c>
      <c r="F24" s="6" t="n">
        <v>14</v>
      </c>
      <c r="G24" s="6" t="n">
        <v>14</v>
      </c>
      <c r="H24" s="6" t="n">
        <v>14</v>
      </c>
      <c r="I24" s="6" t="n">
        <v>13</v>
      </c>
      <c r="J24" s="7">
        <f>ROUND(Assumptions!H19/4,0)</f>
        <v/>
      </c>
      <c r="K24" s="7">
        <f>ROUND(Assumptions!H19/4,0)</f>
        <v/>
      </c>
      <c r="L24" s="7">
        <f>ROUND(Assumptions!H19/4,0)</f>
        <v/>
      </c>
      <c r="M24" s="7">
        <f>ROUND(Assumptions!H19/4,0)</f>
        <v/>
      </c>
      <c r="N24" s="7">
        <f>ROUND(Assumptions!I19/4,0)</f>
        <v/>
      </c>
      <c r="O24" s="7">
        <f>ROUND(Assumptions!I19/4,0)</f>
        <v/>
      </c>
      <c r="P24" s="7">
        <f>ROUND(Assumptions!I19/4,0)</f>
        <v/>
      </c>
      <c r="Q24" s="7">
        <f>ROUND(Assumptions!I19/4,0)</f>
        <v/>
      </c>
    </row>
    <row r="25">
      <c r="A25" s="8" t="inlineStr">
        <is>
          <t>Restructuring</t>
        </is>
      </c>
      <c r="B25" s="6" t="n">
        <v>22</v>
      </c>
      <c r="C25" s="6" t="n">
        <v>20</v>
      </c>
      <c r="D25" s="6" t="n">
        <v>20</v>
      </c>
      <c r="E25" s="6" t="n">
        <v>18</v>
      </c>
      <c r="F25" s="6" t="n">
        <v>10</v>
      </c>
      <c r="G25" s="6" t="n">
        <v>9</v>
      </c>
      <c r="H25" s="6" t="n">
        <v>8</v>
      </c>
      <c r="I25" s="6" t="n">
        <v>8</v>
      </c>
      <c r="J25" s="7">
        <f>ROUND(Assumptions!H20/4,0)</f>
        <v/>
      </c>
      <c r="K25" s="7">
        <f>ROUND(Assumptions!H20/4,0)</f>
        <v/>
      </c>
      <c r="L25" s="7">
        <f>ROUND(Assumptions!H20/4,0)</f>
        <v/>
      </c>
      <c r="M25" s="7">
        <f>ROUND(Assumptions!H20/4,0)</f>
        <v/>
      </c>
      <c r="N25" s="7">
        <f>ROUND(Assumptions!I20/4,0)</f>
        <v/>
      </c>
      <c r="O25" s="7">
        <f>ROUND(Assumptions!I20/4,0)</f>
        <v/>
      </c>
      <c r="P25" s="7">
        <f>ROUND(Assumptions!I20/4,0)</f>
        <v/>
      </c>
      <c r="Q25" s="7">
        <f>ROUND(Assumptions!I20/4,0)</f>
        <v/>
      </c>
    </row>
    <row r="26">
      <c r="A26" s="5" t="inlineStr">
        <is>
          <t>GAAP Operating Income</t>
        </is>
      </c>
      <c r="B26" s="6">
        <f>B17-B23-B24-B25</f>
        <v/>
      </c>
      <c r="C26" s="6">
        <f>C17-C23-C24-C25</f>
        <v/>
      </c>
      <c r="D26" s="6">
        <f>D17-D23-D24-D25</f>
        <v/>
      </c>
      <c r="E26" s="6">
        <f>E17-E23-E24-E25</f>
        <v/>
      </c>
      <c r="F26" s="6">
        <f>F17-F23-F24-F25</f>
        <v/>
      </c>
      <c r="G26" s="6">
        <f>G17-G23-G24-G25</f>
        <v/>
      </c>
      <c r="H26" s="6">
        <f>H17-H23-H24-H25</f>
        <v/>
      </c>
      <c r="I26" s="6">
        <f>I17-I23-I24-I25</f>
        <v/>
      </c>
      <c r="J26" s="7">
        <f>J17-J23-J24-J25</f>
        <v/>
      </c>
      <c r="K26" s="7">
        <f>K17-K23-K24-K25</f>
        <v/>
      </c>
      <c r="L26" s="7">
        <f>L17-L23-L24-L25</f>
        <v/>
      </c>
      <c r="M26" s="7">
        <f>M17-M23-M24-M25</f>
        <v/>
      </c>
      <c r="N26" s="7">
        <f>N17-N23-N24-N25</f>
        <v/>
      </c>
      <c r="O26" s="7">
        <f>O17-O23-O24-O25</f>
        <v/>
      </c>
      <c r="P26" s="7">
        <f>P17-P23-P24-P25</f>
        <v/>
      </c>
      <c r="Q26" s="7">
        <f>Q17-Q23-Q24-Q25</f>
        <v/>
      </c>
    </row>
    <row r="28">
      <c r="A28" s="8" t="inlineStr">
        <is>
          <t>Interest &amp; Other</t>
        </is>
      </c>
      <c r="B28" s="6" t="n">
        <v>-25</v>
      </c>
      <c r="C28" s="6" t="n">
        <v>-25</v>
      </c>
      <c r="D28" s="6" t="n">
        <v>-25</v>
      </c>
      <c r="E28" s="6" t="n">
        <v>-25</v>
      </c>
      <c r="F28" s="6" t="n">
        <v>-24</v>
      </c>
      <c r="G28" s="6" t="n">
        <v>-24</v>
      </c>
      <c r="H28" s="6" t="n">
        <v>-24</v>
      </c>
      <c r="I28" s="6" t="n">
        <v>-23</v>
      </c>
      <c r="J28" s="7">
        <f>ROUND(-Assumptions!H32/4,0)</f>
        <v/>
      </c>
      <c r="K28" s="7">
        <f>ROUND(-Assumptions!H32/4,0)</f>
        <v/>
      </c>
      <c r="L28" s="7">
        <f>ROUND(-Assumptions!H32/4,0)</f>
        <v/>
      </c>
      <c r="M28" s="7">
        <f>ROUND(-Assumptions!H32/4,0)</f>
        <v/>
      </c>
      <c r="N28" s="7">
        <f>ROUND(-Assumptions!I32/4,0)</f>
        <v/>
      </c>
      <c r="O28" s="7">
        <f>ROUND(-Assumptions!I32/4,0)</f>
        <v/>
      </c>
      <c r="P28" s="7">
        <f>ROUND(-Assumptions!I32/4,0)</f>
        <v/>
      </c>
      <c r="Q28" s="7">
        <f>ROUND(-Assumptions!I32/4,0)</f>
        <v/>
      </c>
    </row>
    <row r="29">
      <c r="A29" s="5" t="inlineStr">
        <is>
          <t>Non-GAAP Pre-Tax</t>
        </is>
      </c>
      <c r="B29" s="6">
        <f>B17+B28</f>
        <v/>
      </c>
      <c r="C29" s="6">
        <f>C17+C28</f>
        <v/>
      </c>
      <c r="D29" s="6">
        <f>D17+D28</f>
        <v/>
      </c>
      <c r="E29" s="6">
        <f>E17+E28</f>
        <v/>
      </c>
      <c r="F29" s="6">
        <f>F17+F28</f>
        <v/>
      </c>
      <c r="G29" s="6">
        <f>G17+G28</f>
        <v/>
      </c>
      <c r="H29" s="6">
        <f>H17+H28</f>
        <v/>
      </c>
      <c r="I29" s="6">
        <f>I17+I28</f>
        <v/>
      </c>
      <c r="J29" s="7">
        <f>J17+J28</f>
        <v/>
      </c>
      <c r="K29" s="7">
        <f>K17+K28</f>
        <v/>
      </c>
      <c r="L29" s="7">
        <f>L17+L28</f>
        <v/>
      </c>
      <c r="M29" s="7">
        <f>M17+M28</f>
        <v/>
      </c>
      <c r="N29" s="7">
        <f>N17+N28</f>
        <v/>
      </c>
      <c r="O29" s="7">
        <f>O17+O28</f>
        <v/>
      </c>
      <c r="P29" s="7">
        <f>P17+P28</f>
        <v/>
      </c>
      <c r="Q29" s="7">
        <f>Q17+Q28</f>
        <v/>
      </c>
    </row>
    <row r="30">
      <c r="A30" s="8" t="inlineStr">
        <is>
          <t>Non-GAAP Tax</t>
        </is>
      </c>
      <c r="B30" s="6">
        <f>IF(B29&gt;0,ROUND(B29*0.08,0),0)</f>
        <v/>
      </c>
      <c r="C30" s="6">
        <f>IF(C29&gt;0,ROUND(C29*0.08,0),0)</f>
        <v/>
      </c>
      <c r="D30" s="6">
        <f>IF(D29&gt;0,ROUND(D29*0.08,0),0)</f>
        <v/>
      </c>
      <c r="E30" s="6">
        <f>IF(E29&gt;0,ROUND(E29*0.08,0),0)</f>
        <v/>
      </c>
      <c r="F30" s="6">
        <f>IF(F29&gt;0,ROUND(F29*0.08,0),0)</f>
        <v/>
      </c>
      <c r="G30" s="6">
        <f>IF(G29&gt;0,ROUND(G29*0.08,0),0)</f>
        <v/>
      </c>
      <c r="H30" s="6">
        <f>IF(H29&gt;0,ROUND(H29*0.08,0),0)</f>
        <v/>
      </c>
      <c r="I30" s="6">
        <f>IF(I29&gt;0,ROUND(I29*0.08,0),0)</f>
        <v/>
      </c>
      <c r="J30" s="7">
        <f>IF(J29&gt;0,ROUND(J29*Assumptions!H22,0),0)</f>
        <v/>
      </c>
      <c r="K30" s="7">
        <f>IF(K29&gt;0,ROUND(K29*Assumptions!H22,0),0)</f>
        <v/>
      </c>
      <c r="L30" s="7">
        <f>IF(L29&gt;0,ROUND(L29*Assumptions!H22,0),0)</f>
        <v/>
      </c>
      <c r="M30" s="7">
        <f>IF(M29&gt;0,ROUND(M29*Assumptions!H22,0),0)</f>
        <v/>
      </c>
      <c r="N30" s="7">
        <f>IF(N29&gt;0,ROUND(N29*Assumptions!I22,0),0)</f>
        <v/>
      </c>
      <c r="O30" s="7">
        <f>IF(O29&gt;0,ROUND(O29*Assumptions!I22,0),0)</f>
        <v/>
      </c>
      <c r="P30" s="7">
        <f>IF(P29&gt;0,ROUND(P29*Assumptions!I22,0),0)</f>
        <v/>
      </c>
      <c r="Q30" s="7">
        <f>IF(Q29&gt;0,ROUND(Q29*Assumptions!I22,0),0)</f>
        <v/>
      </c>
    </row>
    <row r="31">
      <c r="A31" s="5" t="inlineStr">
        <is>
          <t>Non-GAAP Net Income</t>
        </is>
      </c>
      <c r="B31" s="6">
        <f>B29-B30</f>
        <v/>
      </c>
      <c r="C31" s="6">
        <f>C29-C30</f>
        <v/>
      </c>
      <c r="D31" s="6">
        <f>D29-D30</f>
        <v/>
      </c>
      <c r="E31" s="6">
        <f>E29-E30</f>
        <v/>
      </c>
      <c r="F31" s="6">
        <f>F29-F30</f>
        <v/>
      </c>
      <c r="G31" s="6">
        <f>G29-G30</f>
        <v/>
      </c>
      <c r="H31" s="6">
        <f>H29-H30</f>
        <v/>
      </c>
      <c r="I31" s="6">
        <f>I29-I30</f>
        <v/>
      </c>
      <c r="J31" s="7">
        <f>J29-J30</f>
        <v/>
      </c>
      <c r="K31" s="7">
        <f>K29-K30</f>
        <v/>
      </c>
      <c r="L31" s="7">
        <f>L29-L30</f>
        <v/>
      </c>
      <c r="M31" s="7">
        <f>M29-M30</f>
        <v/>
      </c>
      <c r="N31" s="7">
        <f>N29-N30</f>
        <v/>
      </c>
      <c r="O31" s="7">
        <f>O29-O30</f>
        <v/>
      </c>
      <c r="P31" s="7">
        <f>P29-P30</f>
        <v/>
      </c>
      <c r="Q31" s="7">
        <f>Q29-Q30</f>
        <v/>
      </c>
    </row>
    <row r="33">
      <c r="A33" s="8" t="inlineStr">
        <is>
          <t>CapEx</t>
        </is>
      </c>
      <c r="B33" s="6" t="n">
        <v>-22</v>
      </c>
      <c r="C33" s="6" t="n">
        <v>-24</v>
      </c>
      <c r="D33" s="6" t="n">
        <v>-23</v>
      </c>
      <c r="E33" s="6" t="n">
        <v>-24</v>
      </c>
      <c r="F33" s="6" t="n">
        <v>-22</v>
      </c>
      <c r="G33" s="6" t="n">
        <v>-23</v>
      </c>
      <c r="H33" s="6" t="n">
        <v>-22</v>
      </c>
      <c r="I33" s="6" t="n">
        <v>-23</v>
      </c>
      <c r="J33" s="7">
        <f>ROUND(-Assumptions!H31/4,0)</f>
        <v/>
      </c>
      <c r="K33" s="7">
        <f>ROUND(-Assumptions!H31/4,0)</f>
        <v/>
      </c>
      <c r="L33" s="7">
        <f>ROUND(-Assumptions!H31/4,0)</f>
        <v/>
      </c>
      <c r="M33" s="7">
        <f>ROUND(-Assumptions!H31/4,0)</f>
        <v/>
      </c>
      <c r="N33" s="7">
        <f>ROUND(-Assumptions!I31/4,0)</f>
        <v/>
      </c>
      <c r="O33" s="7">
        <f>ROUND(-Assumptions!I31/4,0)</f>
        <v/>
      </c>
      <c r="P33" s="7">
        <f>ROUND(-Assumptions!I31/4,0)</f>
        <v/>
      </c>
      <c r="Q33" s="7">
        <f>ROUND(-Assumptions!I31/4,0)</f>
        <v/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Snap Inc. (SNAP) - Share Count &amp; Dilution</t>
        </is>
      </c>
    </row>
    <row r="3">
      <c r="A3" s="2" t="inlineStr"/>
      <c r="B3" s="2" t="inlineStr">
        <is>
          <t>2019</t>
        </is>
      </c>
      <c r="C3" s="2" t="inlineStr">
        <is>
          <t>2020</t>
        </is>
      </c>
      <c r="D3" s="2" t="inlineStr">
        <is>
          <t>2021</t>
        </is>
      </c>
      <c r="E3" s="2" t="inlineStr">
        <is>
          <t>2022</t>
        </is>
      </c>
      <c r="F3" s="2" t="inlineStr">
        <is>
          <t>2023</t>
        </is>
      </c>
      <c r="G3" s="2" t="inlineStr">
        <is>
          <t>2024</t>
        </is>
      </c>
      <c r="H3" s="2" t="inlineStr">
        <is>
          <t>2025E</t>
        </is>
      </c>
      <c r="I3" s="2" t="inlineStr">
        <is>
          <t>2026E</t>
        </is>
      </c>
      <c r="J3" s="2" t="inlineStr">
        <is>
          <t>2027E</t>
        </is>
      </c>
      <c r="K3" s="2" t="inlineStr">
        <is>
          <t>2028E</t>
        </is>
      </c>
    </row>
    <row r="4">
      <c r="A4" s="3" t="inlineStr"/>
      <c r="B4" s="3" t="inlineStr">
        <is>
          <t>Historical</t>
        </is>
      </c>
      <c r="C4" s="3" t="inlineStr">
        <is>
          <t>Historical</t>
        </is>
      </c>
      <c r="D4" s="3" t="inlineStr">
        <is>
          <t>Historical</t>
        </is>
      </c>
      <c r="E4" s="3" t="inlineStr">
        <is>
          <t>Historical</t>
        </is>
      </c>
      <c r="F4" s="3" t="inlineStr">
        <is>
          <t>Historical</t>
        </is>
      </c>
      <c r="G4" s="3" t="inlineStr">
        <is>
          <t>Historical</t>
        </is>
      </c>
      <c r="H4" s="3" t="inlineStr">
        <is>
          <t>Forecast</t>
        </is>
      </c>
      <c r="I4" s="3" t="inlineStr">
        <is>
          <t>Forecast</t>
        </is>
      </c>
      <c r="J4" s="3" t="inlineStr">
        <is>
          <t>Forecast</t>
        </is>
      </c>
      <c r="K4" s="3" t="inlineStr">
        <is>
          <t>Forecast</t>
        </is>
      </c>
    </row>
    <row r="5">
      <c r="A5" s="5" t="inlineStr">
        <is>
          <t>Diluted Shares (M)</t>
        </is>
      </c>
      <c r="B5" s="6">
        <f>Assumptions!B48</f>
        <v/>
      </c>
      <c r="C5" s="6">
        <f>Assumptions!C48</f>
        <v/>
      </c>
      <c r="D5" s="6">
        <f>Assumptions!D48</f>
        <v/>
      </c>
      <c r="E5" s="6">
        <f>Assumptions!E48</f>
        <v/>
      </c>
      <c r="F5" s="6">
        <f>Assumptions!F48</f>
        <v/>
      </c>
      <c r="G5" s="6">
        <f>Assumptions!G48</f>
        <v/>
      </c>
      <c r="H5" s="7">
        <f>Assumptions!H48</f>
        <v/>
      </c>
      <c r="I5" s="7">
        <f>Assumptions!I48</f>
        <v/>
      </c>
      <c r="J5" s="7">
        <f>Assumptions!J48</f>
        <v/>
      </c>
      <c r="K5" s="7">
        <f>Assumptions!K48</f>
        <v/>
      </c>
    </row>
    <row r="6">
      <c r="A6" s="8" t="inlineStr">
        <is>
          <t xml:space="preserve">  YoY Dilution</t>
        </is>
      </c>
      <c r="C6" s="9">
        <f>C5/B5-1</f>
        <v/>
      </c>
      <c r="D6" s="9">
        <f>D5/C5-1</f>
        <v/>
      </c>
      <c r="E6" s="9">
        <f>E5/D5-1</f>
        <v/>
      </c>
      <c r="F6" s="9">
        <f>F5/E5-1</f>
        <v/>
      </c>
      <c r="G6" s="9">
        <f>G5/F5-1</f>
        <v/>
      </c>
      <c r="H6" s="10">
        <f>H5/G5-1</f>
        <v/>
      </c>
      <c r="I6" s="10">
        <f>I5/H5-1</f>
        <v/>
      </c>
      <c r="J6" s="10">
        <f>J5/I5-1</f>
        <v/>
      </c>
      <c r="K6" s="10">
        <f>K5/J5-1</f>
        <v/>
      </c>
    </row>
    <row r="7">
      <c r="A7" s="8" t="inlineStr">
        <is>
          <t>SBC ($M)</t>
        </is>
      </c>
      <c r="B7" s="6">
        <f>'Non-GAAP P&amp;L'!B41</f>
        <v/>
      </c>
      <c r="C7" s="6">
        <f>'Non-GAAP P&amp;L'!C41</f>
        <v/>
      </c>
      <c r="D7" s="6">
        <f>'Non-GAAP P&amp;L'!D41</f>
        <v/>
      </c>
      <c r="E7" s="6">
        <f>'Non-GAAP P&amp;L'!E41</f>
        <v/>
      </c>
      <c r="F7" s="6">
        <f>'Non-GAAP P&amp;L'!F41</f>
        <v/>
      </c>
      <c r="G7" s="6">
        <f>'Non-GAAP P&amp;L'!G41</f>
        <v/>
      </c>
      <c r="H7" s="7">
        <f>'Non-GAAP P&amp;L'!H41</f>
        <v/>
      </c>
      <c r="I7" s="7">
        <f>'Non-GAAP P&amp;L'!I41</f>
        <v/>
      </c>
      <c r="J7" s="7">
        <f>'Non-GAAP P&amp;L'!J41</f>
        <v/>
      </c>
      <c r="K7" s="7">
        <f>'Non-GAAP P&amp;L'!K41</f>
        <v/>
      </c>
    </row>
    <row r="8">
      <c r="A8" s="5" t="inlineStr">
        <is>
          <t>Non-GAAP EPS</t>
        </is>
      </c>
      <c r="B8" s="11">
        <f>'Non-GAAP P&amp;L'!B38</f>
        <v/>
      </c>
      <c r="C8" s="11">
        <f>'Non-GAAP P&amp;L'!C38</f>
        <v/>
      </c>
      <c r="D8" s="11">
        <f>'Non-GAAP P&amp;L'!D38</f>
        <v/>
      </c>
      <c r="E8" s="11">
        <f>'Non-GAAP P&amp;L'!E38</f>
        <v/>
      </c>
      <c r="F8" s="11">
        <f>'Non-GAAP P&amp;L'!F38</f>
        <v/>
      </c>
      <c r="G8" s="11">
        <f>'Non-GAAP P&amp;L'!G38</f>
        <v/>
      </c>
      <c r="H8" s="12">
        <f>'Non-GAAP P&amp;L'!H38</f>
        <v/>
      </c>
      <c r="I8" s="12">
        <f>'Non-GAAP P&amp;L'!I38</f>
        <v/>
      </c>
      <c r="J8" s="12">
        <f>'Non-GAAP P&amp;L'!J38</f>
        <v/>
      </c>
      <c r="K8" s="12">
        <f>'Non-GAAP P&amp;L'!K38</f>
        <v/>
      </c>
    </row>
    <row r="9">
      <c r="A9" s="8" t="inlineStr">
        <is>
          <t>GAAP EPS</t>
        </is>
      </c>
      <c r="B9" s="11">
        <f>'GAAP Reconciliation'!B46</f>
        <v/>
      </c>
      <c r="C9" s="11">
        <f>'GAAP Reconciliation'!C46</f>
        <v/>
      </c>
      <c r="D9" s="11">
        <f>'GAAP Reconciliation'!D46</f>
        <v/>
      </c>
      <c r="E9" s="11">
        <f>'GAAP Reconciliation'!E46</f>
        <v/>
      </c>
      <c r="F9" s="11">
        <f>'GAAP Reconciliation'!F46</f>
        <v/>
      </c>
      <c r="G9" s="11">
        <f>'GAAP Reconciliation'!G46</f>
        <v/>
      </c>
      <c r="H9" s="12">
        <f>'GAAP Reconciliation'!H46</f>
        <v/>
      </c>
      <c r="I9" s="12">
        <f>'GAAP Reconciliation'!I46</f>
        <v/>
      </c>
      <c r="J9" s="12">
        <f>'GAAP Reconciliation'!J46</f>
        <v/>
      </c>
      <c r="K9" s="12">
        <f>'GAAP Reconciliation'!K46</f>
        <v/>
      </c>
    </row>
    <row r="12">
      <c r="A12" s="1" t="inlineStr">
        <is>
          <t>Quarterly Dilution Schedule (Next 8 Quarters)</t>
        </is>
      </c>
    </row>
    <row r="14">
      <c r="A14" s="2" t="inlineStr"/>
      <c r="B14" s="2" t="inlineStr">
        <is>
          <t>Q1-25E</t>
        </is>
      </c>
      <c r="C14" s="2" t="inlineStr">
        <is>
          <t>Q2-25E</t>
        </is>
      </c>
      <c r="D14" s="2" t="inlineStr">
        <is>
          <t>Q3-25E</t>
        </is>
      </c>
      <c r="E14" s="2" t="inlineStr">
        <is>
          <t>Q4-25E</t>
        </is>
      </c>
      <c r="F14" s="2" t="inlineStr">
        <is>
          <t>Q1-26E</t>
        </is>
      </c>
      <c r="G14" s="2" t="inlineStr">
        <is>
          <t>Q2-26E</t>
        </is>
      </c>
      <c r="H14" s="2" t="inlineStr">
        <is>
          <t>Q3-26E</t>
        </is>
      </c>
      <c r="I14" s="2" t="inlineStr">
        <is>
          <t>Q4-26E</t>
        </is>
      </c>
    </row>
    <row r="15">
      <c r="A15" s="8" t="inlineStr">
        <is>
          <t>Beginning Shares (M)</t>
        </is>
      </c>
      <c r="B15" s="6">
        <f>Assumptions!G48</f>
        <v/>
      </c>
      <c r="C15" s="6">
        <f>B19</f>
        <v/>
      </c>
      <c r="D15" s="6">
        <f>C19</f>
        <v/>
      </c>
      <c r="E15" s="6">
        <f>D19</f>
        <v/>
      </c>
      <c r="F15" s="6">
        <f>E19</f>
        <v/>
      </c>
      <c r="G15" s="6">
        <f>F19</f>
        <v/>
      </c>
      <c r="H15" s="6">
        <f>G19</f>
        <v/>
      </c>
      <c r="I15" s="6">
        <f>H19</f>
        <v/>
      </c>
    </row>
    <row r="16">
      <c r="A16" s="8" t="inlineStr">
        <is>
          <t>(+) RSU Vesting</t>
        </is>
      </c>
      <c r="B16" s="15" t="n">
        <v>12</v>
      </c>
      <c r="C16" s="15" t="n">
        <v>11</v>
      </c>
      <c r="D16" s="15" t="n">
        <v>13</v>
      </c>
      <c r="E16" s="15" t="n">
        <v>12</v>
      </c>
      <c r="F16" s="15" t="n">
        <v>11</v>
      </c>
      <c r="G16" s="15" t="n">
        <v>10</v>
      </c>
      <c r="H16" s="15" t="n">
        <v>12</v>
      </c>
      <c r="I16" s="15" t="n">
        <v>11</v>
      </c>
    </row>
    <row r="17">
      <c r="A17" s="8" t="inlineStr">
        <is>
          <t>(-) Buybacks</t>
        </is>
      </c>
      <c r="B17" s="15" t="n">
        <v>5</v>
      </c>
      <c r="C17" s="15" t="n">
        <v>5</v>
      </c>
      <c r="D17" s="15" t="n">
        <v>5</v>
      </c>
      <c r="E17" s="15" t="n">
        <v>5</v>
      </c>
      <c r="F17" s="15" t="n">
        <v>5</v>
      </c>
      <c r="G17" s="15" t="n">
        <v>5</v>
      </c>
      <c r="H17" s="15" t="n">
        <v>5</v>
      </c>
      <c r="I17" s="15" t="n">
        <v>5</v>
      </c>
    </row>
    <row r="18">
      <c r="A18" s="8" t="inlineStr">
        <is>
          <t>(+/-) Other</t>
        </is>
      </c>
      <c r="B18" s="15" t="n">
        <v>3</v>
      </c>
      <c r="C18" s="15" t="n">
        <v>4</v>
      </c>
      <c r="D18" s="15" t="n">
        <v>2</v>
      </c>
      <c r="E18" s="15" t="n">
        <v>3</v>
      </c>
      <c r="F18" s="15" t="n">
        <v>3</v>
      </c>
      <c r="G18" s="15" t="n">
        <v>3</v>
      </c>
      <c r="H18" s="15" t="n">
        <v>1</v>
      </c>
      <c r="I18" s="15" t="n">
        <v>3</v>
      </c>
    </row>
    <row r="19">
      <c r="A19" s="5" t="inlineStr">
        <is>
          <t>Ending Shares (M)</t>
        </is>
      </c>
      <c r="B19" s="13">
        <f>B15+B16-B17+B18</f>
        <v/>
      </c>
      <c r="C19" s="13">
        <f>C15+C16-C17+C18</f>
        <v/>
      </c>
      <c r="D19" s="13">
        <f>D15+D16-D17+D18</f>
        <v/>
      </c>
      <c r="E19" s="13">
        <f>E15+E16-E17+E18</f>
        <v/>
      </c>
      <c r="F19" s="13">
        <f>F15+F16-F17+F18</f>
        <v/>
      </c>
      <c r="G19" s="13">
        <f>G15+G16-G17+G18</f>
        <v/>
      </c>
      <c r="H19" s="13">
        <f>H15+H16-H17+H18</f>
        <v/>
      </c>
      <c r="I19" s="13">
        <f>I15+I16-I17+I18</f>
        <v/>
      </c>
    </row>
    <row r="21">
      <c r="A21" s="8" t="inlineStr">
        <is>
          <t>Memo: New RSU Grants</t>
        </is>
      </c>
      <c r="B21" s="15" t="n">
        <v>8</v>
      </c>
      <c r="C21" s="15" t="n">
        <v>8</v>
      </c>
      <c r="D21" s="15" t="n">
        <v>8</v>
      </c>
      <c r="E21" s="15" t="n">
        <v>8</v>
      </c>
      <c r="F21" s="15" t="n">
        <v>7</v>
      </c>
      <c r="G21" s="15" t="n">
        <v>7</v>
      </c>
      <c r="H21" s="15" t="n">
        <v>7</v>
      </c>
      <c r="I21" s="15" t="n">
        <v>7</v>
      </c>
    </row>
    <row r="22">
      <c r="A22" s="8" t="inlineStr">
        <is>
          <t>Memo: Quarterly SBC ($M)</t>
        </is>
      </c>
      <c r="B22" s="6">
        <f>'Quarterly Detail'!J23</f>
        <v/>
      </c>
      <c r="C22" s="6">
        <f>'Quarterly Detail'!K23</f>
        <v/>
      </c>
      <c r="D22" s="6">
        <f>'Quarterly Detail'!L23</f>
        <v/>
      </c>
      <c r="E22" s="6">
        <f>'Quarterly Detail'!M23</f>
        <v/>
      </c>
      <c r="F22" s="6">
        <f>'Quarterly Detail'!N23</f>
        <v/>
      </c>
      <c r="G22" s="6">
        <f>'Quarterly Detail'!O23</f>
        <v/>
      </c>
      <c r="H22" s="6">
        <f>'Quarterly Detail'!P23</f>
        <v/>
      </c>
      <c r="I22" s="6">
        <f>'Quarterly Detail'!Q23</f>
        <v/>
      </c>
    </row>
    <row r="23">
      <c r="A23" s="8" t="inlineStr">
        <is>
          <t>Memo: SBC / Share ($)</t>
        </is>
      </c>
      <c r="B23" s="11">
        <f>ROUND(B22/B19,2)</f>
        <v/>
      </c>
      <c r="C23" s="11">
        <f>ROUND(C22/C19,2)</f>
        <v/>
      </c>
      <c r="D23" s="11">
        <f>ROUND(D22/D19,2)</f>
        <v/>
      </c>
      <c r="E23" s="11">
        <f>ROUND(E22/E19,2)</f>
        <v/>
      </c>
      <c r="F23" s="11">
        <f>ROUND(F22/F19,2)</f>
        <v/>
      </c>
      <c r="G23" s="11">
        <f>ROUND(G22/G19,2)</f>
        <v/>
      </c>
      <c r="H23" s="11">
        <f>ROUND(H22/H19,2)</f>
        <v/>
      </c>
      <c r="I23" s="11">
        <f>ROUND(I22/I19,2)</f>
        <v/>
      </c>
    </row>
    <row r="25">
      <c r="A25" s="4" t="inlineStr">
        <is>
          <t>Outstanding Equity Awards (est.)</t>
        </is>
      </c>
    </row>
    <row r="26">
      <c r="A26" s="8" t="inlineStr">
        <is>
          <t xml:space="preserve">  Unvested RSUs (M)</t>
        </is>
      </c>
      <c r="B26" s="6" t="n">
        <v>120</v>
      </c>
      <c r="C26" s="6" t="n">
        <v>117</v>
      </c>
      <c r="D26" s="6" t="n">
        <v>112</v>
      </c>
      <c r="E26" s="6" t="n">
        <v>108</v>
      </c>
      <c r="F26" s="6" t="n">
        <v>104</v>
      </c>
      <c r="G26" s="6" t="n">
        <v>101</v>
      </c>
      <c r="H26" s="6" t="n">
        <v>96</v>
      </c>
      <c r="I26" s="6" t="n">
        <v>92</v>
      </c>
    </row>
    <row r="27">
      <c r="A27" s="8" t="inlineStr">
        <is>
          <t xml:space="preserve">  Vested Options (M)</t>
        </is>
      </c>
      <c r="B27" s="6" t="n">
        <v>15</v>
      </c>
      <c r="C27" s="6" t="n">
        <v>14</v>
      </c>
      <c r="D27" s="6" t="n">
        <v>13</v>
      </c>
      <c r="E27" s="6" t="n">
        <v>12</v>
      </c>
      <c r="F27" s="6" t="n">
        <v>11</v>
      </c>
      <c r="G27" s="6" t="n">
        <v>10</v>
      </c>
      <c r="H27" s="6" t="n">
        <v>9</v>
      </c>
      <c r="I27" s="6" t="n">
        <v>8</v>
      </c>
    </row>
  </sheetData>
  <mergeCells count="2">
    <mergeCell ref="A12:I1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Snap Inc. (SNAP) - Sensitivity Analysis</t>
        </is>
      </c>
    </row>
    <row r="4">
      <c r="A4" s="16" t="inlineStr">
        <is>
          <t>TABLE 1: FY2026E Revenue ($M)</t>
        </is>
      </c>
    </row>
    <row r="6">
      <c r="A6" s="5" t="inlineStr">
        <is>
          <t>DAU Growth / ARPU Growth -&gt;</t>
        </is>
      </c>
      <c r="B6" s="17" t="n">
        <v>0.04</v>
      </c>
      <c r="C6" s="17" t="n">
        <v>0.06</v>
      </c>
      <c r="D6" s="17" t="n">
        <v>0.09</v>
      </c>
      <c r="E6" s="17" t="n">
        <v>0.12</v>
      </c>
      <c r="F6" s="17" t="n">
        <v>0.15</v>
      </c>
    </row>
    <row r="7">
      <c r="A7" s="18" t="n">
        <v>0.02</v>
      </c>
      <c r="B7" s="19">
        <f>ROUND(('Revenue Build'!H7*(1+$A7))*('Revenue Build'!H11*(1+B$6)),0)</f>
        <v/>
      </c>
      <c r="C7" s="19">
        <f>ROUND(('Revenue Build'!H7*(1+$A7))*('Revenue Build'!H11*(1+C$6)),0)</f>
        <v/>
      </c>
      <c r="D7" s="19">
        <f>ROUND(('Revenue Build'!H7*(1+$A7))*('Revenue Build'!H11*(1+D$6)),0)</f>
        <v/>
      </c>
      <c r="E7" s="19">
        <f>ROUND(('Revenue Build'!H7*(1+$A7))*('Revenue Build'!H11*(1+E$6)),0)</f>
        <v/>
      </c>
      <c r="F7" s="19">
        <f>ROUND(('Revenue Build'!H7*(1+$A7))*('Revenue Build'!H11*(1+F$6)),0)</f>
        <v/>
      </c>
    </row>
    <row r="8">
      <c r="A8" s="18" t="n">
        <v>0.035</v>
      </c>
      <c r="B8" s="19">
        <f>ROUND(('Revenue Build'!H7*(1+$A8))*('Revenue Build'!H11*(1+B$6)),0)</f>
        <v/>
      </c>
      <c r="C8" s="19">
        <f>ROUND(('Revenue Build'!H7*(1+$A8))*('Revenue Build'!H11*(1+C$6)),0)</f>
        <v/>
      </c>
      <c r="D8" s="19">
        <f>ROUND(('Revenue Build'!H7*(1+$A8))*('Revenue Build'!H11*(1+D$6)),0)</f>
        <v/>
      </c>
      <c r="E8" s="19">
        <f>ROUND(('Revenue Build'!H7*(1+$A8))*('Revenue Build'!H11*(1+E$6)),0)</f>
        <v/>
      </c>
      <c r="F8" s="19">
        <f>ROUND(('Revenue Build'!H7*(1+$A8))*('Revenue Build'!H11*(1+F$6)),0)</f>
        <v/>
      </c>
    </row>
    <row r="9">
      <c r="A9" s="18" t="n">
        <v>0.055</v>
      </c>
      <c r="B9" s="19">
        <f>ROUND(('Revenue Build'!H7*(1+$A9))*('Revenue Build'!H11*(1+B$6)),0)</f>
        <v/>
      </c>
      <c r="C9" s="19">
        <f>ROUND(('Revenue Build'!H7*(1+$A9))*('Revenue Build'!H11*(1+C$6)),0)</f>
        <v/>
      </c>
      <c r="D9" s="20">
        <f>ROUND(('Revenue Build'!H7*(1+$A9))*('Revenue Build'!H11*(1+D$6)),0)</f>
        <v/>
      </c>
      <c r="E9" s="19">
        <f>ROUND(('Revenue Build'!H7*(1+$A9))*('Revenue Build'!H11*(1+E$6)),0)</f>
        <v/>
      </c>
      <c r="F9" s="19">
        <f>ROUND(('Revenue Build'!H7*(1+$A9))*('Revenue Build'!H11*(1+F$6)),0)</f>
        <v/>
      </c>
    </row>
    <row r="10">
      <c r="A10" s="18" t="n">
        <v>0.07000000000000001</v>
      </c>
      <c r="B10" s="19">
        <f>ROUND(('Revenue Build'!H7*(1+$A10))*('Revenue Build'!H11*(1+B$6)),0)</f>
        <v/>
      </c>
      <c r="C10" s="19">
        <f>ROUND(('Revenue Build'!H7*(1+$A10))*('Revenue Build'!H11*(1+C$6)),0)</f>
        <v/>
      </c>
      <c r="D10" s="19">
        <f>ROUND(('Revenue Build'!H7*(1+$A10))*('Revenue Build'!H11*(1+D$6)),0)</f>
        <v/>
      </c>
      <c r="E10" s="19">
        <f>ROUND(('Revenue Build'!H7*(1+$A10))*('Revenue Build'!H11*(1+E$6)),0)</f>
        <v/>
      </c>
      <c r="F10" s="19">
        <f>ROUND(('Revenue Build'!H7*(1+$A10))*('Revenue Build'!H11*(1+F$6)),0)</f>
        <v/>
      </c>
    </row>
    <row r="11">
      <c r="A11" s="18" t="n">
        <v>0.08500000000000001</v>
      </c>
      <c r="B11" s="19">
        <f>ROUND(('Revenue Build'!H7*(1+$A11))*('Revenue Build'!H11*(1+B$6)),0)</f>
        <v/>
      </c>
      <c r="C11" s="19">
        <f>ROUND(('Revenue Build'!H7*(1+$A11))*('Revenue Build'!H11*(1+C$6)),0)</f>
        <v/>
      </c>
      <c r="D11" s="19">
        <f>ROUND(('Revenue Build'!H7*(1+$A11))*('Revenue Build'!H11*(1+D$6)),0)</f>
        <v/>
      </c>
      <c r="E11" s="19">
        <f>ROUND(('Revenue Build'!H7*(1+$A11))*('Revenue Build'!H11*(1+E$6)),0)</f>
        <v/>
      </c>
      <c r="F11" s="19">
        <f>ROUND(('Revenue Build'!H7*(1+$A11))*('Revenue Build'!H11*(1+F$6)),0)</f>
        <v/>
      </c>
    </row>
    <row r="15">
      <c r="A15" s="16" t="inlineStr">
        <is>
          <t>TABLE 2: FY2026E Adj EBITDA ($M)</t>
        </is>
      </c>
    </row>
    <row r="17">
      <c r="A17" s="5" t="inlineStr">
        <is>
          <t>Rev Growth / Adj EBITDA Margin -&gt;</t>
        </is>
      </c>
      <c r="B17" s="17" t="n">
        <v>0.1</v>
      </c>
      <c r="C17" s="17" t="n">
        <v>0.14</v>
      </c>
      <c r="D17" s="17" t="n">
        <v>0.18</v>
      </c>
      <c r="E17" s="17" t="n">
        <v>0.22</v>
      </c>
      <c r="F17" s="17" t="n">
        <v>0.26</v>
      </c>
    </row>
    <row r="18">
      <c r="A18" s="18" t="n">
        <v>0.1</v>
      </c>
      <c r="B18" s="19">
        <f>ROUND('Revenue Build'!H15*(1+$A18)*B$17,0)</f>
        <v/>
      </c>
      <c r="C18" s="19">
        <f>ROUND('Revenue Build'!H15*(1+$A18)*C$17,0)</f>
        <v/>
      </c>
      <c r="D18" s="19">
        <f>ROUND('Revenue Build'!H15*(1+$A18)*D$17,0)</f>
        <v/>
      </c>
      <c r="E18" s="19">
        <f>ROUND('Revenue Build'!H15*(1+$A18)*E$17,0)</f>
        <v/>
      </c>
      <c r="F18" s="19">
        <f>ROUND('Revenue Build'!H15*(1+$A18)*F$17,0)</f>
        <v/>
      </c>
    </row>
    <row r="19">
      <c r="A19" s="18" t="n">
        <v>0.14</v>
      </c>
      <c r="B19" s="19">
        <f>ROUND('Revenue Build'!H15*(1+$A19)*B$17,0)</f>
        <v/>
      </c>
      <c r="C19" s="19">
        <f>ROUND('Revenue Build'!H15*(1+$A19)*C$17,0)</f>
        <v/>
      </c>
      <c r="D19" s="19">
        <f>ROUND('Revenue Build'!H15*(1+$A19)*D$17,0)</f>
        <v/>
      </c>
      <c r="E19" s="19">
        <f>ROUND('Revenue Build'!H15*(1+$A19)*E$17,0)</f>
        <v/>
      </c>
      <c r="F19" s="19">
        <f>ROUND('Revenue Build'!H15*(1+$A19)*F$17,0)</f>
        <v/>
      </c>
    </row>
    <row r="20">
      <c r="A20" s="18" t="n">
        <v>0.17</v>
      </c>
      <c r="B20" s="19">
        <f>ROUND('Revenue Build'!H15*(1+$A20)*B$17,0)</f>
        <v/>
      </c>
      <c r="C20" s="19">
        <f>ROUND('Revenue Build'!H15*(1+$A20)*C$17,0)</f>
        <v/>
      </c>
      <c r="D20" s="20">
        <f>ROUND('Revenue Build'!H15*(1+$A20)*D$17,0)</f>
        <v/>
      </c>
      <c r="E20" s="19">
        <f>ROUND('Revenue Build'!H15*(1+$A20)*E$17,0)</f>
        <v/>
      </c>
      <c r="F20" s="19">
        <f>ROUND('Revenue Build'!H15*(1+$A20)*F$17,0)</f>
        <v/>
      </c>
    </row>
    <row r="21">
      <c r="A21" s="18" t="n">
        <v>0.2</v>
      </c>
      <c r="B21" s="19">
        <f>ROUND('Revenue Build'!H15*(1+$A21)*B$17,0)</f>
        <v/>
      </c>
      <c r="C21" s="19">
        <f>ROUND('Revenue Build'!H15*(1+$A21)*C$17,0)</f>
        <v/>
      </c>
      <c r="D21" s="19">
        <f>ROUND('Revenue Build'!H15*(1+$A21)*D$17,0)</f>
        <v/>
      </c>
      <c r="E21" s="19">
        <f>ROUND('Revenue Build'!H15*(1+$A21)*E$17,0)</f>
        <v/>
      </c>
      <c r="F21" s="19">
        <f>ROUND('Revenue Build'!H15*(1+$A21)*F$17,0)</f>
        <v/>
      </c>
    </row>
    <row r="22">
      <c r="A22" s="18" t="n">
        <v>0.24</v>
      </c>
      <c r="B22" s="19">
        <f>ROUND('Revenue Build'!H15*(1+$A22)*B$17,0)</f>
        <v/>
      </c>
      <c r="C22" s="19">
        <f>ROUND('Revenue Build'!H15*(1+$A22)*C$17,0)</f>
        <v/>
      </c>
      <c r="D22" s="19">
        <f>ROUND('Revenue Build'!H15*(1+$A22)*D$17,0)</f>
        <v/>
      </c>
      <c r="E22" s="19">
        <f>ROUND('Revenue Build'!H15*(1+$A22)*E$17,0)</f>
        <v/>
      </c>
      <c r="F22" s="19">
        <f>ROUND('Revenue Build'!H15*(1+$A22)*F$17,0)</f>
        <v/>
      </c>
    </row>
    <row r="26">
      <c r="A26" s="16" t="inlineStr">
        <is>
          <t>TABLE 3: DCF Implied Share Price ($)</t>
        </is>
      </c>
    </row>
    <row r="28">
      <c r="A28" s="16" t="inlineStr">
        <is>
          <t>DCF Helper Data:</t>
        </is>
      </c>
    </row>
    <row r="29">
      <c r="A29" s="8" t="inlineStr">
        <is>
          <t>FCF 25E</t>
        </is>
      </c>
      <c r="B29" s="6">
        <f>'Cash Flow &amp; FCF Bridge'!H26</f>
        <v/>
      </c>
    </row>
    <row r="30">
      <c r="A30" s="8" t="inlineStr">
        <is>
          <t>FCF 26E</t>
        </is>
      </c>
      <c r="B30" s="6">
        <f>'Cash Flow &amp; FCF Bridge'!I26</f>
        <v/>
      </c>
    </row>
    <row r="31">
      <c r="A31" s="8" t="inlineStr">
        <is>
          <t>FCF 27E</t>
        </is>
      </c>
      <c r="B31" s="6">
        <f>'Cash Flow &amp; FCF Bridge'!J26</f>
        <v/>
      </c>
    </row>
    <row r="32">
      <c r="A32" s="8" t="inlineStr">
        <is>
          <t>FCF 28E</t>
        </is>
      </c>
      <c r="B32" s="6">
        <f>'Cash Flow &amp; FCF Bridge'!K26</f>
        <v/>
      </c>
    </row>
    <row r="33">
      <c r="A33" s="8" t="inlineStr">
        <is>
          <t>Net Debt</t>
        </is>
      </c>
      <c r="B33" s="6">
        <f>Assumptions!H40-'Cash Flow &amp; FCF Bridge'!H24</f>
        <v/>
      </c>
    </row>
    <row r="34">
      <c r="A34" s="8" t="inlineStr">
        <is>
          <t>Shares</t>
        </is>
      </c>
      <c r="B34" s="6">
        <f>Assumptions!I48</f>
        <v/>
      </c>
    </row>
    <row r="36">
      <c r="A36" s="5" t="inlineStr">
        <is>
          <t>WACC / Terminal Growth -&gt;</t>
        </is>
      </c>
      <c r="B36" s="17" t="n">
        <v>0.02</v>
      </c>
      <c r="C36" s="17" t="n">
        <v>0.025</v>
      </c>
      <c r="D36" s="17" t="n">
        <v>0.03</v>
      </c>
      <c r="E36" s="17" t="n">
        <v>0.035</v>
      </c>
      <c r="F36" s="17" t="n">
        <v>0.04</v>
      </c>
    </row>
    <row r="37">
      <c r="A37" s="18" t="n">
        <v>0.09</v>
      </c>
      <c r="B37" s="21">
        <f>ROUND(($B$29/(1+$A37)^1+$B$30/(1+$A37)^2+$B$31/(1+$A37)^3+$B$32/(1+$A37)^4+$B$32*(1+B$36)/($A37-B$36)/(1+$A37)^4-$B$33)/$B$34,1)</f>
        <v/>
      </c>
      <c r="C37" s="21">
        <f>ROUND(($B$29/(1+$A37)^1+$B$30/(1+$A37)^2+$B$31/(1+$A37)^3+$B$32/(1+$A37)^4+$B$32*(1+C$36)/($A37-C$36)/(1+$A37)^4-$B$33)/$B$34,1)</f>
        <v/>
      </c>
      <c r="D37" s="21">
        <f>ROUND(($B$29/(1+$A37)^1+$B$30/(1+$A37)^2+$B$31/(1+$A37)^3+$B$32/(1+$A37)^4+$B$32*(1+D$36)/($A37-D$36)/(1+$A37)^4-$B$33)/$B$34,1)</f>
        <v/>
      </c>
      <c r="E37" s="21">
        <f>ROUND(($B$29/(1+$A37)^1+$B$30/(1+$A37)^2+$B$31/(1+$A37)^3+$B$32/(1+$A37)^4+$B$32*(1+E$36)/($A37-E$36)/(1+$A37)^4-$B$33)/$B$34,1)</f>
        <v/>
      </c>
      <c r="F37" s="21">
        <f>ROUND(($B$29/(1+$A37)^1+$B$30/(1+$A37)^2+$B$31/(1+$A37)^3+$B$32/(1+$A37)^4+$B$32*(1+F$36)/($A37-F$36)/(1+$A37)^4-$B$33)/$B$34,1)</f>
        <v/>
      </c>
    </row>
    <row r="38">
      <c r="A38" s="18" t="n">
        <v>0.1</v>
      </c>
      <c r="B38" s="21">
        <f>ROUND(($B$29/(1+$A38)^1+$B$30/(1+$A38)^2+$B$31/(1+$A38)^3+$B$32/(1+$A38)^4+$B$32*(1+B$36)/($A38-B$36)/(1+$A38)^4-$B$33)/$B$34,1)</f>
        <v/>
      </c>
      <c r="C38" s="21">
        <f>ROUND(($B$29/(1+$A38)^1+$B$30/(1+$A38)^2+$B$31/(1+$A38)^3+$B$32/(1+$A38)^4+$B$32*(1+C$36)/($A38-C$36)/(1+$A38)^4-$B$33)/$B$34,1)</f>
        <v/>
      </c>
      <c r="D38" s="21">
        <f>ROUND(($B$29/(1+$A38)^1+$B$30/(1+$A38)^2+$B$31/(1+$A38)^3+$B$32/(1+$A38)^4+$B$32*(1+D$36)/($A38-D$36)/(1+$A38)^4-$B$33)/$B$34,1)</f>
        <v/>
      </c>
      <c r="E38" s="21">
        <f>ROUND(($B$29/(1+$A38)^1+$B$30/(1+$A38)^2+$B$31/(1+$A38)^3+$B$32/(1+$A38)^4+$B$32*(1+E$36)/($A38-E$36)/(1+$A38)^4-$B$33)/$B$34,1)</f>
        <v/>
      </c>
      <c r="F38" s="21">
        <f>ROUND(($B$29/(1+$A38)^1+$B$30/(1+$A38)^2+$B$31/(1+$A38)^3+$B$32/(1+$A38)^4+$B$32*(1+F$36)/($A38-F$36)/(1+$A38)^4-$B$33)/$B$34,1)</f>
        <v/>
      </c>
    </row>
    <row r="39">
      <c r="A39" s="18" t="n">
        <v>0.11</v>
      </c>
      <c r="B39" s="21">
        <f>ROUND(($B$29/(1+$A39)^1+$B$30/(1+$A39)^2+$B$31/(1+$A39)^3+$B$32/(1+$A39)^4+$B$32*(1+B$36)/($A39-B$36)/(1+$A39)^4-$B$33)/$B$34,1)</f>
        <v/>
      </c>
      <c r="C39" s="21">
        <f>ROUND(($B$29/(1+$A39)^1+$B$30/(1+$A39)^2+$B$31/(1+$A39)^3+$B$32/(1+$A39)^4+$B$32*(1+C$36)/($A39-C$36)/(1+$A39)^4-$B$33)/$B$34,1)</f>
        <v/>
      </c>
      <c r="D39" s="22">
        <f>ROUND(($B$29/(1+$A39)^1+$B$30/(1+$A39)^2+$B$31/(1+$A39)^3+$B$32/(1+$A39)^4+$B$32*(1+D$36)/($A39-D$36)/(1+$A39)^4-$B$33)/$B$34,1)</f>
        <v/>
      </c>
      <c r="E39" s="21">
        <f>ROUND(($B$29/(1+$A39)^1+$B$30/(1+$A39)^2+$B$31/(1+$A39)^3+$B$32/(1+$A39)^4+$B$32*(1+E$36)/($A39-E$36)/(1+$A39)^4-$B$33)/$B$34,1)</f>
        <v/>
      </c>
      <c r="F39" s="21">
        <f>ROUND(($B$29/(1+$A39)^1+$B$30/(1+$A39)^2+$B$31/(1+$A39)^3+$B$32/(1+$A39)^4+$B$32*(1+F$36)/($A39-F$36)/(1+$A39)^4-$B$33)/$B$34,1)</f>
        <v/>
      </c>
    </row>
    <row r="40">
      <c r="A40" s="18" t="n">
        <v>0.12</v>
      </c>
      <c r="B40" s="21">
        <f>ROUND(($B$29/(1+$A40)^1+$B$30/(1+$A40)^2+$B$31/(1+$A40)^3+$B$32/(1+$A40)^4+$B$32*(1+B$36)/($A40-B$36)/(1+$A40)^4-$B$33)/$B$34,1)</f>
        <v/>
      </c>
      <c r="C40" s="21">
        <f>ROUND(($B$29/(1+$A40)^1+$B$30/(1+$A40)^2+$B$31/(1+$A40)^3+$B$32/(1+$A40)^4+$B$32*(1+C$36)/($A40-C$36)/(1+$A40)^4-$B$33)/$B$34,1)</f>
        <v/>
      </c>
      <c r="D40" s="21">
        <f>ROUND(($B$29/(1+$A40)^1+$B$30/(1+$A40)^2+$B$31/(1+$A40)^3+$B$32/(1+$A40)^4+$B$32*(1+D$36)/($A40-D$36)/(1+$A40)^4-$B$33)/$B$34,1)</f>
        <v/>
      </c>
      <c r="E40" s="21">
        <f>ROUND(($B$29/(1+$A40)^1+$B$30/(1+$A40)^2+$B$31/(1+$A40)^3+$B$32/(1+$A40)^4+$B$32*(1+E$36)/($A40-E$36)/(1+$A40)^4-$B$33)/$B$34,1)</f>
        <v/>
      </c>
      <c r="F40" s="21">
        <f>ROUND(($B$29/(1+$A40)^1+$B$30/(1+$A40)^2+$B$31/(1+$A40)^3+$B$32/(1+$A40)^4+$B$32*(1+F$36)/($A40-F$36)/(1+$A40)^4-$B$33)/$B$34,1)</f>
        <v/>
      </c>
    </row>
    <row r="41">
      <c r="A41" s="18" t="n">
        <v>0.13</v>
      </c>
      <c r="B41" s="21">
        <f>ROUND(($B$29/(1+$A41)^1+$B$30/(1+$A41)^2+$B$31/(1+$A41)^3+$B$32/(1+$A41)^4+$B$32*(1+B$36)/($A41-B$36)/(1+$A41)^4-$B$33)/$B$34,1)</f>
        <v/>
      </c>
      <c r="C41" s="21">
        <f>ROUND(($B$29/(1+$A41)^1+$B$30/(1+$A41)^2+$B$31/(1+$A41)^3+$B$32/(1+$A41)^4+$B$32*(1+C$36)/($A41-C$36)/(1+$A41)^4-$B$33)/$B$34,1)</f>
        <v/>
      </c>
      <c r="D41" s="21">
        <f>ROUND(($B$29/(1+$A41)^1+$B$30/(1+$A41)^2+$B$31/(1+$A41)^3+$B$32/(1+$A41)^4+$B$32*(1+D$36)/($A41-D$36)/(1+$A41)^4-$B$33)/$B$34,1)</f>
        <v/>
      </c>
      <c r="E41" s="21">
        <f>ROUND(($B$29/(1+$A41)^1+$B$30/(1+$A41)^2+$B$31/(1+$A41)^3+$B$32/(1+$A41)^4+$B$32*(1+E$36)/($A41-E$36)/(1+$A41)^4-$B$33)/$B$34,1)</f>
        <v/>
      </c>
      <c r="F41" s="21">
        <f>ROUND(($B$29/(1+$A41)^1+$B$30/(1+$A41)^2+$B$31/(1+$A41)^3+$B$32/(1+$A41)^4+$B$32*(1+F$36)/($A41-F$36)/(1+$A41)^4-$B$33)/$B$34,1)</f>
        <v/>
      </c>
    </row>
  </sheetData>
  <mergeCells count="4">
    <mergeCell ref="A15:G15"/>
    <mergeCell ref="A26:G26"/>
    <mergeCell ref="A1:G1"/>
    <mergeCell ref="A4:G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50"/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Snap Inc. (SNAP) - Valuation Cross-Checks</t>
        </is>
      </c>
    </row>
    <row r="3">
      <c r="A3" s="4" t="inlineStr">
        <is>
          <t>1. DCF Valuation</t>
        </is>
      </c>
    </row>
    <row r="5">
      <c r="A5" s="5" t="inlineStr">
        <is>
          <t>WACC</t>
        </is>
      </c>
      <c r="B5" s="23" t="n">
        <v>0.11</v>
      </c>
    </row>
    <row r="6">
      <c r="A6" s="5" t="inlineStr">
        <is>
          <t>Terminal Growth</t>
        </is>
      </c>
      <c r="B6" s="23" t="n">
        <v>0.03</v>
      </c>
    </row>
    <row r="7">
      <c r="A7" s="5" t="inlineStr">
        <is>
          <t>Net Debt ($M)</t>
        </is>
      </c>
      <c r="B7" s="6">
        <f>Assumptions!H40-'Cash Flow &amp; FCF Bridge'!H24</f>
        <v/>
      </c>
    </row>
    <row r="8">
      <c r="A8" s="5" t="inlineStr">
        <is>
          <t>Shares (M)</t>
        </is>
      </c>
      <c r="B8" s="6">
        <f>Assumptions!I48</f>
        <v/>
      </c>
    </row>
    <row r="10">
      <c r="A10" s="2" t="inlineStr"/>
      <c r="B10" s="2" t="inlineStr">
        <is>
          <t>FY2025E</t>
        </is>
      </c>
      <c r="C10" s="2" t="inlineStr">
        <is>
          <t>FY2026E</t>
        </is>
      </c>
      <c r="D10" s="2" t="inlineStr">
        <is>
          <t>FY2027E</t>
        </is>
      </c>
      <c r="E10" s="2" t="inlineStr">
        <is>
          <t>FY2028E</t>
        </is>
      </c>
    </row>
    <row r="11">
      <c r="A11" s="8" t="inlineStr">
        <is>
          <t>FCF ($M)</t>
        </is>
      </c>
      <c r="B11" s="6">
        <f>'Cash Flow &amp; FCF Bridge'!H26</f>
        <v/>
      </c>
      <c r="C11" s="6">
        <f>'Cash Flow &amp; FCF Bridge'!I26</f>
        <v/>
      </c>
      <c r="D11" s="6">
        <f>'Cash Flow &amp; FCF Bridge'!J26</f>
        <v/>
      </c>
      <c r="E11" s="6">
        <f>'Cash Flow &amp; FCF Bridge'!K26</f>
        <v/>
      </c>
    </row>
    <row r="12">
      <c r="A12" s="8" t="inlineStr">
        <is>
          <t>Discount Factor</t>
        </is>
      </c>
      <c r="B12" s="24">
        <f>1/(1+$B$5)^1</f>
        <v/>
      </c>
      <c r="C12" s="24">
        <f>1/(1+$B$5)^2</f>
        <v/>
      </c>
      <c r="D12" s="24">
        <f>1/(1+$B$5)^3</f>
        <v/>
      </c>
      <c r="E12" s="24">
        <f>1/(1+$B$5)^4</f>
        <v/>
      </c>
    </row>
    <row r="13">
      <c r="A13" s="8" t="inlineStr">
        <is>
          <t>PV of FCF</t>
        </is>
      </c>
      <c r="B13" s="6">
        <f>ROUND(B11*B12,0)</f>
        <v/>
      </c>
      <c r="C13" s="6">
        <f>ROUND(C11*C12,0)</f>
        <v/>
      </c>
      <c r="D13" s="6">
        <f>ROUND(D11*D12,0)</f>
        <v/>
      </c>
      <c r="E13" s="6">
        <f>ROUND(E11*E12,0)</f>
        <v/>
      </c>
    </row>
    <row r="15">
      <c r="A15" s="5" t="inlineStr">
        <is>
          <t>Sum PV FCFs</t>
        </is>
      </c>
      <c r="B15" s="6">
        <f>SUM(B13:E13)</f>
        <v/>
      </c>
    </row>
    <row r="16">
      <c r="A16" s="8" t="inlineStr">
        <is>
          <t>Terminal Value</t>
        </is>
      </c>
      <c r="B16" s="6">
        <f>ROUND(E11*(1+$B$6)/($B$5-$B$6),0)</f>
        <v/>
      </c>
    </row>
    <row r="17">
      <c r="A17" s="8" t="inlineStr">
        <is>
          <t>PV of TV</t>
        </is>
      </c>
      <c r="B17" s="6">
        <f>ROUND(B16*E12,0)</f>
        <v/>
      </c>
    </row>
    <row r="18">
      <c r="A18" s="5" t="inlineStr">
        <is>
          <t>EV ($M)</t>
        </is>
      </c>
      <c r="B18" s="6">
        <f>B15+B17</f>
        <v/>
      </c>
    </row>
    <row r="19">
      <c r="A19" s="5" t="inlineStr">
        <is>
          <t>Equity ($M)</t>
        </is>
      </c>
      <c r="B19" s="6">
        <f>B18-B7</f>
        <v/>
      </c>
    </row>
    <row r="20">
      <c r="A20" s="5" t="inlineStr">
        <is>
          <t>Implied Price ($)</t>
        </is>
      </c>
      <c r="B20" s="11">
        <f>ROUND(B19/B8,2)</f>
        <v/>
      </c>
    </row>
    <row r="23">
      <c r="A23" s="4" t="inlineStr">
        <is>
          <t>2. Unit Economics / EV Sanity Check</t>
        </is>
      </c>
    </row>
    <row r="25">
      <c r="A25" s="5" t="inlineStr">
        <is>
          <t>Market Cap ($M, est.)</t>
        </is>
      </c>
      <c r="B25" s="15" t="n">
        <v>18000</v>
      </c>
    </row>
    <row r="26">
      <c r="A26" s="5" t="inlineStr">
        <is>
          <t>EV ($M, est.)</t>
        </is>
      </c>
      <c r="B26" s="6">
        <f>B25+B7</f>
        <v/>
      </c>
    </row>
    <row r="28">
      <c r="A28" s="2" t="inlineStr">
        <is>
          <t>Metric</t>
        </is>
      </c>
      <c r="B28" s="2" t="inlineStr">
        <is>
          <t>Value</t>
        </is>
      </c>
      <c r="C28" s="2" t="inlineStr">
        <is>
          <t>Commentary</t>
        </is>
      </c>
    </row>
    <row r="29">
      <c r="A29" s="8" t="inlineStr">
        <is>
          <t>EV/DAU ($)</t>
        </is>
      </c>
      <c r="B29" s="25">
        <f>ROUND(B26/'Revenue Build'!H7,1)</f>
        <v/>
      </c>
      <c r="C29" s="8" t="inlineStr">
        <is>
          <t>vs META ~$310, PINS ~$75</t>
        </is>
      </c>
    </row>
    <row r="30">
      <c r="A30" s="8" t="inlineStr">
        <is>
          <t>EV/FY25E Rev</t>
        </is>
      </c>
      <c r="B30" s="25">
        <f>ROUND(B26/'Revenue Build'!H15,1)</f>
        <v/>
      </c>
      <c r="C30" s="8" t="inlineStr">
        <is>
          <t>vs peers 4-8x</t>
        </is>
      </c>
    </row>
    <row r="31">
      <c r="A31" s="8" t="inlineStr">
        <is>
          <t>EV/FY26E Adj EBITDA</t>
        </is>
      </c>
      <c r="B31" s="25">
        <f>IF('Non-GAAP P&amp;L'!I27&gt;0,ROUND(B26/'Non-GAAP P&amp;L'!I27,1),"N/M")</f>
        <v/>
      </c>
      <c r="C31" s="8" t="inlineStr">
        <is>
          <t>vs peers 15-25x</t>
        </is>
      </c>
    </row>
    <row r="32">
      <c r="A32" s="8" t="inlineStr">
        <is>
          <t>FY26E FCF Yield</t>
        </is>
      </c>
      <c r="B32" s="9">
        <f>IF('Cash Flow &amp; FCF Bridge'!I26&gt;0,'Cash Flow &amp; FCF Bridge'!I26/B25,0)</f>
        <v/>
      </c>
      <c r="C32" s="8" t="inlineStr">
        <is>
          <t>FCF inflection</t>
        </is>
      </c>
    </row>
    <row r="35">
      <c r="A35" s="4" t="inlineStr">
        <is>
          <t>Valuation Summary</t>
        </is>
      </c>
    </row>
    <row r="36">
      <c r="A36" s="5" t="inlineStr">
        <is>
          <t>Current Price (est.)</t>
        </is>
      </c>
      <c r="B36" s="26" t="n">
        <v>10.5</v>
      </c>
    </row>
    <row r="38">
      <c r="A38" s="2" t="inlineStr">
        <is>
          <t>Method</t>
        </is>
      </c>
      <c r="B38" s="2" t="inlineStr">
        <is>
          <t>Price ($)</t>
        </is>
      </c>
      <c r="C38" s="2" t="inlineStr">
        <is>
          <t>Upside/Downside</t>
        </is>
      </c>
    </row>
    <row r="39">
      <c r="A39" s="8" t="inlineStr">
        <is>
          <t>DCF</t>
        </is>
      </c>
      <c r="B39" s="11">
        <f>B20</f>
        <v/>
      </c>
      <c r="C39" s="9">
        <f>B39/B36-1</f>
        <v/>
      </c>
    </row>
    <row r="40">
      <c r="A40" s="8" t="inlineStr">
        <is>
          <t>EV/Rev Comp (4x FY26E)</t>
        </is>
      </c>
      <c r="B40" s="11">
        <f>ROUND(('Revenue Build'!I15*4-B7)/B8,2)</f>
        <v/>
      </c>
      <c r="C40" s="9">
        <f>B40/B36-1</f>
        <v/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0000"/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Snap Inc. (SNAP) - Model Assumptions (Non-GAAP Primary)</t>
        </is>
      </c>
    </row>
    <row r="3">
      <c r="A3" s="2" t="inlineStr"/>
      <c r="B3" s="2" t="inlineStr">
        <is>
          <t>2019</t>
        </is>
      </c>
      <c r="C3" s="2" t="inlineStr">
        <is>
          <t>2020</t>
        </is>
      </c>
      <c r="D3" s="2" t="inlineStr">
        <is>
          <t>2021</t>
        </is>
      </c>
      <c r="E3" s="2" t="inlineStr">
        <is>
          <t>2022</t>
        </is>
      </c>
      <c r="F3" s="2" t="inlineStr">
        <is>
          <t>2023</t>
        </is>
      </c>
      <c r="G3" s="2" t="inlineStr">
        <is>
          <t>2024</t>
        </is>
      </c>
      <c r="H3" s="2" t="inlineStr">
        <is>
          <t>2025E</t>
        </is>
      </c>
      <c r="I3" s="2" t="inlineStr">
        <is>
          <t>2026E</t>
        </is>
      </c>
      <c r="J3" s="2" t="inlineStr">
        <is>
          <t>2027E</t>
        </is>
      </c>
      <c r="K3" s="2" t="inlineStr">
        <is>
          <t>2028E</t>
        </is>
      </c>
    </row>
    <row r="4">
      <c r="A4" s="3" t="inlineStr"/>
      <c r="B4" s="3" t="inlineStr">
        <is>
          <t>Historical</t>
        </is>
      </c>
      <c r="C4" s="3" t="inlineStr">
        <is>
          <t>Historical</t>
        </is>
      </c>
      <c r="D4" s="3" t="inlineStr">
        <is>
          <t>Historical</t>
        </is>
      </c>
      <c r="E4" s="3" t="inlineStr">
        <is>
          <t>Historical</t>
        </is>
      </c>
      <c r="F4" s="3" t="inlineStr">
        <is>
          <t>Historical</t>
        </is>
      </c>
      <c r="G4" s="3" t="inlineStr">
        <is>
          <t>Historical</t>
        </is>
      </c>
      <c r="H4" s="3" t="inlineStr">
        <is>
          <t>Forecast</t>
        </is>
      </c>
      <c r="I4" s="3" t="inlineStr">
        <is>
          <t>Forecast</t>
        </is>
      </c>
      <c r="J4" s="3" t="inlineStr">
        <is>
          <t>Forecast</t>
        </is>
      </c>
      <c r="K4" s="3" t="inlineStr">
        <is>
          <t>Forecast</t>
        </is>
      </c>
    </row>
    <row r="6">
      <c r="A6" s="4" t="inlineStr">
        <is>
          <t>GROWTH DRIVERS</t>
        </is>
      </c>
    </row>
    <row r="7">
      <c r="A7" s="5" t="inlineStr">
        <is>
          <t>DAU YoY Growth</t>
        </is>
      </c>
      <c r="C7" s="9">
        <f>'Revenue Build'!C7/'Revenue Build'!B7-1</f>
        <v/>
      </c>
      <c r="D7" s="9">
        <f>'Revenue Build'!D7/'Revenue Build'!C7-1</f>
        <v/>
      </c>
      <c r="E7" s="9">
        <f>'Revenue Build'!E7/'Revenue Build'!D7-1</f>
        <v/>
      </c>
      <c r="F7" s="9">
        <f>'Revenue Build'!F7/'Revenue Build'!E7-1</f>
        <v/>
      </c>
      <c r="G7" s="9">
        <f>'Revenue Build'!G7/'Revenue Build'!F7-1</f>
        <v/>
      </c>
      <c r="H7" s="27" t="n">
        <v>0.065</v>
      </c>
      <c r="I7" s="27" t="n">
        <v>0.055</v>
      </c>
      <c r="J7" s="27" t="n">
        <v>0.045</v>
      </c>
      <c r="K7" s="27" t="n">
        <v>0.04</v>
      </c>
    </row>
    <row r="8">
      <c r="A8" s="5" t="inlineStr">
        <is>
          <t>ARPU YoY Growth</t>
        </is>
      </c>
      <c r="C8" s="9">
        <f>'Revenue Build'!C11/'Revenue Build'!B11-1</f>
        <v/>
      </c>
      <c r="D8" s="9">
        <f>'Revenue Build'!D11/'Revenue Build'!C11-1</f>
        <v/>
      </c>
      <c r="E8" s="9">
        <f>'Revenue Build'!E11/'Revenue Build'!D11-1</f>
        <v/>
      </c>
      <c r="F8" s="9">
        <f>'Revenue Build'!F11/'Revenue Build'!E11-1</f>
        <v/>
      </c>
      <c r="G8" s="9">
        <f>'Revenue Build'!G11/'Revenue Build'!F11-1</f>
        <v/>
      </c>
      <c r="H8" s="27" t="n">
        <v>0.1</v>
      </c>
      <c r="I8" s="27" t="n">
        <v>0.09</v>
      </c>
      <c r="J8" s="27" t="n">
        <v>0.08</v>
      </c>
      <c r="K8" s="27" t="n">
        <v>0.07000000000000001</v>
      </c>
    </row>
    <row r="10">
      <c r="A10" s="4" t="inlineStr">
        <is>
          <t>NON-GAAP MARGIN ASSUMPTIONS</t>
        </is>
      </c>
    </row>
    <row r="11">
      <c r="A11" s="5" t="inlineStr">
        <is>
          <t>Non-GAAP Gross Margin</t>
        </is>
      </c>
      <c r="B11" s="9">
        <f>'Non-GAAP P&amp;L'!B10/'Non-GAAP P&amp;L'!B6</f>
        <v/>
      </c>
      <c r="C11" s="9">
        <f>'Non-GAAP P&amp;L'!C10/'Non-GAAP P&amp;L'!C6</f>
        <v/>
      </c>
      <c r="D11" s="9">
        <f>'Non-GAAP P&amp;L'!D10/'Non-GAAP P&amp;L'!D6</f>
        <v/>
      </c>
      <c r="E11" s="9">
        <f>'Non-GAAP P&amp;L'!E10/'Non-GAAP P&amp;L'!E6</f>
        <v/>
      </c>
      <c r="F11" s="9">
        <f>'Non-GAAP P&amp;L'!F10/'Non-GAAP P&amp;L'!F6</f>
        <v/>
      </c>
      <c r="G11" s="9">
        <f>'Non-GAAP P&amp;L'!G10/'Non-GAAP P&amp;L'!G6</f>
        <v/>
      </c>
      <c r="H11" s="27" t="n">
        <v>0.575</v>
      </c>
      <c r="I11" s="27" t="n">
        <v>0.59</v>
      </c>
      <c r="J11" s="27" t="n">
        <v>0.605</v>
      </c>
      <c r="K11" s="27" t="n">
        <v>0.62</v>
      </c>
    </row>
    <row r="12">
      <c r="A12" s="5" t="inlineStr">
        <is>
          <t>Non-GAAP R&amp;D % of Rev</t>
        </is>
      </c>
      <c r="B12" s="9">
        <f>'Non-GAAP P&amp;L'!B14/'Non-GAAP P&amp;L'!B6</f>
        <v/>
      </c>
      <c r="C12" s="9">
        <f>'Non-GAAP P&amp;L'!C14/'Non-GAAP P&amp;L'!C6</f>
        <v/>
      </c>
      <c r="D12" s="9">
        <f>'Non-GAAP P&amp;L'!D14/'Non-GAAP P&amp;L'!D6</f>
        <v/>
      </c>
      <c r="E12" s="9">
        <f>'Non-GAAP P&amp;L'!E14/'Non-GAAP P&amp;L'!E6</f>
        <v/>
      </c>
      <c r="F12" s="9">
        <f>'Non-GAAP P&amp;L'!F14/'Non-GAAP P&amp;L'!F6</f>
        <v/>
      </c>
      <c r="G12" s="9">
        <f>'Non-GAAP P&amp;L'!G14/'Non-GAAP P&amp;L'!G6</f>
        <v/>
      </c>
      <c r="H12" s="27" t="n">
        <v>0.19</v>
      </c>
      <c r="I12" s="27" t="n">
        <v>0.17</v>
      </c>
      <c r="J12" s="27" t="n">
        <v>0.16</v>
      </c>
      <c r="K12" s="27" t="n">
        <v>0.15</v>
      </c>
    </row>
    <row r="13">
      <c r="A13" s="5" t="inlineStr">
        <is>
          <t>Non-GAAP S&amp;M % of Rev</t>
        </is>
      </c>
      <c r="B13" s="9">
        <f>'Non-GAAP P&amp;L'!B16/'Non-GAAP P&amp;L'!B6</f>
        <v/>
      </c>
      <c r="C13" s="9">
        <f>'Non-GAAP P&amp;L'!C16/'Non-GAAP P&amp;L'!C6</f>
        <v/>
      </c>
      <c r="D13" s="9">
        <f>'Non-GAAP P&amp;L'!D16/'Non-GAAP P&amp;L'!D6</f>
        <v/>
      </c>
      <c r="E13" s="9">
        <f>'Non-GAAP P&amp;L'!E16/'Non-GAAP P&amp;L'!E6</f>
        <v/>
      </c>
      <c r="F13" s="9">
        <f>'Non-GAAP P&amp;L'!F16/'Non-GAAP P&amp;L'!F6</f>
        <v/>
      </c>
      <c r="G13" s="9">
        <f>'Non-GAAP P&amp;L'!G16/'Non-GAAP P&amp;L'!G6</f>
        <v/>
      </c>
      <c r="H13" s="27" t="n">
        <v>0.16</v>
      </c>
      <c r="I13" s="27" t="n">
        <v>0.15</v>
      </c>
      <c r="J13" s="27" t="n">
        <v>0.14</v>
      </c>
      <c r="K13" s="27" t="n">
        <v>0.13</v>
      </c>
    </row>
    <row r="14">
      <c r="A14" s="5" t="inlineStr">
        <is>
          <t>Non-GAAP G&amp;A % of Rev</t>
        </is>
      </c>
      <c r="B14" s="9">
        <f>'Non-GAAP P&amp;L'!B18/'Non-GAAP P&amp;L'!B6</f>
        <v/>
      </c>
      <c r="C14" s="9">
        <f>'Non-GAAP P&amp;L'!C18/'Non-GAAP P&amp;L'!C6</f>
        <v/>
      </c>
      <c r="D14" s="9">
        <f>'Non-GAAP P&amp;L'!D18/'Non-GAAP P&amp;L'!D6</f>
        <v/>
      </c>
      <c r="E14" s="9">
        <f>'Non-GAAP P&amp;L'!E18/'Non-GAAP P&amp;L'!E6</f>
        <v/>
      </c>
      <c r="F14" s="9">
        <f>'Non-GAAP P&amp;L'!F18/'Non-GAAP P&amp;L'!F6</f>
        <v/>
      </c>
      <c r="G14" s="9">
        <f>'Non-GAAP P&amp;L'!G18/'Non-GAAP P&amp;L'!G6</f>
        <v/>
      </c>
      <c r="H14" s="27" t="n">
        <v>0.05</v>
      </c>
      <c r="I14" s="27" t="n">
        <v>0.047</v>
      </c>
      <c r="J14" s="27" t="n">
        <v>0.044</v>
      </c>
      <c r="K14" s="27" t="n">
        <v>0.042</v>
      </c>
    </row>
    <row r="16">
      <c r="A16" s="4" t="inlineStr">
        <is>
          <t>GAAP ADJUSTMENT ITEMS</t>
        </is>
      </c>
    </row>
    <row r="17">
      <c r="A17" s="5" t="inlineStr">
        <is>
          <t>SBC % of Revenue</t>
        </is>
      </c>
      <c r="B17" s="9">
        <f>'Non-GAAP P&amp;L'!B41/'Non-GAAP P&amp;L'!B6</f>
        <v/>
      </c>
      <c r="C17" s="9">
        <f>'Non-GAAP P&amp;L'!C41/'Non-GAAP P&amp;L'!C6</f>
        <v/>
      </c>
      <c r="D17" s="9">
        <f>'Non-GAAP P&amp;L'!D41/'Non-GAAP P&amp;L'!D6</f>
        <v/>
      </c>
      <c r="E17" s="9">
        <f>'Non-GAAP P&amp;L'!E41/'Non-GAAP P&amp;L'!E6</f>
        <v/>
      </c>
      <c r="F17" s="9">
        <f>'Non-GAAP P&amp;L'!F41/'Non-GAAP P&amp;L'!F6</f>
        <v/>
      </c>
      <c r="G17" s="9">
        <f>'Non-GAAP P&amp;L'!G41/'Non-GAAP P&amp;L'!G6</f>
        <v/>
      </c>
      <c r="H17" s="27" t="n">
        <v>0.2</v>
      </c>
      <c r="I17" s="27" t="n">
        <v>0.17</v>
      </c>
      <c r="J17" s="27" t="n">
        <v>0.15</v>
      </c>
      <c r="K17" s="27" t="n">
        <v>0.13</v>
      </c>
    </row>
    <row r="18">
      <c r="A18" s="5" t="inlineStr">
        <is>
          <t>SBC % Allocated to COGS</t>
        </is>
      </c>
      <c r="B18" s="9" t="n">
        <v>0.05</v>
      </c>
      <c r="C18" s="9" t="n">
        <v>0.05</v>
      </c>
      <c r="D18" s="9" t="n">
        <v>0.05</v>
      </c>
      <c r="E18" s="9" t="n">
        <v>0.05</v>
      </c>
      <c r="F18" s="9" t="n">
        <v>0.05</v>
      </c>
      <c r="G18" s="9" t="n">
        <v>0.05</v>
      </c>
      <c r="H18" s="27" t="n">
        <v>0.05</v>
      </c>
      <c r="I18" s="27" t="n">
        <v>0.05</v>
      </c>
      <c r="J18" s="27" t="n">
        <v>0.05</v>
      </c>
      <c r="K18" s="27" t="n">
        <v>0.05</v>
      </c>
    </row>
    <row r="19">
      <c r="A19" s="5" t="inlineStr">
        <is>
          <t>Intangible Amortization ($M)</t>
        </is>
      </c>
      <c r="B19" s="6" t="n">
        <v>30</v>
      </c>
      <c r="C19" s="6" t="n">
        <v>32</v>
      </c>
      <c r="D19" s="6" t="n">
        <v>55</v>
      </c>
      <c r="E19" s="6" t="n">
        <v>70</v>
      </c>
      <c r="F19" s="6" t="n">
        <v>65</v>
      </c>
      <c r="G19" s="6" t="n">
        <v>55</v>
      </c>
      <c r="H19" s="14" t="n">
        <v>45</v>
      </c>
      <c r="I19" s="14" t="n">
        <v>40</v>
      </c>
      <c r="J19" s="14" t="n">
        <v>35</v>
      </c>
      <c r="K19" s="14" t="n">
        <v>30</v>
      </c>
    </row>
    <row r="20">
      <c r="A20" s="5" t="inlineStr">
        <is>
          <t>Restructuring Charges ($M)</t>
        </is>
      </c>
      <c r="B20" s="6" t="n">
        <v>0</v>
      </c>
      <c r="C20" s="6" t="n">
        <v>0</v>
      </c>
      <c r="D20" s="6" t="n">
        <v>0</v>
      </c>
      <c r="E20" s="6" t="n">
        <v>155</v>
      </c>
      <c r="F20" s="6" t="n">
        <v>80</v>
      </c>
      <c r="G20" s="6" t="n">
        <v>35</v>
      </c>
      <c r="H20" s="14" t="n">
        <v>15</v>
      </c>
      <c r="I20" s="14" t="n">
        <v>10</v>
      </c>
      <c r="J20" s="14" t="n">
        <v>5</v>
      </c>
      <c r="K20" s="14" t="n">
        <v>0</v>
      </c>
    </row>
    <row r="21">
      <c r="A21" s="5" t="inlineStr">
        <is>
          <t>PP&amp;E Depreciation ($M)</t>
        </is>
      </c>
      <c r="B21" s="6" t="n">
        <v>51</v>
      </c>
      <c r="C21" s="6" t="n">
        <v>75</v>
      </c>
      <c r="D21" s="6" t="n">
        <v>85</v>
      </c>
      <c r="E21" s="6" t="n">
        <v>115</v>
      </c>
      <c r="F21" s="6" t="n">
        <v>135</v>
      </c>
      <c r="G21" s="6" t="n">
        <v>160</v>
      </c>
      <c r="H21" s="14" t="n">
        <v>170</v>
      </c>
      <c r="I21" s="14" t="n">
        <v>180</v>
      </c>
      <c r="J21" s="14" t="n">
        <v>190</v>
      </c>
      <c r="K21" s="14" t="n">
        <v>200</v>
      </c>
    </row>
    <row r="22">
      <c r="A22" s="5" t="inlineStr">
        <is>
          <t>Non-GAAP Tax Rate</t>
        </is>
      </c>
      <c r="B22" s="9" t="n">
        <v>0.02</v>
      </c>
      <c r="C22" s="9" t="n">
        <v>0.02</v>
      </c>
      <c r="D22" s="9" t="n">
        <v>0.05</v>
      </c>
      <c r="E22" s="9" t="n">
        <v>0.05</v>
      </c>
      <c r="F22" s="9" t="n">
        <v>0.08</v>
      </c>
      <c r="G22" s="9" t="n">
        <v>0.1</v>
      </c>
      <c r="H22" s="27" t="n">
        <v>0.1</v>
      </c>
      <c r="I22" s="27" t="n">
        <v>0.12</v>
      </c>
      <c r="J22" s="27" t="n">
        <v>0.15</v>
      </c>
      <c r="K22" s="27" t="n">
        <v>0.18</v>
      </c>
    </row>
    <row r="23">
      <c r="A23" s="5" t="inlineStr">
        <is>
          <t>GAAP Tax Rate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27" t="n">
        <v>0.05</v>
      </c>
      <c r="I23" s="27" t="n">
        <v>0.07000000000000001</v>
      </c>
      <c r="J23" s="27" t="n">
        <v>0.1</v>
      </c>
      <c r="K23" s="27" t="n">
        <v>0.12</v>
      </c>
    </row>
    <row r="25">
      <c r="A25" s="4" t="inlineStr">
        <is>
          <t>GEOGRAPHIC MIX</t>
        </is>
      </c>
    </row>
    <row r="26">
      <c r="A26" s="5" t="inlineStr">
        <is>
          <t>NA % of Revenue</t>
        </is>
      </c>
      <c r="B26" s="9">
        <f>'Revenue Build'!B19/'Revenue Build'!B15</f>
        <v/>
      </c>
      <c r="C26" s="9">
        <f>'Revenue Build'!C19/'Revenue Build'!C15</f>
        <v/>
      </c>
      <c r="D26" s="9">
        <f>'Revenue Build'!D19/'Revenue Build'!D15</f>
        <v/>
      </c>
      <c r="E26" s="9">
        <f>'Revenue Build'!E19/'Revenue Build'!E15</f>
        <v/>
      </c>
      <c r="F26" s="9">
        <f>'Revenue Build'!F19/'Revenue Build'!F15</f>
        <v/>
      </c>
      <c r="G26" s="9">
        <f>'Revenue Build'!G19/'Revenue Build'!G15</f>
        <v/>
      </c>
      <c r="H26" s="27" t="n">
        <v>0.63</v>
      </c>
      <c r="I26" s="27" t="n">
        <v>0.62</v>
      </c>
      <c r="J26" s="27" t="n">
        <v>0.61</v>
      </c>
      <c r="K26" s="27" t="n">
        <v>0.6</v>
      </c>
    </row>
    <row r="27">
      <c r="A27" s="5" t="inlineStr">
        <is>
          <t>EU % of Revenue</t>
        </is>
      </c>
      <c r="B27" s="9">
        <f>'Revenue Build'!B21/'Revenue Build'!B15</f>
        <v/>
      </c>
      <c r="C27" s="9">
        <f>'Revenue Build'!C21/'Revenue Build'!C15</f>
        <v/>
      </c>
      <c r="D27" s="9">
        <f>'Revenue Build'!D21/'Revenue Build'!D15</f>
        <v/>
      </c>
      <c r="E27" s="9">
        <f>'Revenue Build'!E21/'Revenue Build'!E15</f>
        <v/>
      </c>
      <c r="F27" s="9">
        <f>'Revenue Build'!F21/'Revenue Build'!F15</f>
        <v/>
      </c>
      <c r="G27" s="9">
        <f>'Revenue Build'!G21/'Revenue Build'!G15</f>
        <v/>
      </c>
      <c r="H27" s="27" t="n">
        <v>0.2</v>
      </c>
      <c r="I27" s="27" t="n">
        <v>0.2</v>
      </c>
      <c r="J27" s="27" t="n">
        <v>0.2</v>
      </c>
      <c r="K27" s="27" t="n">
        <v>0.21</v>
      </c>
    </row>
    <row r="28">
      <c r="A28" s="5" t="inlineStr">
        <is>
          <t>ROW % of Revenue</t>
        </is>
      </c>
      <c r="B28" s="9">
        <f>'Revenue Build'!B23/'Revenue Build'!B15</f>
        <v/>
      </c>
      <c r="C28" s="9">
        <f>'Revenue Build'!C23/'Revenue Build'!C15</f>
        <v/>
      </c>
      <c r="D28" s="9">
        <f>'Revenue Build'!D23/'Revenue Build'!D15</f>
        <v/>
      </c>
      <c r="E28" s="9">
        <f>'Revenue Build'!E23/'Revenue Build'!E15</f>
        <v/>
      </c>
      <c r="F28" s="9">
        <f>'Revenue Build'!F23/'Revenue Build'!F15</f>
        <v/>
      </c>
      <c r="G28" s="9">
        <f>'Revenue Build'!G23/'Revenue Build'!G15</f>
        <v/>
      </c>
      <c r="H28" s="27" t="n">
        <v>0.17</v>
      </c>
      <c r="I28" s="27" t="n">
        <v>0.18</v>
      </c>
      <c r="J28" s="27" t="n">
        <v>0.19</v>
      </c>
      <c r="K28" s="27" t="n">
        <v>0.19</v>
      </c>
    </row>
    <row r="30">
      <c r="A30" s="4" t="inlineStr">
        <is>
          <t>OTHER P&amp;L ITEMS</t>
        </is>
      </c>
    </row>
    <row r="31">
      <c r="A31" s="5" t="inlineStr">
        <is>
          <t>CapEx ($M, positive)</t>
        </is>
      </c>
      <c r="B31" s="6" t="n">
        <v>51</v>
      </c>
      <c r="C31" s="6" t="n">
        <v>59</v>
      </c>
      <c r="D31" s="6" t="n">
        <v>85</v>
      </c>
      <c r="E31" s="6" t="n">
        <v>115</v>
      </c>
      <c r="F31" s="6" t="n">
        <v>93</v>
      </c>
      <c r="G31" s="6" t="n">
        <v>90</v>
      </c>
      <c r="H31" s="14" t="n">
        <v>95</v>
      </c>
      <c r="I31" s="14" t="n">
        <v>100</v>
      </c>
      <c r="J31" s="14" t="n">
        <v>105</v>
      </c>
      <c r="K31" s="14" t="n">
        <v>110</v>
      </c>
    </row>
    <row r="32">
      <c r="A32" s="5" t="inlineStr">
        <is>
          <t>Interest Expense ($M, positive)</t>
        </is>
      </c>
      <c r="B32" s="6" t="n">
        <v>51</v>
      </c>
      <c r="C32" s="6" t="n">
        <v>88</v>
      </c>
      <c r="D32" s="6" t="n">
        <v>89</v>
      </c>
      <c r="E32" s="6" t="n">
        <v>87</v>
      </c>
      <c r="F32" s="6" t="n">
        <v>100</v>
      </c>
      <c r="G32" s="6" t="n">
        <v>95</v>
      </c>
      <c r="H32" s="14" t="n">
        <v>90</v>
      </c>
      <c r="I32" s="14" t="n">
        <v>85</v>
      </c>
      <c r="J32" s="14" t="n">
        <v>80</v>
      </c>
      <c r="K32" s="14" t="n">
        <v>75</v>
      </c>
    </row>
    <row r="33">
      <c r="A33" s="5" t="inlineStr">
        <is>
          <t>WC Change ($M)</t>
        </is>
      </c>
      <c r="B33" s="6" t="n">
        <v>-80</v>
      </c>
      <c r="C33" s="6" t="n">
        <v>-45</v>
      </c>
      <c r="D33" s="6" t="n">
        <v>-120</v>
      </c>
      <c r="E33" s="6" t="n">
        <v>50</v>
      </c>
      <c r="F33" s="6" t="n">
        <v>30</v>
      </c>
      <c r="G33" s="6" t="n">
        <v>15</v>
      </c>
      <c r="H33" s="14" t="n">
        <v>-20</v>
      </c>
      <c r="I33" s="14" t="n">
        <v>-15</v>
      </c>
      <c r="J33" s="14" t="n">
        <v>-10</v>
      </c>
      <c r="K33" s="14" t="n">
        <v>-5</v>
      </c>
    </row>
    <row r="35">
      <c r="A35" s="4" t="inlineStr">
        <is>
          <t>BALANCE SHEET DRIVERS</t>
        </is>
      </c>
    </row>
    <row r="36">
      <c r="A36" s="5" t="inlineStr">
        <is>
          <t>PP&amp;E ($M)</t>
        </is>
      </c>
      <c r="B36" s="6" t="n">
        <v>204</v>
      </c>
      <c r="C36" s="6" t="n">
        <v>258</v>
      </c>
      <c r="D36" s="6" t="n">
        <v>339</v>
      </c>
      <c r="E36" s="6" t="n">
        <v>452</v>
      </c>
      <c r="F36" s="6" t="n">
        <v>430</v>
      </c>
      <c r="G36" s="6" t="n">
        <v>400</v>
      </c>
      <c r="H36" s="14" t="n">
        <v>390</v>
      </c>
      <c r="I36" s="14" t="n">
        <v>385</v>
      </c>
      <c r="J36" s="14" t="n">
        <v>380</v>
      </c>
      <c r="K36" s="14" t="n">
        <v>375</v>
      </c>
    </row>
    <row r="37">
      <c r="A37" s="5" t="inlineStr">
        <is>
          <t>Intangibles BS ($M)</t>
        </is>
      </c>
      <c r="B37" s="6" t="n">
        <v>181</v>
      </c>
      <c r="C37" s="6" t="n">
        <v>182</v>
      </c>
      <c r="D37" s="6" t="n">
        <v>411</v>
      </c>
      <c r="E37" s="6" t="n">
        <v>440</v>
      </c>
      <c r="F37" s="6" t="n">
        <v>395</v>
      </c>
      <c r="G37" s="6" t="n">
        <v>360</v>
      </c>
      <c r="H37" s="14" t="n">
        <v>340</v>
      </c>
      <c r="I37" s="14" t="n">
        <v>320</v>
      </c>
      <c r="J37" s="14" t="n">
        <v>300</v>
      </c>
      <c r="K37" s="14" t="n">
        <v>280</v>
      </c>
    </row>
    <row r="38">
      <c r="A38" s="5" t="inlineStr">
        <is>
          <t>ROU Assets ($M)</t>
        </is>
      </c>
      <c r="B38" s="6" t="n">
        <v>250</v>
      </c>
      <c r="C38" s="6" t="n">
        <v>280</v>
      </c>
      <c r="D38" s="6" t="n">
        <v>310</v>
      </c>
      <c r="E38" s="6" t="n">
        <v>350</v>
      </c>
      <c r="F38" s="6" t="n">
        <v>360</v>
      </c>
      <c r="G38" s="6" t="n">
        <v>370</v>
      </c>
      <c r="H38" s="14" t="n">
        <v>375</v>
      </c>
      <c r="I38" s="14" t="n">
        <v>380</v>
      </c>
      <c r="J38" s="14" t="n">
        <v>385</v>
      </c>
      <c r="K38" s="14" t="n">
        <v>390</v>
      </c>
    </row>
    <row r="39">
      <c r="A39" s="5" t="inlineStr">
        <is>
          <t>Other LT Assets ($M)</t>
        </is>
      </c>
      <c r="B39" s="6" t="n">
        <v>150</v>
      </c>
      <c r="C39" s="6" t="n">
        <v>180</v>
      </c>
      <c r="D39" s="6" t="n">
        <v>250</v>
      </c>
      <c r="E39" s="6" t="n">
        <v>310</v>
      </c>
      <c r="F39" s="6" t="n">
        <v>330</v>
      </c>
      <c r="G39" s="6" t="n">
        <v>350</v>
      </c>
      <c r="H39" s="14" t="n">
        <v>360</v>
      </c>
      <c r="I39" s="14" t="n">
        <v>370</v>
      </c>
      <c r="J39" s="14" t="n">
        <v>380</v>
      </c>
      <c r="K39" s="14" t="n">
        <v>390</v>
      </c>
    </row>
    <row r="40">
      <c r="A40" s="5" t="inlineStr">
        <is>
          <t>Long-Term Debt ($M)</t>
        </is>
      </c>
      <c r="B40" s="6" t="n">
        <v>1485</v>
      </c>
      <c r="C40" s="6" t="n">
        <v>2190</v>
      </c>
      <c r="D40" s="6" t="n">
        <v>3745</v>
      </c>
      <c r="E40" s="6" t="n">
        <v>3745</v>
      </c>
      <c r="F40" s="6" t="n">
        <v>3745</v>
      </c>
      <c r="G40" s="6" t="n">
        <v>3745</v>
      </c>
      <c r="H40" s="14" t="n">
        <v>3745</v>
      </c>
      <c r="I40" s="14" t="n">
        <v>3745</v>
      </c>
      <c r="J40" s="14" t="n">
        <v>3745</v>
      </c>
      <c r="K40" s="14" t="n">
        <v>3745</v>
      </c>
    </row>
    <row r="41">
      <c r="A41" s="5" t="inlineStr">
        <is>
          <t>Lease Liabilities ($M)</t>
        </is>
      </c>
      <c r="B41" s="6" t="n">
        <v>220</v>
      </c>
      <c r="C41" s="6" t="n">
        <v>260</v>
      </c>
      <c r="D41" s="6" t="n">
        <v>300</v>
      </c>
      <c r="E41" s="6" t="n">
        <v>340</v>
      </c>
      <c r="F41" s="6" t="n">
        <v>350</v>
      </c>
      <c r="G41" s="6" t="n">
        <v>360</v>
      </c>
      <c r="H41" s="14" t="n">
        <v>365</v>
      </c>
      <c r="I41" s="14" t="n">
        <v>370</v>
      </c>
      <c r="J41" s="14" t="n">
        <v>375</v>
      </c>
      <c r="K41" s="14" t="n">
        <v>380</v>
      </c>
    </row>
    <row r="42">
      <c r="A42" s="5" t="inlineStr">
        <is>
          <t>Other LT Liab ($M)</t>
        </is>
      </c>
      <c r="B42" s="6" t="n">
        <v>80</v>
      </c>
      <c r="C42" s="6" t="n">
        <v>95</v>
      </c>
      <c r="D42" s="6" t="n">
        <v>120</v>
      </c>
      <c r="E42" s="6" t="n">
        <v>140</v>
      </c>
      <c r="F42" s="6" t="n">
        <v>150</v>
      </c>
      <c r="G42" s="6" t="n">
        <v>155</v>
      </c>
      <c r="H42" s="14" t="n">
        <v>160</v>
      </c>
      <c r="I42" s="14" t="n">
        <v>165</v>
      </c>
      <c r="J42" s="14" t="n">
        <v>170</v>
      </c>
      <c r="K42" s="14" t="n">
        <v>175</v>
      </c>
    </row>
    <row r="43">
      <c r="A43" s="5" t="inlineStr">
        <is>
          <t>DSO (days)</t>
        </is>
      </c>
      <c r="H43" s="14" t="n">
        <v>80</v>
      </c>
      <c r="I43" s="14" t="n">
        <v>80</v>
      </c>
      <c r="J43" s="14" t="n">
        <v>80</v>
      </c>
      <c r="K43" s="14" t="n">
        <v>80</v>
      </c>
    </row>
    <row r="44">
      <c r="A44" s="5" t="inlineStr">
        <is>
          <t>DPO (days)</t>
        </is>
      </c>
      <c r="H44" s="14" t="n">
        <v>42</v>
      </c>
      <c r="I44" s="14" t="n">
        <v>42</v>
      </c>
      <c r="J44" s="14" t="n">
        <v>42</v>
      </c>
      <c r="K44" s="14" t="n">
        <v>42</v>
      </c>
    </row>
    <row r="45">
      <c r="A45" s="5" t="inlineStr">
        <is>
          <t>Accrued Liab % of Rev</t>
        </is>
      </c>
      <c r="H45" s="27" t="n">
        <v>0.12</v>
      </c>
      <c r="I45" s="27" t="n">
        <v>0.12</v>
      </c>
      <c r="J45" s="27" t="n">
        <v>0.12</v>
      </c>
      <c r="K45" s="27" t="n">
        <v>0.12</v>
      </c>
    </row>
    <row r="47">
      <c r="A47" s="4" t="inlineStr">
        <is>
          <t>SHARE COUNT</t>
        </is>
      </c>
    </row>
    <row r="48">
      <c r="A48" s="5" t="inlineStr">
        <is>
          <t>Diluted Shares (M)</t>
        </is>
      </c>
      <c r="B48" s="6" t="n">
        <v>1500</v>
      </c>
      <c r="C48" s="6" t="n">
        <v>1548</v>
      </c>
      <c r="D48" s="6" t="n">
        <v>1620</v>
      </c>
      <c r="E48" s="6" t="n">
        <v>1660</v>
      </c>
      <c r="F48" s="6" t="n">
        <v>1676</v>
      </c>
      <c r="G48" s="6" t="n">
        <v>1690</v>
      </c>
      <c r="H48" s="7">
        <f>ROUND(G48*(1+H49),0)</f>
        <v/>
      </c>
      <c r="I48" s="7">
        <f>ROUND(H48*(1+I49),0)</f>
        <v/>
      </c>
      <c r="J48" s="7">
        <f>ROUND(I48*(1+J49),0)</f>
        <v/>
      </c>
      <c r="K48" s="7">
        <f>ROUND(J48*(1+K49),0)</f>
        <v/>
      </c>
    </row>
    <row r="49">
      <c r="A49" s="5" t="inlineStr">
        <is>
          <t>Annual Dilution (%)</t>
        </is>
      </c>
      <c r="C49" s="9">
        <f>C48/B48-1</f>
        <v/>
      </c>
      <c r="D49" s="9">
        <f>D48/C48-1</f>
        <v/>
      </c>
      <c r="E49" s="9">
        <f>E48/D48-1</f>
        <v/>
      </c>
      <c r="F49" s="9">
        <f>F48/E48-1</f>
        <v/>
      </c>
      <c r="G49" s="9">
        <f>G48/F48-1</f>
        <v/>
      </c>
      <c r="H49" s="27" t="n">
        <v>0.012</v>
      </c>
      <c r="I49" s="27" t="n">
        <v>0.008999999999999999</v>
      </c>
      <c r="J49" s="27" t="n">
        <v>0.008999999999999999</v>
      </c>
      <c r="K49" s="27" t="n">
        <v>0.008999999999999999</v>
      </c>
    </row>
    <row r="51">
      <c r="A51" s="4" t="inlineStr">
        <is>
          <t>FINANCING</t>
        </is>
      </c>
    </row>
    <row r="52">
      <c r="A52" s="5" t="inlineStr">
        <is>
          <t>Cash from Financing ($M)</t>
        </is>
      </c>
      <c r="B52" s="6" t="n">
        <v>900</v>
      </c>
      <c r="C52" s="6" t="n">
        <v>1078</v>
      </c>
      <c r="D52" s="6" t="n">
        <v>1307</v>
      </c>
      <c r="E52" s="6" t="n">
        <v>548</v>
      </c>
      <c r="F52" s="6" t="n">
        <v>-519</v>
      </c>
      <c r="G52" s="6" t="n">
        <v>-329</v>
      </c>
      <c r="H52" s="14" t="n">
        <v>-200</v>
      </c>
      <c r="I52" s="14" t="n">
        <v>-200</v>
      </c>
      <c r="J52" s="14" t="n">
        <v>-250</v>
      </c>
      <c r="K52" s="14" t="n">
        <v>-300</v>
      </c>
    </row>
    <row r="54">
      <c r="A54" s="4" t="inlineStr">
        <is>
          <t>QUARTERLY SEASONALITY</t>
        </is>
      </c>
    </row>
    <row r="55">
      <c r="A55" s="2" t="inlineStr"/>
      <c r="B55" s="2" t="inlineStr">
        <is>
          <t>Q1</t>
        </is>
      </c>
      <c r="C55" s="2" t="inlineStr">
        <is>
          <t>Q2</t>
        </is>
      </c>
      <c r="D55" s="2" t="inlineStr">
        <is>
          <t>Q3</t>
        </is>
      </c>
      <c r="E55" s="2" t="inlineStr">
        <is>
          <t>Q4</t>
        </is>
      </c>
    </row>
    <row r="56">
      <c r="A56" s="5" t="inlineStr">
        <is>
          <t>Revenue Seasonality Weight</t>
        </is>
      </c>
      <c r="B56" s="23" t="n">
        <v>0.21</v>
      </c>
      <c r="C56" s="23" t="n">
        <v>0.23</v>
      </c>
      <c r="D56" s="23" t="n">
        <v>0.25</v>
      </c>
      <c r="E56" s="23" t="n">
        <v>0.31</v>
      </c>
    </row>
    <row r="57">
      <c r="A57" s="5" t="inlineStr">
        <is>
          <t>Total Check</t>
        </is>
      </c>
      <c r="B57" s="9">
        <f>SUM(B56:E56)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2026-02-08T21:11:54Z</dcterms:created>
  <dcterms:modified xsi:type="dcterms:W3CDTF">2026-02-08T21:11:54Z</dcterms:modified>
</cp:coreProperties>
</file>