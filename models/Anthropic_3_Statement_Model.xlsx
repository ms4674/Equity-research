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ver" sheetId="1" state="visible" r:id="rId1"/>
    <sheet name="Summary" sheetId="2" state="visible" r:id="rId2"/>
    <sheet name="Assumptions" sheetId="3" state="visible" r:id="rId3"/>
    <sheet name="Revenue Build" sheetId="4" state="visible" r:id="rId4"/>
    <sheet name="Compute Build" sheetId="5" state="visible" r:id="rId5"/>
    <sheet name="Opex Build" sheetId="6" state="visible" r:id="rId6"/>
    <sheet name="Income Statement" sheetId="7" state="visible" r:id="rId7"/>
    <sheet name="Balance Sheet" sheetId="8" state="visible" r:id="rId8"/>
    <sheet name="Cash Flow" sheetId="9" state="visible" r:id="rId9"/>
    <sheet name="Compute Commitments" sheetId="10" state="visible" r:id="rId10"/>
    <sheet name="Historical Data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–&quot;"/>
    <numFmt numFmtId="165" formatCode="0.0"/>
    <numFmt numFmtId="166" formatCode="0.0%;(0.0%);&quot;–&quot;"/>
    <numFmt numFmtId="167" formatCode="0.00&quot;x&quot;;(0.00&quot;x&quot;);&quot;–&quot;"/>
    <numFmt numFmtId="168" formatCode="#,##0.0;(#,##0.0);&quot;–&quot;"/>
    <numFmt numFmtId="169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i val="1"/>
      <color rgb="007F7F7F"/>
      <sz val="9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color rgb="00007A33"/>
      <sz val="10"/>
    </font>
    <font>
      <name val="Calibri"/>
      <b val="1"/>
      <color rgb="00007A33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top style="thin">
        <color rgb="00808080"/>
      </top>
    </border>
    <border>
      <top style="thin">
        <color rgb="00808080"/>
      </top>
      <bottom style="double">
        <color rgb="0080808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horizontal="center"/>
    </xf>
    <xf numFmtId="0" fontId="3" fillId="6" borderId="0" pivotButton="0" quotePrefix="0" xfId="0"/>
    <xf numFmtId="0" fontId="0" fillId="6" borderId="0" pivotButton="0" quotePrefix="0" xfId="0"/>
    <xf numFmtId="164" fontId="11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1" pivotButton="0" quotePrefix="0" xfId="0"/>
    <xf numFmtId="164" fontId="11" fillId="0" borderId="1" pivotButton="0" quotePrefix="0" xfId="0"/>
    <xf numFmtId="166" fontId="10" fillId="0" borderId="0" pivotButton="0" quotePrefix="0" xfId="0"/>
    <xf numFmtId="167" fontId="10" fillId="0" borderId="0" pivotButton="0" quotePrefix="0" xfId="0"/>
    <xf numFmtId="164" fontId="9" fillId="0" borderId="0" pivotButton="0" quotePrefix="0" xfId="0"/>
    <xf numFmtId="0" fontId="7" fillId="0" borderId="0" pivotButton="0" quotePrefix="0" xfId="0"/>
    <xf numFmtId="169" fontId="10" fillId="0" borderId="0" pivotButton="0" quotePrefix="0" xfId="0"/>
    <xf numFmtId="164" fontId="6" fillId="2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9" fillId="0" borderId="0" pivotButton="0" quotePrefix="0" xfId="0"/>
    <xf numFmtId="166" fontId="9" fillId="0" borderId="0" pivotButton="0" quotePrefix="0" xfId="0"/>
    <xf numFmtId="0" fontId="5" fillId="2" borderId="0" pivotButton="0" quotePrefix="0" xfId="0"/>
    <xf numFmtId="0" fontId="7" fillId="2" borderId="0" applyAlignment="1" pivotButton="0" quotePrefix="0" xfId="0">
      <alignment horizontal="center"/>
    </xf>
    <xf numFmtId="0" fontId="0" fillId="2" borderId="0" pivotButton="0" quotePrefix="0" xfId="0"/>
    <xf numFmtId="166" fontId="5" fillId="2" borderId="0" pivotButton="0" quotePrefix="0" xfId="0"/>
    <xf numFmtId="1" fontId="9" fillId="0" borderId="0" pivotButton="0" quotePrefix="0" xfId="0"/>
    <xf numFmtId="164" fontId="5" fillId="2" borderId="0" pivotButton="0" quotePrefix="0" xfId="0"/>
    <xf numFmtId="167" fontId="9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8" fontId="10" fillId="0" borderId="0" pivotButton="0" quotePrefix="0" xfId="0"/>
    <xf numFmtId="0" fontId="7" fillId="0" borderId="1" applyAlignment="1" pivotButton="0" quotePrefix="0" xfId="0">
      <alignment horizontal="center"/>
    </xf>
    <xf numFmtId="164" fontId="5" fillId="0" borderId="1" pivotButton="0" quotePrefix="0" xfId="0"/>
    <xf numFmtId="1" fontId="10" fillId="0" borderId="0" pivotButton="0" quotePrefix="0" xfId="0"/>
    <xf numFmtId="1" fontId="4" fillId="0" borderId="0" pivotButton="0" quotePrefix="0" xfId="0"/>
    <xf numFmtId="0" fontId="5" fillId="0" borderId="2" pivotButton="0" quotePrefix="0" xfId="0"/>
    <xf numFmtId="0" fontId="7" fillId="0" borderId="2" applyAlignment="1" pivotButton="0" quotePrefix="0" xfId="0">
      <alignment horizontal="center"/>
    </xf>
    <xf numFmtId="164" fontId="11" fillId="0" borderId="2" pivotButton="0" quotePrefix="0" xfId="0"/>
    <xf numFmtId="164" fontId="5" fillId="0" borderId="2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5" fillId="7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4" fontId="5" fillId="7" borderId="0" pivotButton="0" quotePrefix="0" xfId="0"/>
    <xf numFmtId="1" fontId="9" fillId="0" borderId="0" applyAlignment="1" pivotButton="0" quotePrefix="0" xfId="0">
      <alignment horizontal="center"/>
    </xf>
    <xf numFmtId="167" fontId="4" fillId="0" borderId="0" pivotButton="0" quotePrefix="0" xfId="0"/>
    <xf numFmtId="164" fontId="6" fillId="0" borderId="0" pivotButton="0" quotePrefix="0" xfId="0"/>
    <xf numFmtId="164" fontId="6" fillId="0" borderId="1" pivotButton="0" quotePrefix="0" xfId="0"/>
    <xf numFmtId="164" fontId="6" fillId="0" borderId="2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($M)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>
              <a:prstDash val="solid"/>
            </a:ln>
          </spPr>
          <cat>
            <numRef>
              <f>'Summary'!$D$6:$I$6</f>
            </numRef>
          </cat>
          <val>
            <numRef>
              <f>'Summary'!$D$9:$I$9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Compute: inference vs. training &amp; research ($M)</a:t>
            </a:r>
          </a:p>
        </rich>
      </tx>
    </title>
    <plotArea>
      <barChart>
        <barDir val="col"/>
        <grouping val="stacked"/>
        <ser>
          <idx val="0"/>
          <order val="0"/>
          <tx>
            <v>Inference compute (paid + free-tier + internal)</v>
          </tx>
          <spPr>
            <a:ln>
              <a:prstDash val="solid"/>
            </a:ln>
          </spPr>
          <cat>
            <numRef>
              <f>'Summary'!$D$6:$I$6</f>
            </numRef>
          </cat>
          <val>
            <numRef>
              <f>'Summary'!$D$14:$I$14</f>
            </numRef>
          </val>
        </ser>
        <ser>
          <idx val="1"/>
          <order val="1"/>
          <tx>
            <v>Training &amp; research compute (incl. take-or-pay shortfall)</v>
          </tx>
          <spPr>
            <a:ln>
              <a:prstDash val="solid"/>
            </a:ln>
          </spPr>
          <cat>
            <numRef>
              <f>'Summary'!$D$6:$I$6</f>
            </numRef>
          </cat>
          <val>
            <numRef>
              <f>'Summary'!$D$15:$I$15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Margins and compute intensity</a:t>
            </a:r>
          </a:p>
        </rich>
      </tx>
    </title>
    <plotArea>
      <lineChart>
        <grouping val="standard"/>
        <ser>
          <idx val="0"/>
          <order val="0"/>
          <tx>
            <v>Gross margin (functional, %)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'Summary'!$D$6:$I$6</f>
            </numRef>
          </cat>
          <val>
            <numRef>
              <f>'Summary'!$D$22:$I$22</f>
            </numRef>
          </val>
        </ser>
        <ser>
          <idx val="1"/>
          <order val="1"/>
          <tx>
            <v>GAAP operating margin (%)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'Summary'!$D$6:$I$6</f>
            </numRef>
          </cat>
          <val>
            <numRef>
              <f>'Summary'!$D$24:$I$24</f>
            </numRef>
          </val>
        </ser>
        <ser>
          <idx val="2"/>
          <order val="2"/>
          <tx>
            <v>Adjusted operating margin (%)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'Summary'!$D$6:$I$6</f>
            </numRef>
          </cat>
          <val>
            <numRef>
              <f>'Summary'!$D$26:$I$26</f>
            </numRef>
          </val>
        </ser>
        <ser>
          <idx val="3"/>
          <order val="3"/>
          <tx>
            <v>Compute as % of revenue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'Summary'!$D$6:$I$6</f>
            </numRef>
          </cat>
          <val>
            <numRef>
              <f>'Summary'!$D$17:$I$17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-2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Free cash flow and year-end cash ($M)</a:t>
            </a:r>
          </a:p>
        </rich>
      </tx>
    </title>
    <plotArea>
      <barChart>
        <barDir val="col"/>
        <grouping val="clustered"/>
        <ser>
          <idx val="0"/>
          <order val="0"/>
          <tx>
            <v>Free cash flow</v>
          </tx>
          <spPr>
            <a:ln>
              <a:prstDash val="solid"/>
            </a:ln>
          </spPr>
          <cat>
            <numRef>
              <f>'Summary'!$D$6:$I$6</f>
            </numRef>
          </cat>
          <val>
            <numRef>
              <f>'Summary'!$D$32:$I$32</f>
            </numRef>
          </val>
        </ser>
        <ser>
          <idx val="1"/>
          <order val="1"/>
          <tx>
            <v>Cash &amp; short-term investments (year-end)</v>
          </tx>
          <spPr>
            <a:ln>
              <a:prstDash val="solid"/>
            </a:ln>
          </spPr>
          <cat>
            <numRef>
              <f>'Summary'!$D$6:$I$6</f>
            </numRef>
          </cat>
          <val>
            <numRef>
              <f>'Summary'!$D$34:$I$34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43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59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59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6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Anthropic, PBC – Three-Statement Financial Model</t>
        </is>
      </c>
    </row>
    <row r="2">
      <c r="A2" s="2" t="inlineStr">
        <is>
          <t>Revenue, training vs. inference compute, income statement, balance sheet and cash flow | FY2023A–FY2030E | USD millions</t>
        </is>
      </c>
    </row>
    <row r="4">
      <c r="A4" s="3" t="inlineStr">
        <is>
          <t>Purpose</t>
        </is>
      </c>
    </row>
    <row r="5">
      <c r="A5" s="4" t="inlineStr">
        <is>
          <t>Integrated 3-statement model for Anthropic built off the Form S-1 (filed 26 Oct 2026, Nasdaq: ANT) and subsequent investor disclosures. The core analytical question is how revenue scales against the compute bill, split between inference (serving customers) and training/research.</t>
        </is>
      </c>
    </row>
    <row r="6">
      <c r="A6" s="4" t="inlineStr"/>
    </row>
    <row r="7">
      <c r="A7" s="3" t="inlineStr">
        <is>
          <t>Structure</t>
        </is>
      </c>
    </row>
    <row r="8">
      <c r="A8" s="4" t="inlineStr">
        <is>
          <t>1. Summary – key outputs, charts and a valuation snapshot (fiscal-year view).</t>
        </is>
      </c>
    </row>
    <row r="9">
      <c r="A9" s="4" t="inlineStr">
        <is>
          <t>2. Assumptions – all forecast drivers. Scenario switch (cell C4): 1 = Base, 2 = Bull, 3 = Bear. Blue cells are inputs.</t>
        </is>
      </c>
    </row>
    <row r="10">
      <c r="A10" s="4" t="inlineStr">
        <is>
          <t>3. Revenue Build – total revenue (Q4'26 off the disclosed Q3'26 run-rate, then annual growth), consumption vs. subscription mix, marketplace vs. direct.</t>
        </is>
      </c>
    </row>
    <row r="11">
      <c r="A11" s="4" t="inlineStr">
        <is>
          <t>4. Compute Build – inference compute (paid, free-tier, internal) vs. training &amp; research compute, with a take-or-pay floor from contracted minimums.</t>
        </is>
      </c>
    </row>
    <row r="12">
      <c r="A12" s="4" t="inlineStr">
        <is>
          <t>5. Opex Build – personnel (headcount × cash comp + SBC), channel-partner fees, marketing, other opex, D&amp;A, and the functional (CoR / R&amp;D / S&amp;M / G&amp;A) allocation.</t>
        </is>
      </c>
    </row>
    <row r="13">
      <c r="A13" s="4" t="inlineStr">
        <is>
          <t>6. Income Statement – GAAP functional presentation, memo by nature of expense, non-GAAP adjusted operating income / EBITDA.</t>
        </is>
      </c>
    </row>
    <row r="14">
      <c r="A14" s="4" t="inlineStr">
        <is>
          <t>7. Balance Sheet – rolls from the Jun-26A filed balance sheet; convertible notes and preferred stock convert to common at the IPO (H2'26E).</t>
        </is>
      </c>
    </row>
    <row r="15">
      <c r="A15" s="4" t="inlineStr">
        <is>
          <t>8. Cash Flow – indirect method; cash and short-term investments are modelled as one pool in the forecast.</t>
        </is>
      </c>
    </row>
    <row r="16">
      <c r="A16" s="4" t="inlineStr">
        <is>
          <t>9. Compute Commitments – estimated annual expense schedule for the contracted compute agreements vs. modelled demand.</t>
        </is>
      </c>
    </row>
    <row r="17">
      <c r="A17" s="4" t="inlineStr">
        <is>
          <t>10. Historical Data – filed statements (FY2023A–FY2025A audited, H1'25/H1'26 unaudited) and quarterly revenue/compute.</t>
        </is>
      </c>
    </row>
    <row r="18">
      <c r="A18" s="4" t="inlineStr">
        <is>
          <t>11. Checks – balance-sheet balance, cash tie-out, nature vs. function reconciliation.</t>
        </is>
      </c>
    </row>
    <row r="19">
      <c r="A19" s="4" t="inlineStr"/>
    </row>
    <row r="20">
      <c r="A20" s="3" t="inlineStr">
        <is>
          <t>Period convention</t>
        </is>
      </c>
    </row>
    <row r="21">
      <c r="A21" s="4" t="inlineStr">
        <is>
          <t>Columns are aligned across all sheets: FY2023A | FY2024A | FY2025A | H1'26A | H2'26E (stub) | FY2026E (= H1A + H2E) | FY2027E–FY2030E. Flows in the H2'26E stub are half-year amounts; balance-sheet ratios annualise them via the period-fraction row on Assumptions.</t>
        </is>
      </c>
    </row>
    <row r="22">
      <c r="A22" s="4" t="inlineStr"/>
    </row>
    <row r="23">
      <c r="A23" s="3" t="inlineStr">
        <is>
          <t>Colour legend</t>
        </is>
      </c>
    </row>
    <row r="24">
      <c r="A24" s="4" t="inlineStr">
        <is>
          <t>Blue font = hard-coded input or filed historical figure.  Black = formula.  Green = link to another sheet.  Yellow fill = live scenario-selected driver.</t>
        </is>
      </c>
    </row>
    <row r="25">
      <c r="A25" s="4" t="inlineStr"/>
    </row>
    <row r="26">
      <c r="A26" s="3" t="inlineStr">
        <is>
          <t>Key simplifications</t>
        </is>
      </c>
    </row>
    <row r="27">
      <c r="A27" s="4" t="inlineStr">
        <is>
          <t>• All compute (including Broadcom TPU finance leases) is expensed as 'compute &amp; infrastructure' in the period the capacity is used; GAAP would show part of this as D&amp;A plus interest with a lease liability on the balance sheet.</t>
        </is>
      </c>
    </row>
    <row r="28">
      <c r="A28" s="4" t="inlineStr">
        <is>
          <t>• The training vs. inference split is not disclosed. Customer-serving inference is anchored to filed cost of revenue; training &amp; research is the residual, and in the forecast it is driven by frontier runs × cost per run × a research multiplier.</t>
        </is>
      </c>
    </row>
    <row r="29">
      <c r="A29" s="4" t="inlineStr">
        <is>
          <t>• Convertible notes (Amazon) and the redeemable preferred stock convert into common equity at the IPO, assumed to close in H2'26E. The pre-conversion fair-value charge is an input and is non-cash.</t>
        </is>
      </c>
    </row>
    <row r="30">
      <c r="A30" s="4" t="inlineStr">
        <is>
          <t>• Marketplace revenue (AWS / Google Cloud / Azure) is recognised gross, with channel-partner fees in S&amp;M, consistent with the S-1.</t>
        </is>
      </c>
    </row>
    <row r="31">
      <c r="A31" s="4" t="inlineStr">
        <is>
          <t>• Tax uses a simple NOL schedule; fair-value charges and the donation-matching expense are treated as non-deductible.</t>
        </is>
      </c>
    </row>
    <row r="32">
      <c r="A32" s="4" t="inlineStr"/>
    </row>
    <row r="33">
      <c r="A33" s="3" t="inlineStr">
        <is>
          <t>Sources</t>
        </is>
      </c>
    </row>
    <row r="34">
      <c r="A34" s="4" t="inlineStr">
        <is>
          <t>Anthropic Form S-1 (SEC, 26 Oct 2026); Reuters / FT / CNBC reporting of the 14 Oct 2026 investor day (Q3'26 revenue $16.8B, adjusted operating margin ~11%, $1.70 revenue per $1 of compute); Bloomberg / CNBC (Jul-26 run-rate &gt;$65B). Deal values for compute commitments as extracted from the S-1 by multiple outlets; the annual phasing is an estimate.</t>
        </is>
      </c>
    </row>
    <row r="35">
      <c r="A35" s="4" t="inlineStr"/>
    </row>
    <row r="36">
      <c r="A36" s="4" t="inlineStr">
        <is>
          <t>This model is for research and illustration. Forecasts are the author's assumptions, not company guidance.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Summary – key outputs (fiscal-year view)</t>
        </is>
      </c>
    </row>
    <row r="2">
      <c r="A2" s="2" t="inlineStr">
        <is>
          <t>Active scenario shown below (switch it on Assumptions!C4). Charts update with the Assumptions sheet.</t>
        </is>
      </c>
    </row>
    <row r="4">
      <c r="A4" s="5" t="inlineStr">
        <is>
          <t>Active scenario</t>
        </is>
      </c>
      <c r="C4" s="6">
        <f>'Assumptions'!$C$4</f>
        <v/>
      </c>
      <c r="D4" s="7">
        <f>CHOOSE('Assumptions'!$C$4,"Base","Bull","Bear")</f>
        <v/>
      </c>
    </row>
    <row r="6">
      <c r="A6" s="8" t="inlineStr">
        <is>
          <t>$M unless noted in label</t>
        </is>
      </c>
      <c r="B6" s="9" t="inlineStr">
        <is>
          <t>FY2023A</t>
        </is>
      </c>
      <c r="C6" s="9" t="inlineStr">
        <is>
          <t>FY2024A</t>
        </is>
      </c>
      <c r="D6" s="9" t="inlineStr">
        <is>
          <t>FY2025A</t>
        </is>
      </c>
      <c r="E6" s="9" t="inlineStr">
        <is>
          <t>FY2026E</t>
        </is>
      </c>
      <c r="F6" s="9" t="inlineStr">
        <is>
          <t>FY2027E</t>
        </is>
      </c>
      <c r="G6" s="9" t="inlineStr">
        <is>
          <t>FY2028E</t>
        </is>
      </c>
      <c r="H6" s="9" t="inlineStr">
        <is>
          <t>FY2029E</t>
        </is>
      </c>
      <c r="I6" s="9" t="inlineStr">
        <is>
          <t>FY2030E</t>
        </is>
      </c>
    </row>
    <row r="8">
      <c r="A8" s="10" t="inlineStr">
        <is>
          <t>Growth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5" t="inlineStr">
        <is>
          <t>Revenue</t>
        </is>
      </c>
      <c r="B9" s="12">
        <f>'Income Statement'!C8</f>
        <v/>
      </c>
      <c r="C9" s="12">
        <f>'Income Statement'!D8</f>
        <v/>
      </c>
      <c r="D9" s="12">
        <f>'Income Statement'!E8</f>
        <v/>
      </c>
      <c r="E9" s="12">
        <f>'Income Statement'!H8</f>
        <v/>
      </c>
      <c r="F9" s="12">
        <f>'Income Statement'!I8</f>
        <v/>
      </c>
      <c r="G9" s="12">
        <f>'Income Statement'!J8</f>
        <v/>
      </c>
      <c r="H9" s="12">
        <f>'Income Statement'!K8</f>
        <v/>
      </c>
      <c r="I9" s="12">
        <f>'Income Statement'!L8</f>
        <v/>
      </c>
    </row>
    <row r="10">
      <c r="A10" s="13" t="inlineStr">
        <is>
          <t xml:space="preserve">   YoY growth (%)</t>
        </is>
      </c>
      <c r="C10" s="14">
        <f>C9/B9-1</f>
        <v/>
      </c>
      <c r="D10" s="14">
        <f>D9/C9-1</f>
        <v/>
      </c>
      <c r="E10" s="14">
        <f>E9/D9-1</f>
        <v/>
      </c>
      <c r="F10" s="14">
        <f>F9/E9-1</f>
        <v/>
      </c>
      <c r="G10" s="14">
        <f>G9/F9-1</f>
        <v/>
      </c>
      <c r="H10" s="14">
        <f>H9/G9-1</f>
        <v/>
      </c>
      <c r="I10" s="14">
        <f>I9/H9-1</f>
        <v/>
      </c>
    </row>
    <row r="11">
      <c r="A11" s="13" t="inlineStr">
        <is>
          <t>Year-end headcount (FTE)</t>
        </is>
      </c>
      <c r="B11" s="6">
        <f>'Opex Build'!C8</f>
        <v/>
      </c>
      <c r="C11" s="6">
        <f>'Opex Build'!D8</f>
        <v/>
      </c>
      <c r="D11" s="6">
        <f>'Opex Build'!E8</f>
        <v/>
      </c>
      <c r="E11" s="6">
        <f>'Opex Build'!H8</f>
        <v/>
      </c>
      <c r="F11" s="6">
        <f>'Opex Build'!I8</f>
        <v/>
      </c>
      <c r="G11" s="6">
        <f>'Opex Build'!J8</f>
        <v/>
      </c>
      <c r="H11" s="6">
        <f>'Opex Build'!K8</f>
        <v/>
      </c>
      <c r="I11" s="6">
        <f>'Opex Build'!L8</f>
        <v/>
      </c>
    </row>
    <row r="13">
      <c r="A13" s="10" t="inlineStr">
        <is>
          <t>Compute – training vs. inference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3" t="inlineStr">
        <is>
          <t>Inference compute (paid + free-tier + internal)</t>
        </is>
      </c>
      <c r="B14" s="6">
        <f>'Compute Build'!C13</f>
        <v/>
      </c>
      <c r="C14" s="6">
        <f>'Compute Build'!D13</f>
        <v/>
      </c>
      <c r="D14" s="6">
        <f>'Compute Build'!E13</f>
        <v/>
      </c>
      <c r="E14" s="6">
        <f>'Compute Build'!H13</f>
        <v/>
      </c>
      <c r="F14" s="6">
        <f>'Compute Build'!I13</f>
        <v/>
      </c>
      <c r="G14" s="6">
        <f>'Compute Build'!J13</f>
        <v/>
      </c>
      <c r="H14" s="6">
        <f>'Compute Build'!K13</f>
        <v/>
      </c>
      <c r="I14" s="6">
        <f>'Compute Build'!L13</f>
        <v/>
      </c>
    </row>
    <row r="15">
      <c r="A15" s="13" t="inlineStr">
        <is>
          <t>Training &amp; research compute (incl. take-or-pay shortfall)</t>
        </is>
      </c>
      <c r="B15" s="6">
        <f>'Income Statement'!C33</f>
        <v/>
      </c>
      <c r="C15" s="6">
        <f>'Income Statement'!D33</f>
        <v/>
      </c>
      <c r="D15" s="6">
        <f>'Income Statement'!E33</f>
        <v/>
      </c>
      <c r="E15" s="6">
        <f>'Income Statement'!H33</f>
        <v/>
      </c>
      <c r="F15" s="6">
        <f>'Income Statement'!I33</f>
        <v/>
      </c>
      <c r="G15" s="6">
        <f>'Income Statement'!J33</f>
        <v/>
      </c>
      <c r="H15" s="6">
        <f>'Income Statement'!K33</f>
        <v/>
      </c>
      <c r="I15" s="6">
        <f>'Income Statement'!L33</f>
        <v/>
      </c>
    </row>
    <row r="16">
      <c r="A16" s="15" t="inlineStr">
        <is>
          <t>Total compute &amp; infrastructure</t>
        </is>
      </c>
      <c r="B16" s="16">
        <f>'Compute Build'!C26</f>
        <v/>
      </c>
      <c r="C16" s="16">
        <f>'Compute Build'!D26</f>
        <v/>
      </c>
      <c r="D16" s="16">
        <f>'Compute Build'!E26</f>
        <v/>
      </c>
      <c r="E16" s="16">
        <f>'Compute Build'!H26</f>
        <v/>
      </c>
      <c r="F16" s="16">
        <f>'Compute Build'!I26</f>
        <v/>
      </c>
      <c r="G16" s="16">
        <f>'Compute Build'!J26</f>
        <v/>
      </c>
      <c r="H16" s="16">
        <f>'Compute Build'!K26</f>
        <v/>
      </c>
      <c r="I16" s="16">
        <f>'Compute Build'!L26</f>
        <v/>
      </c>
    </row>
    <row r="17">
      <c r="A17" s="13" t="inlineStr">
        <is>
          <t xml:space="preserve">   Compute as % of revenue</t>
        </is>
      </c>
      <c r="B17" s="17">
        <f>'Compute Build'!C29</f>
        <v/>
      </c>
      <c r="C17" s="17">
        <f>'Compute Build'!D29</f>
        <v/>
      </c>
      <c r="D17" s="17">
        <f>'Compute Build'!E29</f>
        <v/>
      </c>
      <c r="E17" s="17">
        <f>'Compute Build'!H29</f>
        <v/>
      </c>
      <c r="F17" s="17">
        <f>'Compute Build'!I29</f>
        <v/>
      </c>
      <c r="G17" s="17">
        <f>'Compute Build'!J29</f>
        <v/>
      </c>
      <c r="H17" s="17">
        <f>'Compute Build'!K29</f>
        <v/>
      </c>
      <c r="I17" s="17">
        <f>'Compute Build'!L29</f>
        <v/>
      </c>
    </row>
    <row r="18">
      <c r="A18" s="13" t="inlineStr">
        <is>
          <t xml:space="preserve">   Training &amp; research share of compute (%)</t>
        </is>
      </c>
      <c r="B18" s="17">
        <f>'Compute Build'!C32</f>
        <v/>
      </c>
      <c r="C18" s="17">
        <f>'Compute Build'!D32</f>
        <v/>
      </c>
      <c r="D18" s="17">
        <f>'Compute Build'!E32</f>
        <v/>
      </c>
      <c r="E18" s="17">
        <f>'Compute Build'!H32</f>
        <v/>
      </c>
      <c r="F18" s="17">
        <f>'Compute Build'!I32</f>
        <v/>
      </c>
      <c r="G18" s="17">
        <f>'Compute Build'!J32</f>
        <v/>
      </c>
      <c r="H18" s="17">
        <f>'Compute Build'!K32</f>
        <v/>
      </c>
      <c r="I18" s="17">
        <f>'Compute Build'!L32</f>
        <v/>
      </c>
    </row>
    <row r="19">
      <c r="A19" s="13" t="inlineStr">
        <is>
          <t xml:space="preserve">   Revenue per $1 of compute (x)</t>
        </is>
      </c>
      <c r="B19" s="18">
        <f>'Compute Build'!C30</f>
        <v/>
      </c>
      <c r="C19" s="18">
        <f>'Compute Build'!D30</f>
        <v/>
      </c>
      <c r="D19" s="18">
        <f>'Compute Build'!E30</f>
        <v/>
      </c>
      <c r="E19" s="18">
        <f>'Compute Build'!H30</f>
        <v/>
      </c>
      <c r="F19" s="18">
        <f>'Compute Build'!I30</f>
        <v/>
      </c>
      <c r="G19" s="18">
        <f>'Compute Build'!J30</f>
        <v/>
      </c>
      <c r="H19" s="18">
        <f>'Compute Build'!K30</f>
        <v/>
      </c>
      <c r="I19" s="18">
        <f>'Compute Build'!L30</f>
        <v/>
      </c>
    </row>
    <row r="21">
      <c r="A21" s="10" t="inlineStr">
        <is>
          <t>Profitability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3" t="inlineStr">
        <is>
          <t>Gross margin (functional, %)</t>
        </is>
      </c>
      <c r="B22" s="17">
        <f>'Income Statement'!C12</f>
        <v/>
      </c>
      <c r="C22" s="17">
        <f>'Income Statement'!D12</f>
        <v/>
      </c>
      <c r="D22" s="17">
        <f>'Income Statement'!E12</f>
        <v/>
      </c>
      <c r="E22" s="17">
        <f>'Income Statement'!H12</f>
        <v/>
      </c>
      <c r="F22" s="17">
        <f>'Income Statement'!I12</f>
        <v/>
      </c>
      <c r="G22" s="17">
        <f>'Income Statement'!J12</f>
        <v/>
      </c>
      <c r="H22" s="17">
        <f>'Income Statement'!K12</f>
        <v/>
      </c>
      <c r="I22" s="17">
        <f>'Income Statement'!L12</f>
        <v/>
      </c>
    </row>
    <row r="23">
      <c r="A23" s="5" t="inlineStr">
        <is>
          <t>Operating income (loss) – GAAP</t>
        </is>
      </c>
      <c r="B23" s="12">
        <f>'Income Statement'!C18</f>
        <v/>
      </c>
      <c r="C23" s="12">
        <f>'Income Statement'!D18</f>
        <v/>
      </c>
      <c r="D23" s="12">
        <f>'Income Statement'!E18</f>
        <v/>
      </c>
      <c r="E23" s="12">
        <f>'Income Statement'!H18</f>
        <v/>
      </c>
      <c r="F23" s="12">
        <f>'Income Statement'!I18</f>
        <v/>
      </c>
      <c r="G23" s="12">
        <f>'Income Statement'!J18</f>
        <v/>
      </c>
      <c r="H23" s="12">
        <f>'Income Statement'!K18</f>
        <v/>
      </c>
      <c r="I23" s="12">
        <f>'Income Statement'!L18</f>
        <v/>
      </c>
    </row>
    <row r="24">
      <c r="A24" s="13" t="inlineStr">
        <is>
          <t xml:space="preserve">   GAAP operating margin (%)</t>
        </is>
      </c>
      <c r="B24" s="17">
        <f>'Income Statement'!C19</f>
        <v/>
      </c>
      <c r="C24" s="17">
        <f>'Income Statement'!D19</f>
        <v/>
      </c>
      <c r="D24" s="17">
        <f>'Income Statement'!E19</f>
        <v/>
      </c>
      <c r="E24" s="17">
        <f>'Income Statement'!H19</f>
        <v/>
      </c>
      <c r="F24" s="17">
        <f>'Income Statement'!I19</f>
        <v/>
      </c>
      <c r="G24" s="17">
        <f>'Income Statement'!J19</f>
        <v/>
      </c>
      <c r="H24" s="17">
        <f>'Income Statement'!K19</f>
        <v/>
      </c>
      <c r="I24" s="17">
        <f>'Income Statement'!L19</f>
        <v/>
      </c>
    </row>
    <row r="25">
      <c r="A25" s="5" t="inlineStr">
        <is>
          <t>Adjusted operating income (ex-SBC, donation matching, Bartz)</t>
        </is>
      </c>
      <c r="B25" s="12">
        <f>'Income Statement'!C44</f>
        <v/>
      </c>
      <c r="C25" s="12">
        <f>'Income Statement'!D44</f>
        <v/>
      </c>
      <c r="D25" s="12">
        <f>'Income Statement'!E44</f>
        <v/>
      </c>
      <c r="E25" s="12">
        <f>'Income Statement'!H44</f>
        <v/>
      </c>
      <c r="F25" s="12">
        <f>'Income Statement'!I44</f>
        <v/>
      </c>
      <c r="G25" s="12">
        <f>'Income Statement'!J44</f>
        <v/>
      </c>
      <c r="H25" s="12">
        <f>'Income Statement'!K44</f>
        <v/>
      </c>
      <c r="I25" s="12">
        <f>'Income Statement'!L44</f>
        <v/>
      </c>
    </row>
    <row r="26">
      <c r="A26" s="13" t="inlineStr">
        <is>
          <t xml:space="preserve">   Adjusted operating margin (%)</t>
        </is>
      </c>
      <c r="B26" s="17">
        <f>'Income Statement'!C45</f>
        <v/>
      </c>
      <c r="C26" s="17">
        <f>'Income Statement'!D45</f>
        <v/>
      </c>
      <c r="D26" s="17">
        <f>'Income Statement'!E45</f>
        <v/>
      </c>
      <c r="E26" s="17">
        <f>'Income Statement'!H45</f>
        <v/>
      </c>
      <c r="F26" s="17">
        <f>'Income Statement'!I45</f>
        <v/>
      </c>
      <c r="G26" s="17">
        <f>'Income Statement'!J45</f>
        <v/>
      </c>
      <c r="H26" s="17">
        <f>'Income Statement'!K45</f>
        <v/>
      </c>
      <c r="I26" s="17">
        <f>'Income Statement'!L45</f>
        <v/>
      </c>
    </row>
    <row r="27">
      <c r="A27" s="5" t="inlineStr">
        <is>
          <t>Net income (loss) – GAAP</t>
        </is>
      </c>
      <c r="B27" s="12">
        <f>'Income Statement'!C26</f>
        <v/>
      </c>
      <c r="C27" s="12">
        <f>'Income Statement'!D26</f>
        <v/>
      </c>
      <c r="D27" s="12">
        <f>'Income Statement'!E26</f>
        <v/>
      </c>
      <c r="E27" s="12">
        <f>'Income Statement'!H26</f>
        <v/>
      </c>
      <c r="F27" s="12">
        <f>'Income Statement'!I26</f>
        <v/>
      </c>
      <c r="G27" s="12">
        <f>'Income Statement'!J26</f>
        <v/>
      </c>
      <c r="H27" s="12">
        <f>'Income Statement'!K26</f>
        <v/>
      </c>
      <c r="I27" s="12">
        <f>'Income Statement'!L26</f>
        <v/>
      </c>
    </row>
    <row r="28">
      <c r="A28" s="13" t="inlineStr">
        <is>
          <t>Adjusted net income</t>
        </is>
      </c>
      <c r="B28" s="6">
        <f>'Income Statement'!C48</f>
        <v/>
      </c>
      <c r="C28" s="6">
        <f>'Income Statement'!D48</f>
        <v/>
      </c>
      <c r="D28" s="6">
        <f>'Income Statement'!E48</f>
        <v/>
      </c>
      <c r="E28" s="6">
        <f>'Income Statement'!H48</f>
        <v/>
      </c>
      <c r="F28" s="6">
        <f>'Income Statement'!I48</f>
        <v/>
      </c>
      <c r="G28" s="6">
        <f>'Income Statement'!J48</f>
        <v/>
      </c>
      <c r="H28" s="6">
        <f>'Income Statement'!K48</f>
        <v/>
      </c>
      <c r="I28" s="6">
        <f>'Income Statement'!L48</f>
        <v/>
      </c>
    </row>
    <row r="30">
      <c r="A30" s="10" t="inlineStr">
        <is>
          <t>Cash flow &amp; balance sheet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Operating cash flow</t>
        </is>
      </c>
      <c r="B31" s="6">
        <f>'Cash Flow'!C19</f>
        <v/>
      </c>
      <c r="C31" s="6">
        <f>'Cash Flow'!D19</f>
        <v/>
      </c>
      <c r="D31" s="6">
        <f>'Cash Flow'!E19</f>
        <v/>
      </c>
      <c r="E31" s="6">
        <f>'Cash Flow'!H19</f>
        <v/>
      </c>
      <c r="F31" s="6">
        <f>'Cash Flow'!I19</f>
        <v/>
      </c>
      <c r="G31" s="6">
        <f>'Cash Flow'!J19</f>
        <v/>
      </c>
      <c r="H31" s="6">
        <f>'Cash Flow'!K19</f>
        <v/>
      </c>
      <c r="I31" s="6">
        <f>'Cash Flow'!L19</f>
        <v/>
      </c>
    </row>
    <row r="32">
      <c r="A32" s="5" t="inlineStr">
        <is>
          <t>Free cash flow</t>
        </is>
      </c>
      <c r="B32" s="12">
        <f>'Cash Flow'!C45</f>
        <v/>
      </c>
      <c r="C32" s="12">
        <f>'Cash Flow'!D45</f>
        <v/>
      </c>
      <c r="D32" s="12">
        <f>'Cash Flow'!E45</f>
        <v/>
      </c>
      <c r="E32" s="12">
        <f>'Cash Flow'!H45</f>
        <v/>
      </c>
      <c r="F32" s="12">
        <f>'Cash Flow'!I45</f>
        <v/>
      </c>
      <c r="G32" s="12">
        <f>'Cash Flow'!J45</f>
        <v/>
      </c>
      <c r="H32" s="12">
        <f>'Cash Flow'!K45</f>
        <v/>
      </c>
      <c r="I32" s="12">
        <f>'Cash Flow'!L45</f>
        <v/>
      </c>
    </row>
    <row r="33">
      <c r="A33" s="13" t="inlineStr">
        <is>
          <t xml:space="preserve">   FCF margin (%)</t>
        </is>
      </c>
      <c r="B33" s="17">
        <f>'Cash Flow'!C46</f>
        <v/>
      </c>
      <c r="C33" s="17">
        <f>'Cash Flow'!D46</f>
        <v/>
      </c>
      <c r="D33" s="17">
        <f>'Cash Flow'!E46</f>
        <v/>
      </c>
      <c r="E33" s="17">
        <f>'Cash Flow'!H46</f>
        <v/>
      </c>
      <c r="F33" s="17">
        <f>'Cash Flow'!I46</f>
        <v/>
      </c>
      <c r="G33" s="17">
        <f>'Cash Flow'!J46</f>
        <v/>
      </c>
      <c r="H33" s="17">
        <f>'Cash Flow'!K46</f>
        <v/>
      </c>
      <c r="I33" s="17">
        <f>'Cash Flow'!L46</f>
        <v/>
      </c>
    </row>
    <row r="34">
      <c r="A34" s="5" t="inlineStr">
        <is>
          <t>Cash &amp; short-term investments (year-end)</t>
        </is>
      </c>
      <c r="B34" s="12">
        <f>'Balance Sheet'!C8</f>
        <v/>
      </c>
      <c r="C34" s="12">
        <f>'Balance Sheet'!D8</f>
        <v/>
      </c>
      <c r="D34" s="12">
        <f>'Balance Sheet'!E8</f>
        <v/>
      </c>
      <c r="E34" s="12">
        <f>'Balance Sheet'!H8</f>
        <v/>
      </c>
      <c r="F34" s="12">
        <f>'Balance Sheet'!I8</f>
        <v/>
      </c>
      <c r="G34" s="12">
        <f>'Balance Sheet'!J8</f>
        <v/>
      </c>
      <c r="H34" s="12">
        <f>'Balance Sheet'!K8</f>
        <v/>
      </c>
      <c r="I34" s="12">
        <f>'Balance Sheet'!L8</f>
        <v/>
      </c>
    </row>
    <row r="35">
      <c r="A35" s="13" t="inlineStr">
        <is>
          <t>Total equity incl. preferred (year-end)</t>
        </is>
      </c>
      <c r="B35" s="6">
        <f>'Balance Sheet'!C33</f>
        <v/>
      </c>
      <c r="C35" s="6">
        <f>'Balance Sheet'!D33</f>
        <v/>
      </c>
      <c r="D35" s="6">
        <f>'Balance Sheet'!E33</f>
        <v/>
      </c>
      <c r="E35" s="6">
        <f>'Balance Sheet'!H33</f>
        <v/>
      </c>
      <c r="F35" s="6">
        <f>'Balance Sheet'!I33</f>
        <v/>
      </c>
      <c r="G35" s="6">
        <f>'Balance Sheet'!J33</f>
        <v/>
      </c>
      <c r="H35" s="6">
        <f>'Balance Sheet'!K33</f>
        <v/>
      </c>
      <c r="I35" s="6">
        <f>'Balance Sheet'!L33</f>
        <v/>
      </c>
    </row>
    <row r="37">
      <c r="A37" s="10" t="inlineStr">
        <is>
          <t>Valuation snapshot (illustrative)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Assumed equity value at IPO ($M) – input</t>
        </is>
      </c>
      <c r="B38" s="19" t="n">
        <v>1500000</v>
      </c>
      <c r="M38" s="20" t="inlineStr">
        <is>
          <t>Press reports: $1.5–2.0T discussed; the S-1 price range is blank.</t>
        </is>
      </c>
    </row>
    <row r="39">
      <c r="A39" s="13" t="inlineStr">
        <is>
          <t>Implied enterprise value (equity value – Dec-26E cash &amp; STI + debt)</t>
        </is>
      </c>
      <c r="B39" s="6">
        <f>B38-'Balance Sheet'!G8+'Balance Sheet'!G24</f>
        <v/>
      </c>
    </row>
    <row r="40">
      <c r="A40" s="13" t="inlineStr">
        <is>
          <t>EV / revenue (x)</t>
        </is>
      </c>
      <c r="E40" s="21">
        <f>IF('Income Statement'!H8&gt;0,$B$39/'Income Statement'!H8,"n.m.")</f>
        <v/>
      </c>
      <c r="F40" s="21">
        <f>IF('Income Statement'!I8&gt;0,$B$39/'Income Statement'!I8,"n.m.")</f>
        <v/>
      </c>
      <c r="G40" s="21">
        <f>IF('Income Statement'!J8&gt;0,$B$39/'Income Statement'!J8,"n.m.")</f>
        <v/>
      </c>
      <c r="H40" s="21">
        <f>IF('Income Statement'!K8&gt;0,$B$39/'Income Statement'!K8,"n.m.")</f>
        <v/>
      </c>
      <c r="I40" s="21">
        <f>IF('Income Statement'!L8&gt;0,$B$39/'Income Statement'!L8,"n.m.")</f>
        <v/>
      </c>
    </row>
    <row r="41">
      <c r="A41" s="13" t="inlineStr">
        <is>
          <t>EV / adjusted operating income (x)</t>
        </is>
      </c>
      <c r="E41" s="21">
        <f>IF('Income Statement'!H44&gt;0,$B$39/'Income Statement'!H44,"n.m.")</f>
        <v/>
      </c>
      <c r="F41" s="21">
        <f>IF('Income Statement'!I44&gt;0,$B$39/'Income Statement'!I44,"n.m.")</f>
        <v/>
      </c>
      <c r="G41" s="21">
        <f>IF('Income Statement'!J44&gt;0,$B$39/'Income Statement'!J44,"n.m.")</f>
        <v/>
      </c>
      <c r="H41" s="21">
        <f>IF('Income Statement'!K44&gt;0,$B$39/'Income Statement'!K44,"n.m.")</f>
        <v/>
      </c>
      <c r="I41" s="21">
        <f>IF('Income Statement'!L44&gt;0,$B$39/'Income Statement'!L44,"n.m.")</f>
        <v/>
      </c>
    </row>
    <row r="42">
      <c r="A42" s="13" t="inlineStr">
        <is>
          <t>Equity value / free cash flow (x)</t>
        </is>
      </c>
      <c r="E42" s="21">
        <f>IF('Cash Flow'!H45&gt;0,$B$38/'Cash Flow'!H45,"n.m.")</f>
        <v/>
      </c>
      <c r="F42" s="21">
        <f>IF('Cash Flow'!I45&gt;0,$B$38/'Cash Flow'!I45,"n.m.")</f>
        <v/>
      </c>
      <c r="G42" s="21">
        <f>IF('Cash Flow'!J45&gt;0,$B$38/'Cash Flow'!J45,"n.m.")</f>
        <v/>
      </c>
      <c r="H42" s="21">
        <f>IF('Cash Flow'!K45&gt;0,$B$38/'Cash Flow'!K45,"n.m.")</f>
        <v/>
      </c>
      <c r="I42" s="21">
        <f>IF('Cash Flow'!L45&gt;0,$B$38/'Cash Flow'!L45,"n.m.")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8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Assumptions &amp; Drivers</t>
        </is>
      </c>
    </row>
    <row r="2">
      <c r="A2" s="2" t="inlineStr">
        <is>
          <t>Blue = input. Yellow rows are the live scenario-selected drivers used by the model.</t>
        </is>
      </c>
    </row>
    <row r="4">
      <c r="A4" s="5" t="inlineStr">
        <is>
          <t>Scenario switch (1 = Base, 2 = Bull, 3 = Bear)</t>
        </is>
      </c>
      <c r="C4" s="22" t="n">
        <v>1</v>
      </c>
      <c r="D4" s="5">
        <f>CHOOSE(C4,"Base","Bull","Bear")</f>
        <v/>
      </c>
      <c r="M4" s="20" t="inlineStr">
        <is>
          <t>Change this cell to flip every scenario-driven input in the model.</t>
        </is>
      </c>
    </row>
    <row r="6">
      <c r="A6" s="8" t="inlineStr">
        <is>
          <t>$M unless noted</t>
        </is>
      </c>
      <c r="B6" s="9" t="inlineStr">
        <is>
          <t>Unit</t>
        </is>
      </c>
      <c r="C6" s="9" t="inlineStr">
        <is>
          <t>FY2023A</t>
        </is>
      </c>
      <c r="D6" s="9" t="inlineStr">
        <is>
          <t>FY2024A</t>
        </is>
      </c>
      <c r="E6" s="9" t="inlineStr">
        <is>
          <t>FY2025A</t>
        </is>
      </c>
      <c r="F6" s="9" t="inlineStr">
        <is>
          <t>H1'26A</t>
        </is>
      </c>
      <c r="G6" s="9" t="inlineStr">
        <is>
          <t>H2'26E</t>
        </is>
      </c>
      <c r="H6" s="9" t="inlineStr">
        <is>
          <t>FY2026E</t>
        </is>
      </c>
      <c r="I6" s="9" t="inlineStr">
        <is>
          <t>FY2027E</t>
        </is>
      </c>
      <c r="J6" s="9" t="inlineStr">
        <is>
          <t>FY2028E</t>
        </is>
      </c>
      <c r="K6" s="9" t="inlineStr">
        <is>
          <t>FY2029E</t>
        </is>
      </c>
      <c r="L6" s="9" t="inlineStr">
        <is>
          <t>FY2030E</t>
        </is>
      </c>
      <c r="M6" s="8" t="inlineStr">
        <is>
          <t>Notes / source</t>
        </is>
      </c>
    </row>
    <row r="7">
      <c r="C7" s="23" t="inlineStr">
        <is>
          <t>Actual</t>
        </is>
      </c>
      <c r="D7" s="23" t="inlineStr">
        <is>
          <t>Actual</t>
        </is>
      </c>
      <c r="E7" s="23" t="inlineStr">
        <is>
          <t>Actual</t>
        </is>
      </c>
      <c r="F7" s="23" t="inlineStr">
        <is>
          <t>Actual</t>
        </is>
      </c>
      <c r="G7" s="24" t="inlineStr">
        <is>
          <t>Forecast</t>
        </is>
      </c>
      <c r="H7" s="24" t="inlineStr">
        <is>
          <t>H1A + H2E</t>
        </is>
      </c>
      <c r="I7" s="24" t="inlineStr">
        <is>
          <t>Forecast</t>
        </is>
      </c>
      <c r="J7" s="24" t="inlineStr">
        <is>
          <t>Forecast</t>
        </is>
      </c>
      <c r="K7" s="24" t="inlineStr">
        <is>
          <t>Forecast</t>
        </is>
      </c>
      <c r="L7" s="24" t="inlineStr">
        <is>
          <t>Forecast</t>
        </is>
      </c>
    </row>
    <row r="9">
      <c r="A9" s="10" t="inlineStr">
        <is>
          <t>Period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3" t="inlineStr">
        <is>
          <t>Period length (fraction of a year)</t>
        </is>
      </c>
      <c r="B10" s="25" t="inlineStr">
        <is>
          <t>yrs</t>
        </is>
      </c>
      <c r="C10" s="26" t="n">
        <v>1</v>
      </c>
      <c r="D10" s="26" t="n">
        <v>1</v>
      </c>
      <c r="E10" s="26" t="n">
        <v>1</v>
      </c>
      <c r="F10" s="26" t="n">
        <v>0.5</v>
      </c>
      <c r="G10" s="26" t="n">
        <v>0.5</v>
      </c>
      <c r="H10" s="26" t="n">
        <v>1</v>
      </c>
      <c r="I10" s="26" t="n">
        <v>1</v>
      </c>
      <c r="J10" s="26" t="n">
        <v>1</v>
      </c>
      <c r="K10" s="26" t="n">
        <v>1</v>
      </c>
      <c r="L10" s="26" t="n">
        <v>1</v>
      </c>
      <c r="M10" s="20" t="inlineStr">
        <is>
          <t>Used to annualise stub-period flows for balance-sheet ratios, interest and personnel cost.</t>
        </is>
      </c>
    </row>
    <row r="12">
      <c r="A12" s="10" t="inlineStr">
        <is>
          <t>Revenue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3" t="inlineStr">
        <is>
          <t xml:space="preserve">   Q4'26 revenue growth vs. Q3'26 (QoQ) – Base</t>
        </is>
      </c>
      <c r="B13" s="25" t="inlineStr">
        <is>
          <t>%</t>
        </is>
      </c>
      <c r="G13" s="27" t="n">
        <v>0.15</v>
      </c>
    </row>
    <row r="14">
      <c r="A14" s="13" t="inlineStr">
        <is>
          <t xml:space="preserve">   Q4'26 revenue growth vs. Q3'26 (QoQ) – Bull</t>
        </is>
      </c>
      <c r="B14" s="25" t="inlineStr">
        <is>
          <t>%</t>
        </is>
      </c>
      <c r="G14" s="27" t="n">
        <v>0.25</v>
      </c>
    </row>
    <row r="15">
      <c r="A15" s="13" t="inlineStr">
        <is>
          <t xml:space="preserve">   Q4'26 revenue growth vs. Q3'26 (QoQ) – Bear</t>
        </is>
      </c>
      <c r="B15" s="25" t="inlineStr">
        <is>
          <t>%</t>
        </is>
      </c>
      <c r="G15" s="27" t="n">
        <v>0.05</v>
      </c>
    </row>
    <row r="16">
      <c r="A16" s="28" t="inlineStr">
        <is>
          <t>Q4'26 revenue growth vs. Q3'26 (QoQ) – LIVE (selected scenario)</t>
        </is>
      </c>
      <c r="B16" s="29" t="inlineStr">
        <is>
          <t>%</t>
        </is>
      </c>
      <c r="C16" s="30" t="n"/>
      <c r="D16" s="30" t="n"/>
      <c r="E16" s="30" t="n"/>
      <c r="F16" s="30" t="n"/>
      <c r="G16" s="31">
        <f>CHOOSE($C$4,G13,G14,G15)</f>
        <v/>
      </c>
      <c r="H16" s="30" t="n"/>
      <c r="I16" s="30" t="n"/>
      <c r="J16" s="30" t="n"/>
      <c r="K16" s="30" t="n"/>
      <c r="L16" s="30" t="n"/>
      <c r="M16" s="20" t="inlineStr">
        <is>
          <t>Q3'26 revenue $16.8B (+45% QoQ) disclosed 14 Oct 2026. Run-rate ~$70–74B (Oct) implies Q4 ≈ $18–19B.</t>
        </is>
      </c>
    </row>
    <row r="17">
      <c r="A17" s="13" t="inlineStr">
        <is>
          <t xml:space="preserve">   Total revenue growth (YoY) – Base</t>
        </is>
      </c>
      <c r="B17" s="25" t="inlineStr">
        <is>
          <t>%</t>
        </is>
      </c>
      <c r="I17" s="27" t="n">
        <v>0.95</v>
      </c>
      <c r="J17" s="27" t="n">
        <v>0.5</v>
      </c>
      <c r="K17" s="27" t="n">
        <v>0.32</v>
      </c>
      <c r="L17" s="27" t="n">
        <v>0.22</v>
      </c>
    </row>
    <row r="18">
      <c r="A18" s="13" t="inlineStr">
        <is>
          <t xml:space="preserve">   Total revenue growth (YoY) – Bull</t>
        </is>
      </c>
      <c r="B18" s="25" t="inlineStr">
        <is>
          <t>%</t>
        </is>
      </c>
      <c r="I18" s="27" t="n">
        <v>1.3</v>
      </c>
      <c r="J18" s="27" t="n">
        <v>0.65</v>
      </c>
      <c r="K18" s="27" t="n">
        <v>0.4</v>
      </c>
      <c r="L18" s="27" t="n">
        <v>0.28</v>
      </c>
    </row>
    <row r="19">
      <c r="A19" s="13" t="inlineStr">
        <is>
          <t xml:space="preserve">   Total revenue growth (YoY) – Bear</t>
        </is>
      </c>
      <c r="B19" s="25" t="inlineStr">
        <is>
          <t>%</t>
        </is>
      </c>
      <c r="I19" s="27" t="n">
        <v>0.55</v>
      </c>
      <c r="J19" s="27" t="n">
        <v>0.28</v>
      </c>
      <c r="K19" s="27" t="n">
        <v>0.18</v>
      </c>
      <c r="L19" s="27" t="n">
        <v>0.12</v>
      </c>
    </row>
    <row r="20">
      <c r="A20" s="28" t="inlineStr">
        <is>
          <t>Total revenue growth (YoY) – LIVE (selected scenario)</t>
        </is>
      </c>
      <c r="B20" s="29" t="inlineStr">
        <is>
          <t>%</t>
        </is>
      </c>
      <c r="C20" s="30" t="n"/>
      <c r="D20" s="30" t="n"/>
      <c r="E20" s="30" t="n"/>
      <c r="F20" s="30" t="n"/>
      <c r="G20" s="30" t="n"/>
      <c r="H20" s="30" t="n"/>
      <c r="I20" s="31">
        <f>CHOOSE($C$4,I17,I18,I19)</f>
        <v/>
      </c>
      <c r="J20" s="31">
        <f>CHOOSE($C$4,J17,J18,J19)</f>
        <v/>
      </c>
      <c r="K20" s="31">
        <f>CHOOSE($C$4,K17,K18,K19)</f>
        <v/>
      </c>
      <c r="L20" s="31">
        <f>CHOOSE($C$4,L17,L18,L19)</f>
        <v/>
      </c>
      <c r="M20" s="20" t="inlineStr">
        <is>
          <t>Growth decelerates from +1,088% (FY25) as the base scales; S-1 warns growth will not continue at comparable rates.</t>
        </is>
      </c>
    </row>
    <row r="21">
      <c r="A21" s="13" t="inlineStr">
        <is>
          <t>Subscription revenue as % of total</t>
        </is>
      </c>
      <c r="B21" s="25" t="inlineStr">
        <is>
          <t>%</t>
        </is>
      </c>
      <c r="G21" s="27" t="n">
        <v>0.2</v>
      </c>
      <c r="I21" s="27" t="n">
        <v>0.2</v>
      </c>
      <c r="J21" s="27" t="n">
        <v>0.21</v>
      </c>
      <c r="K21" s="27" t="n">
        <v>0.22</v>
      </c>
      <c r="L21" s="27" t="n">
        <v>0.22</v>
      </c>
      <c r="M21" s="20" t="inlineStr">
        <is>
          <t>H1'26: 20% subscription / 80% consumption (filed). Consumer &amp; team plans (Pro, Max, Team, Enterprise seats).</t>
        </is>
      </c>
    </row>
    <row r="22">
      <c r="A22" s="13" t="inlineStr">
        <is>
          <t>Revenue via cloud marketplaces (AWS / GCP / Azure) as % of total</t>
        </is>
      </c>
      <c r="B22" s="25" t="inlineStr">
        <is>
          <t>%</t>
        </is>
      </c>
      <c r="G22" s="27" t="n">
        <v>0.48</v>
      </c>
      <c r="I22" s="27" t="n">
        <v>0.47</v>
      </c>
      <c r="J22" s="27" t="n">
        <v>0.45</v>
      </c>
      <c r="K22" s="27" t="n">
        <v>0.43</v>
      </c>
      <c r="L22" s="27" t="n">
        <v>0.41</v>
      </c>
      <c r="M22" s="20" t="inlineStr">
        <is>
          <t>H1'26: 48% (filed). Recognised gross; channel-partner fees sit in S&amp;M.</t>
        </is>
      </c>
    </row>
    <row r="24">
      <c r="A24" s="10" t="inlineStr">
        <is>
          <t>Compute – inference (serving)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 xml:space="preserve">   Paid inference compute as % of consumption revenue – Base</t>
        </is>
      </c>
      <c r="B25" s="25" t="inlineStr">
        <is>
          <t>%</t>
        </is>
      </c>
      <c r="G25" s="27" t="n">
        <v>0.1</v>
      </c>
      <c r="I25" s="27" t="n">
        <v>0.105</v>
      </c>
      <c r="J25" s="27" t="n">
        <v>0.1</v>
      </c>
      <c r="K25" s="27" t="n">
        <v>0.095</v>
      </c>
      <c r="L25" s="27" t="n">
        <v>0.09</v>
      </c>
    </row>
    <row r="26">
      <c r="A26" s="13" t="inlineStr">
        <is>
          <t xml:space="preserve">   Paid inference compute as % of consumption revenue – Bull</t>
        </is>
      </c>
      <c r="B26" s="25" t="inlineStr">
        <is>
          <t>%</t>
        </is>
      </c>
      <c r="G26" s="27" t="n">
        <v>0.095</v>
      </c>
      <c r="I26" s="27" t="n">
        <v>0.095</v>
      </c>
      <c r="J26" s="27" t="n">
        <v>0.09</v>
      </c>
      <c r="K26" s="27" t="n">
        <v>0.08500000000000001</v>
      </c>
      <c r="L26" s="27" t="n">
        <v>0.08</v>
      </c>
    </row>
    <row r="27">
      <c r="A27" s="13" t="inlineStr">
        <is>
          <t xml:space="preserve">   Paid inference compute as % of consumption revenue – Bear</t>
        </is>
      </c>
      <c r="B27" s="25" t="inlineStr">
        <is>
          <t>%</t>
        </is>
      </c>
      <c r="G27" s="27" t="n">
        <v>0.11</v>
      </c>
      <c r="I27" s="27" t="n">
        <v>0.125</v>
      </c>
      <c r="J27" s="27" t="n">
        <v>0.125</v>
      </c>
      <c r="K27" s="27" t="n">
        <v>0.12</v>
      </c>
      <c r="L27" s="27" t="n">
        <v>0.115</v>
      </c>
    </row>
    <row r="28">
      <c r="A28" s="28" t="inlineStr">
        <is>
          <t>Paid inference compute as % of consumption revenue – LIVE (selected scenario)</t>
        </is>
      </c>
      <c r="B28" s="29" t="inlineStr">
        <is>
          <t>%</t>
        </is>
      </c>
      <c r="C28" s="30" t="n"/>
      <c r="D28" s="30" t="n"/>
      <c r="E28" s="30" t="n"/>
      <c r="F28" s="30" t="n"/>
      <c r="G28" s="31">
        <f>CHOOSE($C$4,G25,G26,G27)</f>
        <v/>
      </c>
      <c r="H28" s="30" t="n"/>
      <c r="I28" s="31">
        <f>CHOOSE($C$4,I25,I26,I27)</f>
        <v/>
      </c>
      <c r="J28" s="31">
        <f>CHOOSE($C$4,J25,J26,J27)</f>
        <v/>
      </c>
      <c r="K28" s="31">
        <f>CHOOSE($C$4,K25,K26,K27)</f>
        <v/>
      </c>
      <c r="L28" s="31">
        <f>CHOOSE($C$4,L25,L26,L27)</f>
        <v/>
      </c>
      <c r="M28" s="20" t="inlineStr">
        <is>
          <t>≈ 1 – API serving gross margin. H1'26 implied ~10% (CoR $2.38B 'substantially all' serving compute). S-1 flags near-term compression from higher-cost short-term capacity when demand exceeds contracted supply.</t>
        </is>
      </c>
    </row>
    <row r="29">
      <c r="A29" s="13" t="inlineStr">
        <is>
          <t xml:space="preserve">   Paid inference compute as % of subscription revenue – Base</t>
        </is>
      </c>
      <c r="B29" s="25" t="inlineStr">
        <is>
          <t>%</t>
        </is>
      </c>
      <c r="G29" s="27" t="n">
        <v>0.3</v>
      </c>
      <c r="I29" s="27" t="n">
        <v>0.29</v>
      </c>
      <c r="J29" s="27" t="n">
        <v>0.28</v>
      </c>
      <c r="K29" s="27" t="n">
        <v>0.27</v>
      </c>
      <c r="L29" s="27" t="n">
        <v>0.26</v>
      </c>
    </row>
    <row r="30">
      <c r="A30" s="13" t="inlineStr">
        <is>
          <t xml:space="preserve">   Paid inference compute as % of subscription revenue – Bull</t>
        </is>
      </c>
      <c r="B30" s="25" t="inlineStr">
        <is>
          <t>%</t>
        </is>
      </c>
      <c r="G30" s="27" t="n">
        <v>0.28</v>
      </c>
      <c r="I30" s="27" t="n">
        <v>0.26</v>
      </c>
      <c r="J30" s="27" t="n">
        <v>0.24</v>
      </c>
      <c r="K30" s="27" t="n">
        <v>0.22</v>
      </c>
      <c r="L30" s="27" t="n">
        <v>0.2</v>
      </c>
    </row>
    <row r="31">
      <c r="A31" s="13" t="inlineStr">
        <is>
          <t xml:space="preserve">   Paid inference compute as % of subscription revenue – Bear</t>
        </is>
      </c>
      <c r="B31" s="25" t="inlineStr">
        <is>
          <t>%</t>
        </is>
      </c>
      <c r="G31" s="27" t="n">
        <v>0.32</v>
      </c>
      <c r="I31" s="27" t="n">
        <v>0.33</v>
      </c>
      <c r="J31" s="27" t="n">
        <v>0.33</v>
      </c>
      <c r="K31" s="27" t="n">
        <v>0.32</v>
      </c>
      <c r="L31" s="27" t="n">
        <v>0.31</v>
      </c>
    </row>
    <row r="32">
      <c r="A32" s="28" t="inlineStr">
        <is>
          <t>Paid inference compute as % of subscription revenue – LIVE (selected scenario)</t>
        </is>
      </c>
      <c r="B32" s="29" t="inlineStr">
        <is>
          <t>%</t>
        </is>
      </c>
      <c r="C32" s="30" t="n"/>
      <c r="D32" s="30" t="n"/>
      <c r="E32" s="30" t="n"/>
      <c r="F32" s="30" t="n"/>
      <c r="G32" s="31">
        <f>CHOOSE($C$4,G29,G30,G31)</f>
        <v/>
      </c>
      <c r="H32" s="30" t="n"/>
      <c r="I32" s="31">
        <f>CHOOSE($C$4,I29,I30,I31)</f>
        <v/>
      </c>
      <c r="J32" s="31">
        <f>CHOOSE($C$4,J29,J30,J31)</f>
        <v/>
      </c>
      <c r="K32" s="31">
        <f>CHOOSE($C$4,K29,K30,K31)</f>
        <v/>
      </c>
      <c r="L32" s="31">
        <f>CHOOSE($C$4,L29,L30,L31)</f>
        <v/>
      </c>
      <c r="M32" s="20" t="inlineStr">
        <is>
          <t>Subscriptions are the less efficient slice of the inference pool (flat fee vs. heavy usage). SemiAnalysis est. ~50% compute margin on subs.</t>
        </is>
      </c>
    </row>
    <row r="33">
      <c r="A33" s="13" t="inlineStr">
        <is>
          <t>Free-tier + internal-use inference as % of paid inference compute</t>
        </is>
      </c>
      <c r="B33" s="25" t="inlineStr">
        <is>
          <t>%</t>
        </is>
      </c>
      <c r="G33" s="27" t="n">
        <v>0.25</v>
      </c>
      <c r="I33" s="27" t="n">
        <v>0.25</v>
      </c>
      <c r="J33" s="27" t="n">
        <v>0.25</v>
      </c>
      <c r="K33" s="27" t="n">
        <v>0.25</v>
      </c>
      <c r="L33" s="27" t="n">
        <v>0.25</v>
      </c>
      <c r="M33" s="20" t="inlineStr">
        <is>
          <t>Not disclosed; S-1 puts free-tier serving compute in S&amp;M and internal Claude usage in R&amp;D.</t>
        </is>
      </c>
    </row>
    <row r="34">
      <c r="A34" s="13" t="inlineStr">
        <is>
          <t xml:space="preserve">   of which free-tier (S&amp;M) share; remainder is internal usage (R&amp;D)</t>
        </is>
      </c>
      <c r="B34" s="25" t="inlineStr">
        <is>
          <t>%</t>
        </is>
      </c>
      <c r="C34" s="27" t="n">
        <v>0.4</v>
      </c>
    </row>
    <row r="36">
      <c r="A36" s="10" t="inlineStr">
        <is>
          <t>Compute – training &amp; research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3" t="inlineStr">
        <is>
          <t>Frontier training runs completed in period</t>
        </is>
      </c>
      <c r="B37" s="25" t="inlineStr">
        <is>
          <t>runs</t>
        </is>
      </c>
      <c r="G37" s="32" t="n">
        <v>1</v>
      </c>
      <c r="I37" s="32" t="n">
        <v>2</v>
      </c>
      <c r="J37" s="32" t="n">
        <v>2</v>
      </c>
      <c r="K37" s="32" t="n">
        <v>2</v>
      </c>
      <c r="L37" s="32" t="n">
        <v>2</v>
      </c>
      <c r="M37" s="20" t="inlineStr">
        <is>
          <t>Roughly two frontier-model generations per year.</t>
        </is>
      </c>
    </row>
    <row r="38">
      <c r="A38" s="13" t="inlineStr">
        <is>
          <t xml:space="preserve">   Compute cost per frontier training run – Base</t>
        </is>
      </c>
      <c r="B38" s="25" t="inlineStr">
        <is>
          <t>$M</t>
        </is>
      </c>
      <c r="G38" s="19" t="n">
        <v>5500</v>
      </c>
      <c r="I38" s="19" t="n">
        <v>7000</v>
      </c>
      <c r="J38" s="19" t="n">
        <v>10000</v>
      </c>
      <c r="K38" s="19" t="n">
        <v>13000</v>
      </c>
      <c r="L38" s="19" t="n">
        <v>16000</v>
      </c>
    </row>
    <row r="39">
      <c r="A39" s="13" t="inlineStr">
        <is>
          <t xml:space="preserve">   Compute cost per frontier training run – Bull</t>
        </is>
      </c>
      <c r="B39" s="25" t="inlineStr">
        <is>
          <t>$M</t>
        </is>
      </c>
      <c r="G39" s="19" t="n">
        <v>6000</v>
      </c>
      <c r="I39" s="19" t="n">
        <v>8500</v>
      </c>
      <c r="J39" s="19" t="n">
        <v>12500</v>
      </c>
      <c r="K39" s="19" t="n">
        <v>16500</v>
      </c>
      <c r="L39" s="19" t="n">
        <v>20000</v>
      </c>
    </row>
    <row r="40">
      <c r="A40" s="13" t="inlineStr">
        <is>
          <t xml:space="preserve">   Compute cost per frontier training run – Bear</t>
        </is>
      </c>
      <c r="B40" s="25" t="inlineStr">
        <is>
          <t>$M</t>
        </is>
      </c>
      <c r="G40" s="19" t="n">
        <v>5000</v>
      </c>
      <c r="I40" s="19" t="n">
        <v>6000</v>
      </c>
      <c r="J40" s="19" t="n">
        <v>8000</v>
      </c>
      <c r="K40" s="19" t="n">
        <v>10000</v>
      </c>
      <c r="L40" s="19" t="n">
        <v>12000</v>
      </c>
    </row>
    <row r="41">
      <c r="A41" s="28" t="inlineStr">
        <is>
          <t>Compute cost per frontier training run – LIVE (selected scenario)</t>
        </is>
      </c>
      <c r="B41" s="29" t="inlineStr">
        <is>
          <t>$M</t>
        </is>
      </c>
      <c r="C41" s="30" t="n"/>
      <c r="D41" s="30" t="n"/>
      <c r="E41" s="30" t="n"/>
      <c r="F41" s="30" t="n"/>
      <c r="G41" s="33">
        <f>CHOOSE($C$4,G38,G39,G40)</f>
        <v/>
      </c>
      <c r="H41" s="30" t="n"/>
      <c r="I41" s="33">
        <f>CHOOSE($C$4,I38,I39,I40)</f>
        <v/>
      </c>
      <c r="J41" s="33">
        <f>CHOOSE($C$4,J38,J39,J40)</f>
        <v/>
      </c>
      <c r="K41" s="33">
        <f>CHOOSE($C$4,K38,K39,K40)</f>
        <v/>
      </c>
      <c r="L41" s="33">
        <f>CHOOSE($C$4,L38,L39,L40)</f>
        <v/>
      </c>
      <c r="M41" s="20" t="inlineStr">
        <is>
          <t>Calibrated so H2'26E total compute ≈ $21B (Q3'26 at $1.70 revenue/$ compute ≈ $9.9B, Q4 higher as new capacity lands).</t>
        </is>
      </c>
    </row>
    <row r="42">
      <c r="A42" s="13" t="inlineStr">
        <is>
          <t>Research, experimentation &amp; post-training compute (multiple of frontier-run cost)</t>
        </is>
      </c>
      <c r="B42" s="25" t="inlineStr">
        <is>
          <t>x</t>
        </is>
      </c>
      <c r="G42" s="34" t="n">
        <v>1.7</v>
      </c>
      <c r="I42" s="34" t="n">
        <v>1.6</v>
      </c>
      <c r="J42" s="34" t="n">
        <v>1.5</v>
      </c>
      <c r="K42" s="34" t="n">
        <v>1.4</v>
      </c>
      <c r="L42" s="34" t="n">
        <v>1.3</v>
      </c>
      <c r="M42" s="20" t="inlineStr">
        <is>
          <t>Experiments, ablations, RL / post-training and safety research typically exceed the final pre-training run.</t>
        </is>
      </c>
    </row>
    <row r="43">
      <c r="A43" s="13" t="inlineStr">
        <is>
          <t>Floor compute expense at non-cancellable contracted minimums (1 = on, 0 = off)</t>
        </is>
      </c>
      <c r="B43" s="25" t="inlineStr">
        <is>
          <t>flag</t>
        </is>
      </c>
      <c r="C43" s="32" t="n">
        <v>1</v>
      </c>
      <c r="M43" s="20" t="inlineStr">
        <is>
          <t>Take-or-pay: if contracted non-cancellable capacity exceeds modelled demand, the shortfall is expensed (shown in R&amp;D as idle/research capacity).</t>
        </is>
      </c>
    </row>
    <row r="45">
      <c r="A45" s="10" t="inlineStr">
        <is>
          <t>Personnel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13" t="inlineStr">
        <is>
          <t>Year-end headcount</t>
        </is>
      </c>
      <c r="B46" s="25" t="inlineStr">
        <is>
          <t>FTE</t>
        </is>
      </c>
      <c r="D46" s="19" t="n">
        <v>940</v>
      </c>
      <c r="E46" s="19" t="n">
        <v>2700</v>
      </c>
      <c r="F46" s="19" t="n">
        <v>4300</v>
      </c>
      <c r="G46" s="19" t="n">
        <v>6000</v>
      </c>
      <c r="H46" s="35">
        <f>G46</f>
        <v/>
      </c>
      <c r="I46" s="19" t="n">
        <v>9000</v>
      </c>
      <c r="J46" s="19" t="n">
        <v>12000</v>
      </c>
      <c r="K46" s="19" t="n">
        <v>14500</v>
      </c>
      <c r="L46" s="19" t="n">
        <v>17000</v>
      </c>
      <c r="M46" s="20" t="inlineStr">
        <is>
          <t>Filed: ~940 (Dec-24), ~5,300 (Sep-26). Dec-25 and Jun-26 are estimates.</t>
        </is>
      </c>
    </row>
    <row r="47">
      <c r="A47" s="13" t="inlineStr">
        <is>
          <t>Average cash compensation per employee (salary, bonus, benefits, payroll tax)</t>
        </is>
      </c>
      <c r="B47" s="25" t="inlineStr">
        <is>
          <t>$K/yr</t>
        </is>
      </c>
      <c r="G47" s="19" t="n">
        <v>550</v>
      </c>
      <c r="I47" s="19" t="n">
        <v>550</v>
      </c>
      <c r="J47" s="19" t="n">
        <v>566</v>
      </c>
      <c r="K47" s="19" t="n">
        <v>583</v>
      </c>
      <c r="L47" s="19" t="n">
        <v>601</v>
      </c>
      <c r="M47" s="20" t="inlineStr">
        <is>
          <t>H1'26 implied ≈ $550K annualised ((personnel $3,152M – SBC $2,185M) / avg. headcount).</t>
        </is>
      </c>
    </row>
    <row r="48">
      <c r="A48" s="13" t="inlineStr">
        <is>
          <t>Stock-based compensation – ongoing</t>
        </is>
      </c>
      <c r="B48" s="25" t="inlineStr">
        <is>
          <t>$M</t>
        </is>
      </c>
      <c r="G48" s="19" t="n">
        <v>2600</v>
      </c>
      <c r="I48" s="19" t="n">
        <v>9000</v>
      </c>
      <c r="J48" s="19" t="n">
        <v>10000</v>
      </c>
      <c r="K48" s="19" t="n">
        <v>11000</v>
      </c>
      <c r="L48" s="19" t="n">
        <v>12000</v>
      </c>
      <c r="M48" s="20" t="inlineStr">
        <is>
          <t>H1'26 SBC $2,185M. Unrecognised RSU expense $26.6B at Jun-26 (performance condition met at IPO) plus new grants.</t>
        </is>
      </c>
    </row>
    <row r="49">
      <c r="A49" s="13" t="inlineStr">
        <is>
          <t>Stock-based compensation – IPO RSU catch-up (one-off)</t>
        </is>
      </c>
      <c r="B49" s="25" t="inlineStr">
        <is>
          <t>$M</t>
        </is>
      </c>
      <c r="G49" s="19" t="n">
        <v>8000</v>
      </c>
      <c r="I49" s="19" t="n">
        <v>0</v>
      </c>
      <c r="J49" s="19" t="n">
        <v>0</v>
      </c>
      <c r="K49" s="19" t="n">
        <v>0</v>
      </c>
      <c r="L49" s="19" t="n">
        <v>0</v>
      </c>
      <c r="M49" s="20" t="inlineStr">
        <is>
          <t>Cumulative catch-up on RSUs whose liquidity-event condition is satisfied on IPO effectiveness.</t>
        </is>
      </c>
    </row>
    <row r="50">
      <c r="A50" s="13" t="inlineStr">
        <is>
          <t>Personnel allocation – cost of revenue</t>
        </is>
      </c>
      <c r="B50" s="25" t="inlineStr">
        <is>
          <t>%</t>
        </is>
      </c>
      <c r="C50" s="27" t="n">
        <v>0.03</v>
      </c>
    </row>
    <row r="51">
      <c r="A51" s="13" t="inlineStr">
        <is>
          <t>Personnel allocation – R&amp;D</t>
        </is>
      </c>
      <c r="B51" s="25" t="inlineStr">
        <is>
          <t>%</t>
        </is>
      </c>
      <c r="C51" s="27" t="n">
        <v>0.73</v>
      </c>
    </row>
    <row r="52">
      <c r="A52" s="13" t="inlineStr">
        <is>
          <t>Personnel allocation – S&amp;M</t>
        </is>
      </c>
      <c r="B52" s="25" t="inlineStr">
        <is>
          <t>%</t>
        </is>
      </c>
      <c r="C52" s="27" t="n">
        <v>0.12</v>
      </c>
    </row>
    <row r="53">
      <c r="A53" s="13" t="inlineStr">
        <is>
          <t>Personnel allocation – G&amp;A</t>
        </is>
      </c>
      <c r="B53" s="25" t="inlineStr">
        <is>
          <t>%</t>
        </is>
      </c>
      <c r="C53" s="27" t="n">
        <v>0.12</v>
      </c>
      <c r="M53" s="20" t="inlineStr">
        <is>
          <t>Allocations must sum to 100%. Majority of staff are research/engineering (S-1).</t>
        </is>
      </c>
    </row>
    <row r="55">
      <c r="A55" s="10" t="inlineStr">
        <is>
          <t>Channel partners, marketing &amp; other operating costs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13" t="inlineStr">
        <is>
          <t xml:space="preserve">   Channel-partner &amp; partnership costs as % of marketplace revenue – Base</t>
        </is>
      </c>
      <c r="B56" s="25" t="inlineStr">
        <is>
          <t>%</t>
        </is>
      </c>
      <c r="G56" s="27" t="n">
        <v>0.34</v>
      </c>
      <c r="I56" s="27" t="n">
        <v>0.33</v>
      </c>
      <c r="J56" s="27" t="n">
        <v>0.32</v>
      </c>
      <c r="K56" s="27" t="n">
        <v>0.31</v>
      </c>
      <c r="L56" s="27" t="n">
        <v>0.3</v>
      </c>
    </row>
    <row r="57">
      <c r="A57" s="13" t="inlineStr">
        <is>
          <t xml:space="preserve">   Channel-partner &amp; partnership costs as % of marketplace revenue – Bull</t>
        </is>
      </c>
      <c r="B57" s="25" t="inlineStr">
        <is>
          <t>%</t>
        </is>
      </c>
      <c r="G57" s="27" t="n">
        <v>0.34</v>
      </c>
      <c r="I57" s="27" t="n">
        <v>0.32</v>
      </c>
      <c r="J57" s="27" t="n">
        <v>0.3</v>
      </c>
      <c r="K57" s="27" t="n">
        <v>0.28</v>
      </c>
      <c r="L57" s="27" t="n">
        <v>0.26</v>
      </c>
    </row>
    <row r="58">
      <c r="A58" s="13" t="inlineStr">
        <is>
          <t xml:space="preserve">   Channel-partner &amp; partnership costs as % of marketplace revenue – Bear</t>
        </is>
      </c>
      <c r="B58" s="25" t="inlineStr">
        <is>
          <t>%</t>
        </is>
      </c>
      <c r="G58" s="27" t="n">
        <v>0.36</v>
      </c>
      <c r="I58" s="27" t="n">
        <v>0.36</v>
      </c>
      <c r="J58" s="27" t="n">
        <v>0.36</v>
      </c>
      <c r="K58" s="27" t="n">
        <v>0.36</v>
      </c>
      <c r="L58" s="27" t="n">
        <v>0.36</v>
      </c>
    </row>
    <row r="59">
      <c r="A59" s="28" t="inlineStr">
        <is>
          <t>Channel-partner &amp; partnership costs as % of marketplace revenue – LIVE (selected scenario)</t>
        </is>
      </c>
      <c r="B59" s="29" t="inlineStr">
        <is>
          <t>%</t>
        </is>
      </c>
      <c r="C59" s="30" t="n"/>
      <c r="D59" s="30" t="n"/>
      <c r="E59" s="30" t="n"/>
      <c r="F59" s="30" t="n"/>
      <c r="G59" s="31">
        <f>CHOOSE($C$4,G56,G57,G58)</f>
        <v/>
      </c>
      <c r="H59" s="30" t="n"/>
      <c r="I59" s="31">
        <f>CHOOSE($C$4,I56,I57,I58)</f>
        <v/>
      </c>
      <c r="J59" s="31">
        <f>CHOOSE($C$4,J56,J57,J58)</f>
        <v/>
      </c>
      <c r="K59" s="31">
        <f>CHOOSE($C$4,K56,K57,K58)</f>
        <v/>
      </c>
      <c r="L59" s="31">
        <f>CHOOSE($C$4,L56,L57,L58)</f>
        <v/>
      </c>
      <c r="M59" s="20" t="inlineStr">
        <is>
          <t>H1'26 'sales, marketing &amp; partnerships' $3,168M = 19.5% of revenue; net of ~2% advertising, implies ~36% of marketplace revenue. Reuters: ~16c per marketplace $ in 2025, so partnership costs broadened in 2026.</t>
        </is>
      </c>
    </row>
    <row r="60">
      <c r="A60" s="13" t="inlineStr">
        <is>
          <t>Advertising &amp; marketing as % of revenue</t>
        </is>
      </c>
      <c r="B60" s="25" t="inlineStr">
        <is>
          <t>%</t>
        </is>
      </c>
      <c r="G60" s="27" t="n">
        <v>0.02</v>
      </c>
      <c r="I60" s="27" t="n">
        <v>0.02</v>
      </c>
      <c r="J60" s="27" t="n">
        <v>0.02</v>
      </c>
      <c r="K60" s="27" t="n">
        <v>0.02</v>
      </c>
      <c r="L60" s="27" t="n">
        <v>0.02</v>
      </c>
      <c r="M60" s="20" t="inlineStr">
        <is>
          <t>FY25 advertising $147M (3.2% of revenue); brand spend scaling with consumer push.</t>
        </is>
      </c>
    </row>
    <row r="61">
      <c r="A61" s="13" t="inlineStr">
        <is>
          <t>Other operating &amp; administrative as % of revenue (ex-donation matching, ex-D&amp;A)</t>
        </is>
      </c>
      <c r="B61" s="25" t="inlineStr">
        <is>
          <t>%</t>
        </is>
      </c>
      <c r="G61" s="27" t="n">
        <v>0.08</v>
      </c>
      <c r="I61" s="27" t="n">
        <v>0.065</v>
      </c>
      <c r="J61" s="27" t="n">
        <v>0.055</v>
      </c>
      <c r="K61" s="27" t="n">
        <v>0.05</v>
      </c>
      <c r="L61" s="27" t="n">
        <v>0.045</v>
      </c>
      <c r="M61" s="20" t="inlineStr">
        <is>
          <t>H1'26: $1,588M ex-donation = 9.8% of revenue (data vendors, IT/cloud software, payment processing, facilities, legal, non-income taxes).</t>
        </is>
      </c>
    </row>
    <row r="62">
      <c r="A62" s="13" t="inlineStr">
        <is>
          <t>Donation-matching programme expense (non-cash, settled in Class N shares)</t>
        </is>
      </c>
      <c r="B62" s="25" t="inlineStr">
        <is>
          <t>$M</t>
        </is>
      </c>
      <c r="G62" s="19" t="n">
        <v>2000</v>
      </c>
      <c r="I62" s="19" t="n">
        <v>1500</v>
      </c>
      <c r="J62" s="19" t="n">
        <v>1500</v>
      </c>
      <c r="K62" s="19" t="n">
        <v>1500</v>
      </c>
      <c r="L62" s="19" t="n">
        <v>1500</v>
      </c>
      <c r="M62" s="20" t="inlineStr">
        <is>
          <t>Q3'26: $2.0B recognised (S-1 subsequent events). FY25: $541M; Q1'26: $126M.</t>
        </is>
      </c>
    </row>
    <row r="63">
      <c r="A63" s="13" t="inlineStr">
        <is>
          <t>Other opex allocation – cost of revenue</t>
        </is>
      </c>
      <c r="B63" s="25" t="inlineStr">
        <is>
          <t>%</t>
        </is>
      </c>
      <c r="C63" s="27" t="n">
        <v>0.05</v>
      </c>
    </row>
    <row r="64">
      <c r="A64" s="13" t="inlineStr">
        <is>
          <t>Other opex allocation – R&amp;D (data / eval vendors)</t>
        </is>
      </c>
      <c r="B64" s="25" t="inlineStr">
        <is>
          <t>%</t>
        </is>
      </c>
      <c r="C64" s="27" t="n">
        <v>0.5</v>
      </c>
    </row>
    <row r="65">
      <c r="A65" s="13" t="inlineStr">
        <is>
          <t>Other opex allocation – S&amp;M</t>
        </is>
      </c>
      <c r="B65" s="25" t="inlineStr">
        <is>
          <t>%</t>
        </is>
      </c>
      <c r="C65" s="27" t="n">
        <v>0.05</v>
      </c>
    </row>
    <row r="66">
      <c r="A66" s="13" t="inlineStr">
        <is>
          <t>Other opex allocation – G&amp;A</t>
        </is>
      </c>
      <c r="B66" s="25" t="inlineStr">
        <is>
          <t>%</t>
        </is>
      </c>
      <c r="C66" s="27" t="n">
        <v>0.4</v>
      </c>
      <c r="M66" s="20" t="inlineStr">
        <is>
          <t>Allocations must sum to 100%.</t>
        </is>
      </c>
    </row>
    <row r="68">
      <c r="A68" s="10" t="inlineStr">
        <is>
          <t>Capex &amp; D&amp;A (owned assets)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13" t="inlineStr">
        <is>
          <t>Capital expenditure as % of revenue</t>
        </is>
      </c>
      <c r="B69" s="25" t="inlineStr">
        <is>
          <t>%</t>
        </is>
      </c>
      <c r="G69" s="27" t="n">
        <v>0.03</v>
      </c>
      <c r="I69" s="27" t="n">
        <v>0.03</v>
      </c>
      <c r="J69" s="27" t="n">
        <v>0.025</v>
      </c>
      <c r="K69" s="27" t="n">
        <v>0.025</v>
      </c>
      <c r="L69" s="27" t="n">
        <v>0.025</v>
      </c>
      <c r="M69" s="20" t="inlineStr">
        <is>
          <t>H1'26 capex $482M = 3.0% of revenue. Most compute is rented, so owned PP&amp;E is small.</t>
        </is>
      </c>
    </row>
    <row r="70">
      <c r="A70" s="13" t="inlineStr">
        <is>
          <t>D&amp;A as % of (opening PP&amp;E + ½ capex)</t>
        </is>
      </c>
      <c r="B70" s="25" t="inlineStr">
        <is>
          <t>%</t>
        </is>
      </c>
      <c r="C70" s="27" t="n">
        <v>0.35</v>
      </c>
      <c r="M70" s="20" t="inlineStr">
        <is>
          <t>3–5 year useful lives; includes amortisation of acquired intangibles.</t>
        </is>
      </c>
    </row>
    <row r="72">
      <c r="A72" s="10" t="inlineStr">
        <is>
          <t>Working capital (balance as % of annualised period flow)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>
      <c r="A73" s="13" t="inlineStr">
        <is>
          <t>Accounts receivable as % of annualised revenue</t>
        </is>
      </c>
      <c r="B73" s="25" t="inlineStr">
        <is>
          <t>%</t>
        </is>
      </c>
      <c r="G73" s="27" t="n">
        <v>0.16</v>
      </c>
      <c r="I73" s="27" t="n">
        <v>0.14</v>
      </c>
      <c r="J73" s="27" t="n">
        <v>0.13</v>
      </c>
      <c r="K73" s="27" t="n">
        <v>0.125</v>
      </c>
      <c r="L73" s="27" t="n">
        <v>0.12</v>
      </c>
      <c r="M73" s="20" t="inlineStr">
        <is>
          <t>Jun-26: $5,833M = 17.9% of annualised H1 revenue (inflated by in-period growth; ~46 days of Q2 revenue). Trends to ~45 DSO.</t>
        </is>
      </c>
    </row>
    <row r="74">
      <c r="A74" s="13" t="inlineStr">
        <is>
          <t>Prepaid expenses &amp; other current assets as % of annualised compute expense</t>
        </is>
      </c>
      <c r="B74" s="25" t="inlineStr">
        <is>
          <t>%</t>
        </is>
      </c>
      <c r="G74" s="27" t="n">
        <v>0.05</v>
      </c>
      <c r="I74" s="27" t="n">
        <v>0.05</v>
      </c>
      <c r="J74" s="27" t="n">
        <v>0.05</v>
      </c>
      <c r="K74" s="27" t="n">
        <v>0.05</v>
      </c>
      <c r="L74" s="27" t="n">
        <v>0.05</v>
      </c>
      <c r="M74" s="20" t="inlineStr">
        <is>
          <t>Largely prepaid cloud capacity. Jun-26: $496M; Dec-25: $2,560M (lumpy).</t>
        </is>
      </c>
    </row>
    <row r="75">
      <c r="A75" s="13" t="inlineStr">
        <is>
          <t>Accounts payable &amp; accrued as % of annualised cash operating costs</t>
        </is>
      </c>
      <c r="B75" s="25" t="inlineStr">
        <is>
          <t>%</t>
        </is>
      </c>
      <c r="G75" s="27" t="n">
        <v>0.15</v>
      </c>
      <c r="I75" s="27" t="n">
        <v>0.15</v>
      </c>
      <c r="J75" s="27" t="n">
        <v>0.15</v>
      </c>
      <c r="K75" s="27" t="n">
        <v>0.15</v>
      </c>
      <c r="L75" s="27" t="n">
        <v>0.15</v>
      </c>
      <c r="M75" s="20" t="inlineStr">
        <is>
          <t>Jun-26: $5,422M ≈ 18% of annualised H1 cash opex. Includes $1.2B Bartz settlement payable (instalments to Sep-27).</t>
        </is>
      </c>
    </row>
    <row r="76">
      <c r="A76" s="13" t="inlineStr">
        <is>
          <t>Deferred revenue as % of annualised subscription revenue</t>
        </is>
      </c>
      <c r="B76" s="25" t="inlineStr">
        <is>
          <t>%</t>
        </is>
      </c>
      <c r="G76" s="27" t="n">
        <v>0.25</v>
      </c>
      <c r="I76" s="27" t="n">
        <v>0.25</v>
      </c>
      <c r="J76" s="27" t="n">
        <v>0.25</v>
      </c>
      <c r="K76" s="27" t="n">
        <v>0.25</v>
      </c>
      <c r="L76" s="27" t="n">
        <v>0.25</v>
      </c>
      <c r="M76" s="20" t="inlineStr">
        <is>
          <t>Jun-26: $1,650M = 25.6% of annualised H1 subscription revenue (prepaid annual plans).</t>
        </is>
      </c>
    </row>
    <row r="78">
      <c r="A78" s="10" t="inlineStr">
        <is>
          <t>Financing, interest &amp; tax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13" t="inlineStr">
        <is>
          <t>IPO primary proceeds, net of fees</t>
        </is>
      </c>
      <c r="B79" s="25" t="inlineStr">
        <is>
          <t>$M</t>
        </is>
      </c>
      <c r="G79" s="19" t="n">
        <v>60000</v>
      </c>
      <c r="I79" s="19" t="n">
        <v>0</v>
      </c>
      <c r="J79" s="19" t="n">
        <v>0</v>
      </c>
      <c r="K79" s="19" t="n">
        <v>0</v>
      </c>
      <c r="L79" s="19" t="n">
        <v>0</v>
      </c>
      <c r="M79" s="20" t="inlineStr">
        <is>
          <t>Press reports: raise could exceed $100B including secondary; primary portion assumed $60B. S-1 share count / price are blank.</t>
        </is>
      </c>
    </row>
    <row r="80">
      <c r="A80" s="13" t="inlineStr">
        <is>
          <t>Fair-value charge on convertible notes &amp; other instruments before conversion</t>
        </is>
      </c>
      <c r="B80" s="25" t="inlineStr">
        <is>
          <t>$M</t>
        </is>
      </c>
      <c r="G80" s="19" t="n">
        <v>50000</v>
      </c>
      <c r="I80" s="19" t="n">
        <v>0</v>
      </c>
      <c r="J80" s="19" t="n">
        <v>0</v>
      </c>
      <c r="K80" s="19" t="n">
        <v>0</v>
      </c>
      <c r="L80" s="19" t="n">
        <v>0</v>
      </c>
      <c r="M80" s="20" t="inlineStr">
        <is>
          <t>Amazon notes ($6.2B principal) carried at $108.6B at Jun-26 on a $965B mark; a ~$1.5T IPO mark implies a further non-cash charge. Notes convert to Class N common at IPO, after which the charge stops.</t>
        </is>
      </c>
    </row>
    <row r="81">
      <c r="A81" s="13" t="inlineStr">
        <is>
          <t>Proceeds from option exercises / ESPP</t>
        </is>
      </c>
      <c r="B81" s="25" t="inlineStr">
        <is>
          <t>$M</t>
        </is>
      </c>
      <c r="G81" s="19" t="n">
        <v>150</v>
      </c>
      <c r="I81" s="19" t="n">
        <v>300</v>
      </c>
      <c r="J81" s="19" t="n">
        <v>300</v>
      </c>
      <c r="K81" s="19" t="n">
        <v>300</v>
      </c>
      <c r="L81" s="19" t="n">
        <v>300</v>
      </c>
    </row>
    <row r="82">
      <c r="A82" s="13" t="inlineStr">
        <is>
          <t>Debt / supplier-financing drawdown (repayment)</t>
        </is>
      </c>
      <c r="B82" s="25" t="inlineStr">
        <is>
          <t>$M</t>
        </is>
      </c>
      <c r="G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20" t="inlineStr">
        <is>
          <t>Broadcom offered up to $42B of 9% PIK convertible notes to fund TPU rent – not drawn in the base case.</t>
        </is>
      </c>
    </row>
    <row r="83">
      <c r="A83" s="13" t="inlineStr">
        <is>
          <t>Interest rate on debt</t>
        </is>
      </c>
      <c r="B83" s="25" t="inlineStr">
        <is>
          <t>%</t>
        </is>
      </c>
      <c r="C83" s="27" t="n">
        <v>0.09</v>
      </c>
    </row>
    <row r="84">
      <c r="A84" s="13" t="inlineStr">
        <is>
          <t>Yield on cash &amp; short-term investments</t>
        </is>
      </c>
      <c r="B84" s="25" t="inlineStr">
        <is>
          <t>%</t>
        </is>
      </c>
      <c r="G84" s="27" t="n">
        <v>0.035</v>
      </c>
      <c r="I84" s="27" t="n">
        <v>0.0325</v>
      </c>
      <c r="J84" s="27" t="n">
        <v>0.03</v>
      </c>
      <c r="K84" s="27" t="n">
        <v>0.03</v>
      </c>
      <c r="L84" s="27" t="n">
        <v>0.03</v>
      </c>
      <c r="M84" s="20" t="inlineStr">
        <is>
          <t>Applied to opening cash &amp; STI balance (avoids circularity). H1'26 interest income $1,111M.</t>
        </is>
      </c>
    </row>
    <row r="85">
      <c r="A85" s="13" t="inlineStr">
        <is>
          <t>Blended statutory tax rate (federal + state)</t>
        </is>
      </c>
      <c r="B85" s="25" t="inlineStr">
        <is>
          <t>%</t>
        </is>
      </c>
      <c r="C85" s="27" t="n">
        <v>0.23</v>
      </c>
    </row>
    <row r="86">
      <c r="A86" s="13" t="inlineStr">
        <is>
          <t>Net operating loss carryforward at Jun-26A (estimate)</t>
        </is>
      </c>
      <c r="B86" s="25" t="inlineStr">
        <is>
          <t>$M</t>
        </is>
      </c>
      <c r="C86" s="19" t="n">
        <v>12000</v>
      </c>
      <c r="M86" s="20" t="inlineStr">
        <is>
          <t>Cumulative GAAP operating losses FY21–H1'26 ≈ $12B; fair-value charges are not deductible. 80% limitation ignored.</t>
        </is>
      </c>
    </row>
    <row r="87">
      <c r="A87" s="13" t="inlineStr">
        <is>
          <t>Other / minimum taxes as % of revenue</t>
        </is>
      </c>
      <c r="B87" s="25" t="inlineStr">
        <is>
          <t>%</t>
        </is>
      </c>
      <c r="C87" s="27" t="n">
        <v>0.001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Revenue Build</t>
        </is>
      </c>
    </row>
    <row r="2">
      <c r="A2" s="2" t="inlineStr">
        <is>
          <t>Q4'26 is grown off the disclosed Q3'26; FY2027E+ use annual growth rates. Mix splits feed the compute and channel-cost builds.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Quarterly bridge for the H2'26E stub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3" t="inlineStr">
        <is>
          <t>Q3'26A revenue (disclosed)</t>
        </is>
      </c>
      <c r="B8" s="25" t="inlineStr">
        <is>
          <t>$M</t>
        </is>
      </c>
      <c r="G8" s="6">
        <f>'Historical Data'!J83</f>
        <v/>
      </c>
      <c r="M8" s="20" t="inlineStr">
        <is>
          <t>Reuters / FT / CNBC, 14 Oct 2026.</t>
        </is>
      </c>
    </row>
    <row r="9">
      <c r="A9" s="13" t="inlineStr">
        <is>
          <t>Q4'26E revenue</t>
        </is>
      </c>
      <c r="B9" s="25" t="inlineStr">
        <is>
          <t>$M</t>
        </is>
      </c>
      <c r="G9" s="6">
        <f>G8*(1+'Assumptions'!G16)</f>
        <v/>
      </c>
    </row>
    <row r="10">
      <c r="A10" s="13" t="inlineStr">
        <is>
          <t>Implied Q4'26E exit run-rate (Q4 × 4)</t>
        </is>
      </c>
      <c r="B10" s="25" t="inlineStr">
        <is>
          <t>$M</t>
        </is>
      </c>
      <c r="G10" s="35">
        <f>G9*4</f>
        <v/>
      </c>
      <c r="M10" s="20" t="inlineStr">
        <is>
          <t>Compare: ~$65B at end-July 2026; third-party estimates ~$70–74B for October.</t>
        </is>
      </c>
    </row>
    <row r="12">
      <c r="A12" s="10" t="inlineStr">
        <is>
          <t>Total revenue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5" t="inlineStr">
        <is>
          <t>Total revenue</t>
        </is>
      </c>
      <c r="B13" s="25" t="inlineStr">
        <is>
          <t>$M</t>
        </is>
      </c>
      <c r="C13" s="12">
        <f>'Historical Data'!C8</f>
        <v/>
      </c>
      <c r="D13" s="12">
        <f>'Historical Data'!D8</f>
        <v/>
      </c>
      <c r="E13" s="12">
        <f>'Historical Data'!E8</f>
        <v/>
      </c>
      <c r="F13" s="12">
        <f>'Historical Data'!F8</f>
        <v/>
      </c>
      <c r="G13" s="36">
        <f>G8+G9</f>
        <v/>
      </c>
      <c r="H13" s="36">
        <f>F13+G13</f>
        <v/>
      </c>
      <c r="I13" s="12">
        <f>H13*(1+'Assumptions'!I20)</f>
        <v/>
      </c>
      <c r="J13" s="12">
        <f>I13*(1+'Assumptions'!J20)</f>
        <v/>
      </c>
      <c r="K13" s="12">
        <f>J13*(1+'Assumptions'!K20)</f>
        <v/>
      </c>
      <c r="L13" s="12">
        <f>K13*(1+'Assumptions'!L20)</f>
        <v/>
      </c>
    </row>
    <row r="14">
      <c r="A14" s="13" t="inlineStr">
        <is>
          <t xml:space="preserve">   YoY growth</t>
        </is>
      </c>
      <c r="B14" s="25" t="inlineStr">
        <is>
          <t>%</t>
        </is>
      </c>
      <c r="D14" s="14">
        <f>D13/C13-1</f>
        <v/>
      </c>
      <c r="E14" s="14">
        <f>E13/D13-1</f>
        <v/>
      </c>
      <c r="G14" s="17">
        <f>G13/('Historical Data'!E8-'Historical Data'!$C$88)-1</f>
        <v/>
      </c>
      <c r="H14" s="14">
        <f>H13/E13-1</f>
        <v/>
      </c>
      <c r="I14" s="14">
        <f>I13/H13-1</f>
        <v/>
      </c>
      <c r="J14" s="14">
        <f>J13/I13-1</f>
        <v/>
      </c>
      <c r="K14" s="14">
        <f>K13/J13-1</f>
        <v/>
      </c>
      <c r="L14" s="14">
        <f>L13/K13-1</f>
        <v/>
      </c>
      <c r="M14" s="20" t="inlineStr">
        <is>
          <t>H2'26E growth is vs. H2'25A (FY25 less H1'25 = $3,422M).</t>
        </is>
      </c>
    </row>
    <row r="15">
      <c r="A15" s="13" t="inlineStr">
        <is>
          <t xml:space="preserve">   Sequential growth (H2 vs. H1)</t>
        </is>
      </c>
      <c r="B15" s="25" t="inlineStr">
        <is>
          <t>%</t>
        </is>
      </c>
      <c r="G15" s="14">
        <f>G13/F13-1</f>
        <v/>
      </c>
    </row>
    <row r="17">
      <c r="A17" s="10" t="inlineStr">
        <is>
          <t>Mix – consumption vs. subscription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3" t="inlineStr">
        <is>
          <t>Consumption-based revenue (API, Claude Code, agents)</t>
        </is>
      </c>
      <c r="B18" s="25" t="inlineStr">
        <is>
          <t>$M</t>
        </is>
      </c>
      <c r="C18" s="6">
        <f>'Historical Data'!C9</f>
        <v/>
      </c>
      <c r="D18" s="6">
        <f>'Historical Data'!D9</f>
        <v/>
      </c>
      <c r="E18" s="6">
        <f>'Historical Data'!E9</f>
        <v/>
      </c>
      <c r="F18" s="6">
        <f>'Historical Data'!F9</f>
        <v/>
      </c>
      <c r="G18" s="6">
        <f>G13*(1-'Assumptions'!G21)</f>
        <v/>
      </c>
      <c r="H18" s="35">
        <f>F18+G18</f>
        <v/>
      </c>
      <c r="I18" s="6">
        <f>I13*(1-'Assumptions'!I21)</f>
        <v/>
      </c>
      <c r="J18" s="6">
        <f>J13*(1-'Assumptions'!J21)</f>
        <v/>
      </c>
      <c r="K18" s="6">
        <f>K13*(1-'Assumptions'!K21)</f>
        <v/>
      </c>
      <c r="L18" s="6">
        <f>L13*(1-'Assumptions'!L21)</f>
        <v/>
      </c>
    </row>
    <row r="19">
      <c r="A19" s="13" t="inlineStr">
        <is>
          <t>Subscription-based revenue (Pro, Max, Team, Enterprise seats)</t>
        </is>
      </c>
      <c r="B19" s="25" t="inlineStr">
        <is>
          <t>$M</t>
        </is>
      </c>
      <c r="C19" s="6">
        <f>'Historical Data'!C10</f>
        <v/>
      </c>
      <c r="D19" s="6">
        <f>'Historical Data'!D10</f>
        <v/>
      </c>
      <c r="E19" s="6">
        <f>'Historical Data'!E10</f>
        <v/>
      </c>
      <c r="F19" s="6">
        <f>'Historical Data'!F10</f>
        <v/>
      </c>
      <c r="G19" s="6">
        <f>G13*'Assumptions'!G21</f>
        <v/>
      </c>
      <c r="H19" s="35">
        <f>F19+G19</f>
        <v/>
      </c>
      <c r="I19" s="6">
        <f>I13*'Assumptions'!I21</f>
        <v/>
      </c>
      <c r="J19" s="6">
        <f>J13*'Assumptions'!J21</f>
        <v/>
      </c>
      <c r="K19" s="6">
        <f>K13*'Assumptions'!K21</f>
        <v/>
      </c>
      <c r="L19" s="6">
        <f>L13*'Assumptions'!L21</f>
        <v/>
      </c>
    </row>
    <row r="20">
      <c r="A20" s="13" t="inlineStr">
        <is>
          <t xml:space="preserve">   Subscription share of revenue</t>
        </is>
      </c>
      <c r="B20" s="25" t="inlineStr">
        <is>
          <t>%</t>
        </is>
      </c>
      <c r="C20" s="14">
        <f>C19/C13</f>
        <v/>
      </c>
      <c r="D20" s="14">
        <f>D19/D13</f>
        <v/>
      </c>
      <c r="E20" s="14">
        <f>E19/E13</f>
        <v/>
      </c>
      <c r="F20" s="14">
        <f>F19/F13</f>
        <v/>
      </c>
      <c r="G20" s="14">
        <f>G19/G13</f>
        <v/>
      </c>
      <c r="H20" s="14">
        <f>H19/H13</f>
        <v/>
      </c>
      <c r="I20" s="14">
        <f>I19/I13</f>
        <v/>
      </c>
      <c r="J20" s="14">
        <f>J19/J13</f>
        <v/>
      </c>
      <c r="K20" s="14">
        <f>K19/K13</f>
        <v/>
      </c>
      <c r="L20" s="14">
        <f>L19/L13</f>
        <v/>
      </c>
    </row>
    <row r="21">
      <c r="A21" s="13" t="inlineStr">
        <is>
          <t xml:space="preserve">   Consumption revenue growth (YoY)</t>
        </is>
      </c>
      <c r="B21" s="25" t="inlineStr">
        <is>
          <t>%</t>
        </is>
      </c>
      <c r="D21" s="14">
        <f>D18/C18-1</f>
        <v/>
      </c>
      <c r="E21" s="14">
        <f>E18/D18-1</f>
        <v/>
      </c>
      <c r="H21" s="14">
        <f>H18/E18-1</f>
        <v/>
      </c>
      <c r="I21" s="14">
        <f>I18/H18-1</f>
        <v/>
      </c>
      <c r="J21" s="14">
        <f>J18/I18-1</f>
        <v/>
      </c>
      <c r="K21" s="14">
        <f>K18/J18-1</f>
        <v/>
      </c>
      <c r="L21" s="14">
        <f>L18/K18-1</f>
        <v/>
      </c>
    </row>
    <row r="22">
      <c r="A22" s="13" t="inlineStr">
        <is>
          <t xml:space="preserve">   Subscription revenue growth (YoY)</t>
        </is>
      </c>
      <c r="B22" s="25" t="inlineStr">
        <is>
          <t>%</t>
        </is>
      </c>
      <c r="D22" s="14">
        <f>D19/C19-1</f>
        <v/>
      </c>
      <c r="E22" s="14">
        <f>E19/D19-1</f>
        <v/>
      </c>
      <c r="H22" s="14">
        <f>H19/E19-1</f>
        <v/>
      </c>
      <c r="I22" s="14">
        <f>I19/H19-1</f>
        <v/>
      </c>
      <c r="J22" s="14">
        <f>J19/I19-1</f>
        <v/>
      </c>
      <c r="K22" s="14">
        <f>K19/J19-1</f>
        <v/>
      </c>
      <c r="L22" s="14">
        <f>L19/K19-1</f>
        <v/>
      </c>
    </row>
    <row r="24">
      <c r="A24" s="10" t="inlineStr">
        <is>
          <t>Mix – channel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3" t="inlineStr">
        <is>
          <t>Revenue through cloud marketplaces (AWS Bedrock, Vertex AI, Azure Foundry)</t>
        </is>
      </c>
      <c r="B25" s="25" t="inlineStr">
        <is>
          <t>$M</t>
        </is>
      </c>
      <c r="F25" s="35">
        <f>F13*0.48</f>
        <v/>
      </c>
      <c r="G25" s="6">
        <f>G13*'Assumptions'!G22</f>
        <v/>
      </c>
      <c r="H25" s="35">
        <f>F25+G25</f>
        <v/>
      </c>
      <c r="I25" s="6">
        <f>I13*'Assumptions'!I22</f>
        <v/>
      </c>
      <c r="J25" s="6">
        <f>J13*'Assumptions'!J22</f>
        <v/>
      </c>
      <c r="K25" s="6">
        <f>K13*'Assumptions'!K22</f>
        <v/>
      </c>
      <c r="L25" s="6">
        <f>L13*'Assumptions'!L22</f>
        <v/>
      </c>
      <c r="M25" s="20" t="inlineStr">
        <is>
          <t>H1'26: 48% of revenue (filed). Recognised gross; partner fees in S&amp;M.</t>
        </is>
      </c>
    </row>
    <row r="26">
      <c r="A26" s="13" t="inlineStr">
        <is>
          <t>Direct revenue (first-party API, apps, subscriptions)</t>
        </is>
      </c>
      <c r="B26" s="25" t="inlineStr">
        <is>
          <t>$M</t>
        </is>
      </c>
      <c r="F26" s="35">
        <f>F13-F25</f>
        <v/>
      </c>
      <c r="G26" s="35">
        <f>G13-G25</f>
        <v/>
      </c>
      <c r="H26" s="35">
        <f>F26+G26</f>
        <v/>
      </c>
      <c r="I26" s="35">
        <f>I13-I25</f>
        <v/>
      </c>
      <c r="J26" s="35">
        <f>J13-J25</f>
        <v/>
      </c>
      <c r="K26" s="35">
        <f>K13-K25</f>
        <v/>
      </c>
      <c r="L26" s="35">
        <f>L13-L25</f>
        <v/>
      </c>
    </row>
    <row r="28">
      <c r="A28" s="10" t="inlineStr">
        <is>
          <t>Memo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Revenue per average employee (annualised)</t>
        </is>
      </c>
      <c r="B29" s="25" t="inlineStr">
        <is>
          <t>$M/FTE</t>
        </is>
      </c>
      <c r="E29" s="37">
        <f>E13/AVERAGE('Assumptions'!D46,'Assumptions'!E46)</f>
        <v/>
      </c>
      <c r="F29" s="37">
        <f>F13/'Assumptions'!F10/AVERAGE('Assumptions'!E46,'Assumptions'!F46)</f>
        <v/>
      </c>
      <c r="G29" s="37">
        <f>G13/'Assumptions'!G10/AVERAGE('Assumptions'!F46,'Assumptions'!G46)</f>
        <v/>
      </c>
      <c r="H29" s="37">
        <f>H13/AVERAGE('Assumptions'!E46,'Assumptions'!H46)</f>
        <v/>
      </c>
      <c r="I29" s="37">
        <f>I13/'Assumptions'!I10/AVERAGE('Assumptions'!H46,'Assumptions'!I46)</f>
        <v/>
      </c>
      <c r="J29" s="37">
        <f>J13/'Assumptions'!J10/AVERAGE('Assumptions'!I46,'Assumptions'!J46)</f>
        <v/>
      </c>
      <c r="K29" s="37">
        <f>K13/'Assumptions'!K10/AVERAGE('Assumptions'!J46,'Assumptions'!K46)</f>
        <v/>
      </c>
      <c r="L29" s="37">
        <f>L13/'Assumptions'!L10/AVERAGE('Assumptions'!K46,'Assumptions'!L46)</f>
        <v/>
      </c>
      <c r="M29" s="20" t="inlineStr">
        <is>
          <t>S-1: TTM revenue per employee &gt; $6.6M at Sep-26.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Compute Build – Inference vs. Training</t>
        </is>
      </c>
    </row>
    <row r="2">
      <c r="A2" s="2" t="inlineStr">
        <is>
          <t>Inference is driven by revenue × cost ratios; training &amp; research by frontier runs × cost per run × research multiple. Historical split is an estimate anchored to filed cost of revenue (S-1 discloses only total compute).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Inference compute – customer-serving (cost of revenue)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3" t="inlineStr">
        <is>
          <t>Paid inference – consumption revenue</t>
        </is>
      </c>
      <c r="B8" s="25" t="inlineStr">
        <is>
          <t>$M</t>
        </is>
      </c>
      <c r="G8" s="6">
        <f>'Revenue Build'!G18*'Assumptions'!G28</f>
        <v/>
      </c>
      <c r="H8" s="35">
        <f>F8+G8</f>
        <v/>
      </c>
      <c r="I8" s="6">
        <f>'Revenue Build'!I18*'Assumptions'!I28</f>
        <v/>
      </c>
      <c r="J8" s="6">
        <f>'Revenue Build'!J18*'Assumptions'!J28</f>
        <v/>
      </c>
      <c r="K8" s="6">
        <f>'Revenue Build'!K18*'Assumptions'!K28</f>
        <v/>
      </c>
      <c r="L8" s="6">
        <f>'Revenue Build'!L18*'Assumptions'!L28</f>
        <v/>
      </c>
    </row>
    <row r="9">
      <c r="A9" s="13" t="inlineStr">
        <is>
          <t>Paid inference – subscription revenue</t>
        </is>
      </c>
      <c r="B9" s="25" t="inlineStr">
        <is>
          <t>$M</t>
        </is>
      </c>
      <c r="G9" s="6">
        <f>'Revenue Build'!G19*'Assumptions'!G32</f>
        <v/>
      </c>
      <c r="H9" s="35">
        <f>F9+G9</f>
        <v/>
      </c>
      <c r="I9" s="6">
        <f>'Revenue Build'!I19*'Assumptions'!I32</f>
        <v/>
      </c>
      <c r="J9" s="6">
        <f>'Revenue Build'!J19*'Assumptions'!J32</f>
        <v/>
      </c>
      <c r="K9" s="6">
        <f>'Revenue Build'!K19*'Assumptions'!K32</f>
        <v/>
      </c>
      <c r="L9" s="6">
        <f>'Revenue Build'!L19*'Assumptions'!L32</f>
        <v/>
      </c>
    </row>
    <row r="10">
      <c r="A10" s="15" t="inlineStr">
        <is>
          <t>Total paid inference compute (in cost of revenue)</t>
        </is>
      </c>
      <c r="B10" s="38" t="inlineStr">
        <is>
          <t>$M</t>
        </is>
      </c>
      <c r="C10" s="16">
        <f>'Historical Data'!C26-'Assumptions'!$C$50*'Historical Data'!C12-'Assumptions'!$C$63*'Historical Data'!C15</f>
        <v/>
      </c>
      <c r="D10" s="16">
        <f>'Historical Data'!D26-'Assumptions'!$C$50*'Historical Data'!D12-'Assumptions'!$C$63*'Historical Data'!D15</f>
        <v/>
      </c>
      <c r="E10" s="16">
        <f>'Historical Data'!E26-'Assumptions'!$C$50*'Historical Data'!E12-'Assumptions'!$C$63*'Historical Data'!E15</f>
        <v/>
      </c>
      <c r="F10" s="16">
        <f>'Historical Data'!F26-'Assumptions'!$C$50*'Historical Data'!F12-'Assumptions'!$C$63*'Historical Data'!F15</f>
        <v/>
      </c>
      <c r="G10" s="39">
        <f>G8+G9</f>
        <v/>
      </c>
      <c r="H10" s="39">
        <f>F10+G10</f>
        <v/>
      </c>
      <c r="I10" s="39">
        <f>I8+I9</f>
        <v/>
      </c>
      <c r="J10" s="39">
        <f>J8+J9</f>
        <v/>
      </c>
      <c r="K10" s="39">
        <f>K8+K9</f>
        <v/>
      </c>
      <c r="L10" s="39">
        <f>L8+L9</f>
        <v/>
      </c>
      <c r="M10" s="20" t="inlineStr">
        <is>
          <t>Historical: cost of revenue less allocated personnel/other ('substantially all' CoR is serving compute).</t>
        </is>
      </c>
    </row>
    <row r="11">
      <c r="A11" s="13" t="inlineStr">
        <is>
          <t>Free-tier inference (S&amp;M)</t>
        </is>
      </c>
      <c r="B11" s="25" t="inlineStr">
        <is>
          <t>$M</t>
        </is>
      </c>
      <c r="C11" s="6">
        <f>C10*'Assumptions'!G33*'Assumptions'!$C$34</f>
        <v/>
      </c>
      <c r="D11" s="6">
        <f>D10*'Assumptions'!G33*'Assumptions'!$C$34</f>
        <v/>
      </c>
      <c r="E11" s="6">
        <f>E10*'Assumptions'!G33*'Assumptions'!$C$34</f>
        <v/>
      </c>
      <c r="F11" s="6">
        <f>F10*'Assumptions'!G33*'Assumptions'!$C$34</f>
        <v/>
      </c>
      <c r="G11" s="6">
        <f>G10*'Assumptions'!G33*'Assumptions'!$C$34</f>
        <v/>
      </c>
      <c r="H11" s="35">
        <f>F11+G11</f>
        <v/>
      </c>
      <c r="I11" s="6">
        <f>I10*'Assumptions'!I33*'Assumptions'!$C$34</f>
        <v/>
      </c>
      <c r="J11" s="6">
        <f>J10*'Assumptions'!J33*'Assumptions'!$C$34</f>
        <v/>
      </c>
      <c r="K11" s="6">
        <f>K10*'Assumptions'!K33*'Assumptions'!$C$34</f>
        <v/>
      </c>
      <c r="L11" s="6">
        <f>L10*'Assumptions'!L33*'Assumptions'!$C$34</f>
        <v/>
      </c>
      <c r="M11" s="20" t="inlineStr">
        <is>
          <t>Historical uses the H2'26E ratio – estimate.</t>
        </is>
      </c>
    </row>
    <row r="12">
      <c r="A12" s="13" t="inlineStr">
        <is>
          <t>Internal-usage inference (R&amp;D)</t>
        </is>
      </c>
      <c r="B12" s="25" t="inlineStr">
        <is>
          <t>$M</t>
        </is>
      </c>
      <c r="C12" s="6">
        <f>C10*'Assumptions'!G33*(1-'Assumptions'!$C$34)</f>
        <v/>
      </c>
      <c r="D12" s="6">
        <f>D10*'Assumptions'!G33*(1-'Assumptions'!$C$34)</f>
        <v/>
      </c>
      <c r="E12" s="6">
        <f>E10*'Assumptions'!G33*(1-'Assumptions'!$C$34)</f>
        <v/>
      </c>
      <c r="F12" s="6">
        <f>F10*'Assumptions'!G33*(1-'Assumptions'!$C$34)</f>
        <v/>
      </c>
      <c r="G12" s="6">
        <f>G10*'Assumptions'!G33*(1-'Assumptions'!$C$34)</f>
        <v/>
      </c>
      <c r="H12" s="35">
        <f>F12+G12</f>
        <v/>
      </c>
      <c r="I12" s="6">
        <f>I10*'Assumptions'!I33*(1-'Assumptions'!$C$34)</f>
        <v/>
      </c>
      <c r="J12" s="6">
        <f>J10*'Assumptions'!J33*(1-'Assumptions'!$C$34)</f>
        <v/>
      </c>
      <c r="K12" s="6">
        <f>K10*'Assumptions'!K33*(1-'Assumptions'!$C$34)</f>
        <v/>
      </c>
      <c r="L12" s="6">
        <f>L10*'Assumptions'!L33*(1-'Assumptions'!$C$34)</f>
        <v/>
      </c>
    </row>
    <row r="13">
      <c r="A13" s="15" t="inlineStr">
        <is>
          <t>Total inference compute</t>
        </is>
      </c>
      <c r="B13" s="38" t="inlineStr">
        <is>
          <t>$M</t>
        </is>
      </c>
      <c r="C13" s="39">
        <f>C10+C11+C12</f>
        <v/>
      </c>
      <c r="D13" s="39">
        <f>D10+D11+D12</f>
        <v/>
      </c>
      <c r="E13" s="39">
        <f>E10+E11+E12</f>
        <v/>
      </c>
      <c r="F13" s="39">
        <f>F10+F11+F12</f>
        <v/>
      </c>
      <c r="G13" s="39">
        <f>G10+G11+G12</f>
        <v/>
      </c>
      <c r="H13" s="39">
        <f>F13+G13</f>
        <v/>
      </c>
      <c r="I13" s="39">
        <f>I10+I11+I12</f>
        <v/>
      </c>
      <c r="J13" s="39">
        <f>J10+J11+J12</f>
        <v/>
      </c>
      <c r="K13" s="39">
        <f>K10+K11+K12</f>
        <v/>
      </c>
      <c r="L13" s="39">
        <f>L10+L11+L12</f>
        <v/>
      </c>
    </row>
    <row r="15">
      <c r="A15" s="10" t="inlineStr">
        <is>
          <t>Training &amp; research compute (R&amp;D)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Frontier training runs</t>
        </is>
      </c>
      <c r="B16" s="25" t="inlineStr">
        <is>
          <t>runs</t>
        </is>
      </c>
      <c r="G16" s="40">
        <f>'Assumptions'!G37</f>
        <v/>
      </c>
      <c r="H16" s="41">
        <f>F16+G16</f>
        <v/>
      </c>
      <c r="I16" s="40">
        <f>'Assumptions'!I37</f>
        <v/>
      </c>
      <c r="J16" s="40">
        <f>'Assumptions'!J37</f>
        <v/>
      </c>
      <c r="K16" s="40">
        <f>'Assumptions'!K37</f>
        <v/>
      </c>
      <c r="L16" s="40">
        <f>'Assumptions'!L37</f>
        <v/>
      </c>
    </row>
    <row r="17">
      <c r="A17" s="13" t="inlineStr">
        <is>
          <t>Compute cost per frontier run</t>
        </is>
      </c>
      <c r="B17" s="25" t="inlineStr">
        <is>
          <t>$M</t>
        </is>
      </c>
      <c r="G17" s="6">
        <f>'Assumptions'!G41</f>
        <v/>
      </c>
      <c r="I17" s="6">
        <f>'Assumptions'!I41</f>
        <v/>
      </c>
      <c r="J17" s="6">
        <f>'Assumptions'!J41</f>
        <v/>
      </c>
      <c r="K17" s="6">
        <f>'Assumptions'!K41</f>
        <v/>
      </c>
      <c r="L17" s="6">
        <f>'Assumptions'!L41</f>
        <v/>
      </c>
    </row>
    <row r="18">
      <c r="A18" s="13" t="inlineStr">
        <is>
          <t>Frontier pre-training compute</t>
        </is>
      </c>
      <c r="B18" s="25" t="inlineStr">
        <is>
          <t>$M</t>
        </is>
      </c>
      <c r="G18" s="35">
        <f>G16*G17</f>
        <v/>
      </c>
      <c r="H18" s="35">
        <f>F18+G18</f>
        <v/>
      </c>
      <c r="I18" s="35">
        <f>I16*I17</f>
        <v/>
      </c>
      <c r="J18" s="35">
        <f>J16*J17</f>
        <v/>
      </c>
      <c r="K18" s="35">
        <f>K16*K17</f>
        <v/>
      </c>
      <c r="L18" s="35">
        <f>L16*L17</f>
        <v/>
      </c>
    </row>
    <row r="19">
      <c r="A19" s="13" t="inlineStr">
        <is>
          <t>Research, experimentation &amp; post-training compute</t>
        </is>
      </c>
      <c r="B19" s="25" t="inlineStr">
        <is>
          <t>$M</t>
        </is>
      </c>
      <c r="G19" s="6">
        <f>G18*'Assumptions'!G42</f>
        <v/>
      </c>
      <c r="H19" s="35">
        <f>F19+G19</f>
        <v/>
      </c>
      <c r="I19" s="6">
        <f>I18*'Assumptions'!I42</f>
        <v/>
      </c>
      <c r="J19" s="6">
        <f>J18*'Assumptions'!J42</f>
        <v/>
      </c>
      <c r="K19" s="6">
        <f>K18*'Assumptions'!K42</f>
        <v/>
      </c>
      <c r="L19" s="6">
        <f>L18*'Assumptions'!L42</f>
        <v/>
      </c>
    </row>
    <row r="20">
      <c r="A20" s="15" t="inlineStr">
        <is>
          <t>Total training &amp; research compute</t>
        </is>
      </c>
      <c r="B20" s="38" t="inlineStr">
        <is>
          <t>$M</t>
        </is>
      </c>
      <c r="C20" s="16">
        <f>'Historical Data'!C11-C13</f>
        <v/>
      </c>
      <c r="D20" s="16">
        <f>'Historical Data'!D11-D13</f>
        <v/>
      </c>
      <c r="E20" s="16">
        <f>'Historical Data'!E11-E13</f>
        <v/>
      </c>
      <c r="F20" s="16">
        <f>'Historical Data'!F11-F13</f>
        <v/>
      </c>
      <c r="G20" s="39">
        <f>G18+G19</f>
        <v/>
      </c>
      <c r="H20" s="39">
        <f>F20+G20</f>
        <v/>
      </c>
      <c r="I20" s="39">
        <f>I18+I19</f>
        <v/>
      </c>
      <c r="J20" s="39">
        <f>J18+J19</f>
        <v/>
      </c>
      <c r="K20" s="39">
        <f>K18+K19</f>
        <v/>
      </c>
      <c r="L20" s="39">
        <f>L18+L19</f>
        <v/>
      </c>
      <c r="M20" s="20" t="inlineStr">
        <is>
          <t>Historical: residual of filed total compute less estimated inference.</t>
        </is>
      </c>
    </row>
    <row r="22">
      <c r="A22" s="10" t="inlineStr">
        <is>
          <t>Contracted capacity and total compute expense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3" t="inlineStr">
        <is>
          <t>Driver-based compute demand (inference + training)</t>
        </is>
      </c>
      <c r="B23" s="25" t="inlineStr">
        <is>
          <t>$M</t>
        </is>
      </c>
      <c r="C23" s="35">
        <f>C13+C20</f>
        <v/>
      </c>
      <c r="D23" s="35">
        <f>D13+D20</f>
        <v/>
      </c>
      <c r="E23" s="35">
        <f>E13+E20</f>
        <v/>
      </c>
      <c r="F23" s="35">
        <f>F13+F20</f>
        <v/>
      </c>
      <c r="G23" s="35">
        <f>G13+G20</f>
        <v/>
      </c>
      <c r="H23" s="35">
        <f>F23+G23</f>
        <v/>
      </c>
      <c r="I23" s="35">
        <f>I13+I20</f>
        <v/>
      </c>
      <c r="J23" s="35">
        <f>J13+J20</f>
        <v/>
      </c>
      <c r="K23" s="35">
        <f>K13+K20</f>
        <v/>
      </c>
      <c r="L23" s="35">
        <f>L13+L20</f>
        <v/>
      </c>
    </row>
    <row r="24">
      <c r="A24" s="13" t="inlineStr">
        <is>
          <t>Estimated non-cancellable contracted minimums coming on-line</t>
        </is>
      </c>
      <c r="B24" s="25" t="inlineStr">
        <is>
          <t>$M</t>
        </is>
      </c>
      <c r="G24" s="6">
        <f>'Compute Commitments'!G17</f>
        <v/>
      </c>
      <c r="H24" s="35">
        <f>F24+G24</f>
        <v/>
      </c>
      <c r="I24" s="6">
        <f>'Compute Commitments'!I17</f>
        <v/>
      </c>
      <c r="J24" s="6">
        <f>'Compute Commitments'!J17</f>
        <v/>
      </c>
      <c r="K24" s="6">
        <f>'Compute Commitments'!K17</f>
        <v/>
      </c>
      <c r="L24" s="6">
        <f>'Compute Commitments'!L17</f>
        <v/>
      </c>
      <c r="M24" s="20" t="inlineStr">
        <is>
          <t>From the Compute Commitments sheet (estimated phasing of S-1 deal terms).</t>
        </is>
      </c>
    </row>
    <row r="25">
      <c r="A25" s="13" t="inlineStr">
        <is>
          <t>Take-or-pay shortfall: contracted capacity above modelled demand (expensed in R&amp;D)</t>
        </is>
      </c>
      <c r="B25" s="25" t="inlineStr">
        <is>
          <t>$M</t>
        </is>
      </c>
      <c r="G25" s="6">
        <f>IF('Assumptions'!$C$43=1,MAX(0,G24-G23),0)</f>
        <v/>
      </c>
      <c r="H25" s="35">
        <f>F25+G25</f>
        <v/>
      </c>
      <c r="I25" s="6">
        <f>IF('Assumptions'!$C$43=1,MAX(0,I24-I23),0)</f>
        <v/>
      </c>
      <c r="J25" s="6">
        <f>IF('Assumptions'!$C$43=1,MAX(0,J24-J23),0)</f>
        <v/>
      </c>
      <c r="K25" s="6">
        <f>IF('Assumptions'!$C$43=1,MAX(0,K24-K23),0)</f>
        <v/>
      </c>
      <c r="L25" s="6">
        <f>IF('Assumptions'!$C$43=1,MAX(0,L24-L23),0)</f>
        <v/>
      </c>
      <c r="M25" s="20" t="inlineStr">
        <is>
          <t>Zero when demand ≥ contracted minimums. Capacity is expensed when available, whether or not customers use it.</t>
        </is>
      </c>
    </row>
    <row r="26">
      <c r="A26" s="42" t="inlineStr">
        <is>
          <t>Total compute &amp; infrastructure expense</t>
        </is>
      </c>
      <c r="B26" s="43" t="inlineStr">
        <is>
          <t>$M</t>
        </is>
      </c>
      <c r="C26" s="44">
        <f>'Historical Data'!C11</f>
        <v/>
      </c>
      <c r="D26" s="44">
        <f>'Historical Data'!D11</f>
        <v/>
      </c>
      <c r="E26" s="44">
        <f>'Historical Data'!E11</f>
        <v/>
      </c>
      <c r="F26" s="44">
        <f>'Historical Data'!F11</f>
        <v/>
      </c>
      <c r="G26" s="45">
        <f>G23+G25</f>
        <v/>
      </c>
      <c r="H26" s="45">
        <f>F26+G26</f>
        <v/>
      </c>
      <c r="I26" s="45">
        <f>I23+I25</f>
        <v/>
      </c>
      <c r="J26" s="45">
        <f>J23+J25</f>
        <v/>
      </c>
      <c r="K26" s="45">
        <f>K23+K25</f>
        <v/>
      </c>
      <c r="L26" s="45">
        <f>L23+L25</f>
        <v/>
      </c>
    </row>
    <row r="28">
      <c r="A28" s="10" t="inlineStr">
        <is>
          <t>Ratios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Compute &amp; infrastructure as % of revenue</t>
        </is>
      </c>
      <c r="B29" s="25" t="inlineStr">
        <is>
          <t>%</t>
        </is>
      </c>
      <c r="C29" s="17">
        <f>C26/'Revenue Build'!C13</f>
        <v/>
      </c>
      <c r="D29" s="17">
        <f>D26/'Revenue Build'!D13</f>
        <v/>
      </c>
      <c r="E29" s="17">
        <f>E26/'Revenue Build'!E13</f>
        <v/>
      </c>
      <c r="F29" s="17">
        <f>F26/'Revenue Build'!F13</f>
        <v/>
      </c>
      <c r="G29" s="17">
        <f>G26/'Revenue Build'!G13</f>
        <v/>
      </c>
      <c r="H29" s="17">
        <f>H26/'Revenue Build'!H13</f>
        <v/>
      </c>
      <c r="I29" s="17">
        <f>I26/'Revenue Build'!I13</f>
        <v/>
      </c>
      <c r="J29" s="17">
        <f>J26/'Revenue Build'!J13</f>
        <v/>
      </c>
      <c r="K29" s="17">
        <f>K26/'Revenue Build'!K13</f>
        <v/>
      </c>
      <c r="L29" s="17">
        <f>L26/'Revenue Build'!L13</f>
        <v/>
      </c>
      <c r="M29" s="20" t="inlineStr">
        <is>
          <t>FY25 160%; H1'26 55%; Q2'26 48%; Q3'26 ~59% ($1.70 revenue per $1).</t>
        </is>
      </c>
    </row>
    <row r="30">
      <c r="A30" s="13" t="inlineStr">
        <is>
          <t>Revenue per $1 of compute</t>
        </is>
      </c>
      <c r="B30" s="25" t="inlineStr">
        <is>
          <t>x</t>
        </is>
      </c>
      <c r="C30" s="18">
        <f>'Revenue Build'!C13/C26</f>
        <v/>
      </c>
      <c r="D30" s="18">
        <f>'Revenue Build'!D13/D26</f>
        <v/>
      </c>
      <c r="E30" s="18">
        <f>'Revenue Build'!E13/E26</f>
        <v/>
      </c>
      <c r="F30" s="18">
        <f>'Revenue Build'!F13/F26</f>
        <v/>
      </c>
      <c r="G30" s="18">
        <f>'Revenue Build'!G13/G26</f>
        <v/>
      </c>
      <c r="H30" s="18">
        <f>'Revenue Build'!H13/H26</f>
        <v/>
      </c>
      <c r="I30" s="18">
        <f>'Revenue Build'!I13/I26</f>
        <v/>
      </c>
      <c r="J30" s="18">
        <f>'Revenue Build'!J13/J26</f>
        <v/>
      </c>
      <c r="K30" s="18">
        <f>'Revenue Build'!K13/K26</f>
        <v/>
      </c>
      <c r="L30" s="18">
        <f>'Revenue Build'!L13/L26</f>
        <v/>
      </c>
    </row>
    <row r="31">
      <c r="A31" s="13" t="inlineStr">
        <is>
          <t>Paid inference compute as % of revenue (1 – serving gross margin)</t>
        </is>
      </c>
      <c r="B31" s="25" t="inlineStr">
        <is>
          <t>%</t>
        </is>
      </c>
      <c r="C31" s="17">
        <f>C10/'Revenue Build'!C13</f>
        <v/>
      </c>
      <c r="D31" s="17">
        <f>D10/'Revenue Build'!D13</f>
        <v/>
      </c>
      <c r="E31" s="17">
        <f>E10/'Revenue Build'!E13</f>
        <v/>
      </c>
      <c r="F31" s="17">
        <f>F10/'Revenue Build'!F13</f>
        <v/>
      </c>
      <c r="G31" s="17">
        <f>G10/'Revenue Build'!G13</f>
        <v/>
      </c>
      <c r="H31" s="17">
        <f>H10/'Revenue Build'!H13</f>
        <v/>
      </c>
      <c r="I31" s="17">
        <f>I10/'Revenue Build'!I13</f>
        <v/>
      </c>
      <c r="J31" s="17">
        <f>J10/'Revenue Build'!J13</f>
        <v/>
      </c>
      <c r="K31" s="17">
        <f>K10/'Revenue Build'!K13</f>
        <v/>
      </c>
      <c r="L31" s="17">
        <f>L10/'Revenue Build'!L13</f>
        <v/>
      </c>
    </row>
    <row r="32">
      <c r="A32" s="13" t="inlineStr">
        <is>
          <t>Training &amp; research share of total compute</t>
        </is>
      </c>
      <c r="B32" s="25" t="inlineStr">
        <is>
          <t>%</t>
        </is>
      </c>
      <c r="C32" s="14">
        <f>C20/C26</f>
        <v/>
      </c>
      <c r="D32" s="14">
        <f>D20/D26</f>
        <v/>
      </c>
      <c r="E32" s="14">
        <f>E20/E26</f>
        <v/>
      </c>
      <c r="F32" s="14">
        <f>F20/F26</f>
        <v/>
      </c>
      <c r="G32" s="14">
        <f>(G20+G25)/G26</f>
        <v/>
      </c>
      <c r="H32" s="14">
        <f>(H20+H25)/H26</f>
        <v/>
      </c>
      <c r="I32" s="14">
        <f>(I20+I25)/I26</f>
        <v/>
      </c>
      <c r="J32" s="14">
        <f>(J20+J25)/J26</f>
        <v/>
      </c>
      <c r="K32" s="14">
        <f>(K20+K25)/K26</f>
        <v/>
      </c>
      <c r="L32" s="14">
        <f>(L20+L25)/L26</f>
        <v/>
      </c>
    </row>
    <row r="33">
      <c r="A33" s="13" t="inlineStr">
        <is>
          <t>Inference share of total compute</t>
        </is>
      </c>
      <c r="B33" s="25" t="inlineStr">
        <is>
          <t>%</t>
        </is>
      </c>
      <c r="C33" s="14">
        <f>C13/C26</f>
        <v/>
      </c>
      <c r="D33" s="14">
        <f>D13/D26</f>
        <v/>
      </c>
      <c r="E33" s="14">
        <f>E13/E26</f>
        <v/>
      </c>
      <c r="F33" s="14">
        <f>F13/F26</f>
        <v/>
      </c>
      <c r="G33" s="14">
        <f>G13/G26</f>
        <v/>
      </c>
      <c r="H33" s="14">
        <f>H13/H26</f>
        <v/>
      </c>
      <c r="I33" s="14">
        <f>I13/I26</f>
        <v/>
      </c>
      <c r="J33" s="14">
        <f>J13/J26</f>
        <v/>
      </c>
      <c r="K33" s="14">
        <f>K13/K26</f>
        <v/>
      </c>
      <c r="L33" s="14">
        <f>L13/L26</f>
        <v/>
      </c>
    </row>
    <row r="34">
      <c r="A34" s="13" t="inlineStr">
        <is>
          <t>Training &amp; research compute as % of revenue</t>
        </is>
      </c>
      <c r="B34" s="25" t="inlineStr">
        <is>
          <t>%</t>
        </is>
      </c>
      <c r="C34" s="17">
        <f>C20/'Revenue Build'!C13</f>
        <v/>
      </c>
      <c r="D34" s="17">
        <f>D20/'Revenue Build'!D13</f>
        <v/>
      </c>
      <c r="E34" s="17">
        <f>E20/'Revenue Build'!E13</f>
        <v/>
      </c>
      <c r="F34" s="17">
        <f>F20/'Revenue Build'!F13</f>
        <v/>
      </c>
      <c r="G34" s="17">
        <f>(G20+G25)/'Revenue Build'!G13</f>
        <v/>
      </c>
      <c r="H34" s="17">
        <f>(H20+H25)/'Revenue Build'!H13</f>
        <v/>
      </c>
      <c r="I34" s="17">
        <f>(I20+I25)/'Revenue Build'!I13</f>
        <v/>
      </c>
      <c r="J34" s="17">
        <f>(J20+J25)/'Revenue Build'!J13</f>
        <v/>
      </c>
      <c r="K34" s="17">
        <f>(K20+K25)/'Revenue Build'!K13</f>
        <v/>
      </c>
      <c r="L34" s="17">
        <f>(L20+L25)/'Revenue Build'!L13</f>
        <v/>
      </c>
    </row>
    <row r="35">
      <c r="A35" s="13" t="inlineStr">
        <is>
          <t>Total compute growth (YoY)</t>
        </is>
      </c>
      <c r="B35" s="25" t="inlineStr">
        <is>
          <t>%</t>
        </is>
      </c>
      <c r="D35" s="14">
        <f>D26/C26-1</f>
        <v/>
      </c>
      <c r="E35" s="14">
        <f>E26/D26-1</f>
        <v/>
      </c>
      <c r="H35" s="14">
        <f>H26/E26-1</f>
        <v/>
      </c>
      <c r="I35" s="14">
        <f>I26/H26-1</f>
        <v/>
      </c>
      <c r="J35" s="14">
        <f>J26/I26-1</f>
        <v/>
      </c>
      <c r="K35" s="14">
        <f>K26/J26-1</f>
        <v/>
      </c>
      <c r="L35" s="14">
        <f>L26/K26-1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Operating Expense Build</t>
        </is>
      </c>
    </row>
    <row r="2">
      <c r="A2" s="2" t="inlineStr">
        <is>
          <t>Personnel, channel-partner fees, marketing, other operating costs and D&amp;A, then allocated to GAAP functional lines.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Personnel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3" t="inlineStr">
        <is>
          <t>Year-end headcount</t>
        </is>
      </c>
      <c r="B8" s="25" t="inlineStr">
        <is>
          <t>FTE</t>
        </is>
      </c>
      <c r="D8" s="6">
        <f>'Assumptions'!D46</f>
        <v/>
      </c>
      <c r="E8" s="6">
        <f>'Assumptions'!E46</f>
        <v/>
      </c>
      <c r="F8" s="6">
        <f>'Assumptions'!F46</f>
        <v/>
      </c>
      <c r="G8" s="6">
        <f>'Assumptions'!G46</f>
        <v/>
      </c>
      <c r="H8" s="35">
        <f>G8</f>
        <v/>
      </c>
      <c r="I8" s="6">
        <f>'Assumptions'!I46</f>
        <v/>
      </c>
      <c r="J8" s="6">
        <f>'Assumptions'!J46</f>
        <v/>
      </c>
      <c r="K8" s="6">
        <f>'Assumptions'!K46</f>
        <v/>
      </c>
      <c r="L8" s="6">
        <f>'Assumptions'!L46</f>
        <v/>
      </c>
    </row>
    <row r="9">
      <c r="A9" s="13" t="inlineStr">
        <is>
          <t>Average headcount</t>
        </is>
      </c>
      <c r="B9" s="25" t="inlineStr">
        <is>
          <t>FTE</t>
        </is>
      </c>
      <c r="E9" s="35">
        <f>AVERAGE(D8,E8)</f>
        <v/>
      </c>
      <c r="F9" s="35">
        <f>AVERAGE(E8,F8)</f>
        <v/>
      </c>
      <c r="G9" s="35">
        <f>AVERAGE(F8,G8)</f>
        <v/>
      </c>
      <c r="H9" s="35">
        <f>AVERAGE(E8,H8)</f>
        <v/>
      </c>
      <c r="I9" s="35">
        <f>AVERAGE(H8,I8)</f>
        <v/>
      </c>
      <c r="J9" s="35">
        <f>AVERAGE(I8,J8)</f>
        <v/>
      </c>
      <c r="K9" s="35">
        <f>AVERAGE(J8,K8)</f>
        <v/>
      </c>
      <c r="L9" s="35">
        <f>AVERAGE(K8,L8)</f>
        <v/>
      </c>
    </row>
    <row r="10">
      <c r="A10" s="13" t="inlineStr">
        <is>
          <t>Stock-based compensation</t>
        </is>
      </c>
      <c r="B10" s="25" t="inlineStr">
        <is>
          <t>$M</t>
        </is>
      </c>
      <c r="C10" s="6">
        <f>'Historical Data'!C34</f>
        <v/>
      </c>
      <c r="D10" s="6">
        <f>'Historical Data'!D34</f>
        <v/>
      </c>
      <c r="E10" s="6">
        <f>'Historical Data'!E34</f>
        <v/>
      </c>
      <c r="F10" s="6">
        <f>'Historical Data'!F34</f>
        <v/>
      </c>
      <c r="G10" s="6">
        <f>'Assumptions'!G48+'Assumptions'!G49</f>
        <v/>
      </c>
      <c r="H10" s="35">
        <f>F10+G10</f>
        <v/>
      </c>
      <c r="I10" s="6">
        <f>'Assumptions'!I48+'Assumptions'!I49</f>
        <v/>
      </c>
      <c r="J10" s="6">
        <f>'Assumptions'!J48+'Assumptions'!J49</f>
        <v/>
      </c>
      <c r="K10" s="6">
        <f>'Assumptions'!K48+'Assumptions'!K49</f>
        <v/>
      </c>
      <c r="L10" s="6">
        <f>'Assumptions'!L48+'Assumptions'!L49</f>
        <v/>
      </c>
    </row>
    <row r="11">
      <c r="A11" s="13" t="inlineStr">
        <is>
          <t>Cash personnel cost (salary, bonus, benefits, payroll tax)</t>
        </is>
      </c>
      <c r="B11" s="25" t="inlineStr">
        <is>
          <t>$M</t>
        </is>
      </c>
      <c r="C11" s="6">
        <f>'Historical Data'!C12-C10</f>
        <v/>
      </c>
      <c r="D11" s="6">
        <f>'Historical Data'!D12-D10</f>
        <v/>
      </c>
      <c r="E11" s="6">
        <f>'Historical Data'!E12-E10</f>
        <v/>
      </c>
      <c r="F11" s="6">
        <f>'Historical Data'!F12-F10</f>
        <v/>
      </c>
      <c r="G11" s="6">
        <f>G9*'Assumptions'!G47/1000*'Assumptions'!G10</f>
        <v/>
      </c>
      <c r="H11" s="35">
        <f>F11+G11</f>
        <v/>
      </c>
      <c r="I11" s="6">
        <f>I9*'Assumptions'!I47/1000*'Assumptions'!I10</f>
        <v/>
      </c>
      <c r="J11" s="6">
        <f>J9*'Assumptions'!J47/1000*'Assumptions'!J10</f>
        <v/>
      </c>
      <c r="K11" s="6">
        <f>K9*'Assumptions'!K47/1000*'Assumptions'!K10</f>
        <v/>
      </c>
      <c r="L11" s="6">
        <f>L9*'Assumptions'!L47/1000*'Assumptions'!L10</f>
        <v/>
      </c>
    </row>
    <row r="12">
      <c r="A12" s="13" t="inlineStr">
        <is>
          <t xml:space="preserve">   Implied cash comp per average employee</t>
        </is>
      </c>
      <c r="B12" s="25" t="inlineStr">
        <is>
          <t>$K/yr</t>
        </is>
      </c>
      <c r="E12" s="35">
        <f>E11/E9*1000</f>
        <v/>
      </c>
      <c r="F12" s="6">
        <f>F11/F9*1000/'Assumptions'!F10</f>
        <v/>
      </c>
      <c r="G12" s="6">
        <f>G11/G9*1000/'Assumptions'!G10</f>
        <v/>
      </c>
      <c r="H12" s="35">
        <f>H11/H9*1000</f>
        <v/>
      </c>
      <c r="I12" s="6">
        <f>I11/I9*1000/'Assumptions'!I10</f>
        <v/>
      </c>
      <c r="J12" s="6">
        <f>J11/J9*1000/'Assumptions'!J10</f>
        <v/>
      </c>
      <c r="K12" s="6">
        <f>K11/K9*1000/'Assumptions'!K10</f>
        <v/>
      </c>
      <c r="L12" s="6">
        <f>L11/L9*1000/'Assumptions'!L10</f>
        <v/>
      </c>
    </row>
    <row r="13">
      <c r="A13" s="15" t="inlineStr">
        <is>
          <t>Total personnel expense</t>
        </is>
      </c>
      <c r="B13" s="38" t="inlineStr">
        <is>
          <t>$M</t>
        </is>
      </c>
      <c r="C13" s="16">
        <f>'Historical Data'!C12</f>
        <v/>
      </c>
      <c r="D13" s="16">
        <f>'Historical Data'!D12</f>
        <v/>
      </c>
      <c r="E13" s="16">
        <f>'Historical Data'!E12</f>
        <v/>
      </c>
      <c r="F13" s="16">
        <f>'Historical Data'!F12</f>
        <v/>
      </c>
      <c r="G13" s="39">
        <f>G11+G10</f>
        <v/>
      </c>
      <c r="H13" s="39">
        <f>F13+G13</f>
        <v/>
      </c>
      <c r="I13" s="39">
        <f>I11+I10</f>
        <v/>
      </c>
      <c r="J13" s="39">
        <f>J11+J10</f>
        <v/>
      </c>
      <c r="K13" s="39">
        <f>K11+K10</f>
        <v/>
      </c>
      <c r="L13" s="39">
        <f>L11+L10</f>
        <v/>
      </c>
    </row>
    <row r="15">
      <c r="A15" s="10" t="inlineStr">
        <is>
          <t>Sales, marketing &amp; partnerships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3" t="inlineStr">
        <is>
          <t>Channel-partner &amp; partnership costs (marketplace fees)</t>
        </is>
      </c>
      <c r="B16" s="25" t="inlineStr">
        <is>
          <t>$M</t>
        </is>
      </c>
      <c r="G16" s="6">
        <f>'Revenue Build'!G25*'Assumptions'!G59</f>
        <v/>
      </c>
      <c r="H16" s="35">
        <f>F16+G16</f>
        <v/>
      </c>
      <c r="I16" s="6">
        <f>'Revenue Build'!I25*'Assumptions'!I59</f>
        <v/>
      </c>
      <c r="J16" s="6">
        <f>'Revenue Build'!J25*'Assumptions'!J59</f>
        <v/>
      </c>
      <c r="K16" s="6">
        <f>'Revenue Build'!K25*'Assumptions'!K59</f>
        <v/>
      </c>
      <c r="L16" s="6">
        <f>'Revenue Build'!L25*'Assumptions'!L59</f>
        <v/>
      </c>
    </row>
    <row r="17">
      <c r="A17" s="13" t="inlineStr">
        <is>
          <t>Advertising &amp; marketing</t>
        </is>
      </c>
      <c r="B17" s="25" t="inlineStr">
        <is>
          <t>$M</t>
        </is>
      </c>
      <c r="G17" s="6">
        <f>'Revenue Build'!G13*'Assumptions'!G60</f>
        <v/>
      </c>
      <c r="H17" s="35">
        <f>F17+G17</f>
        <v/>
      </c>
      <c r="I17" s="6">
        <f>'Revenue Build'!I13*'Assumptions'!I60</f>
        <v/>
      </c>
      <c r="J17" s="6">
        <f>'Revenue Build'!J13*'Assumptions'!J60</f>
        <v/>
      </c>
      <c r="K17" s="6">
        <f>'Revenue Build'!K13*'Assumptions'!K60</f>
        <v/>
      </c>
      <c r="L17" s="6">
        <f>'Revenue Build'!L13*'Assumptions'!L60</f>
        <v/>
      </c>
    </row>
    <row r="18">
      <c r="A18" s="15" t="inlineStr">
        <is>
          <t>Total sales, marketing &amp; partnerships</t>
        </is>
      </c>
      <c r="B18" s="38" t="inlineStr">
        <is>
          <t>$M</t>
        </is>
      </c>
      <c r="C18" s="16">
        <f>'Historical Data'!C14</f>
        <v/>
      </c>
      <c r="D18" s="16">
        <f>'Historical Data'!D14</f>
        <v/>
      </c>
      <c r="E18" s="16">
        <f>'Historical Data'!E14</f>
        <v/>
      </c>
      <c r="F18" s="16">
        <f>'Historical Data'!F14</f>
        <v/>
      </c>
      <c r="G18" s="39">
        <f>G16+G17</f>
        <v/>
      </c>
      <c r="H18" s="39">
        <f>F18+G18</f>
        <v/>
      </c>
      <c r="I18" s="39">
        <f>I16+I17</f>
        <v/>
      </c>
      <c r="J18" s="39">
        <f>J16+J17</f>
        <v/>
      </c>
      <c r="K18" s="39">
        <f>K16+K17</f>
        <v/>
      </c>
      <c r="L18" s="39">
        <f>L16+L17</f>
        <v/>
      </c>
    </row>
    <row r="19">
      <c r="A19" s="13" t="inlineStr">
        <is>
          <t xml:space="preserve">   as % of revenue</t>
        </is>
      </c>
      <c r="B19" s="25" t="inlineStr">
        <is>
          <t>%</t>
        </is>
      </c>
      <c r="C19" s="17">
        <f>C18/'Revenue Build'!C13</f>
        <v/>
      </c>
      <c r="D19" s="17">
        <f>D18/'Revenue Build'!D13</f>
        <v/>
      </c>
      <c r="E19" s="17">
        <f>E18/'Revenue Build'!E13</f>
        <v/>
      </c>
      <c r="F19" s="17">
        <f>F18/'Revenue Build'!F13</f>
        <v/>
      </c>
      <c r="G19" s="17">
        <f>G18/'Revenue Build'!G13</f>
        <v/>
      </c>
      <c r="H19" s="17">
        <f>H18/'Revenue Build'!H13</f>
        <v/>
      </c>
      <c r="I19" s="17">
        <f>I18/'Revenue Build'!I13</f>
        <v/>
      </c>
      <c r="J19" s="17">
        <f>J18/'Revenue Build'!J13</f>
        <v/>
      </c>
      <c r="K19" s="17">
        <f>K18/'Revenue Build'!K13</f>
        <v/>
      </c>
      <c r="L19" s="17">
        <f>L18/'Revenue Build'!L13</f>
        <v/>
      </c>
    </row>
    <row r="21">
      <c r="A21" s="10" t="inlineStr">
        <is>
          <t>Other operating &amp; administrative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3" t="inlineStr">
        <is>
          <t>Other operating &amp; administrative (ex-donation, ex-D&amp;A)</t>
        </is>
      </c>
      <c r="B22" s="25" t="inlineStr">
        <is>
          <t>$M</t>
        </is>
      </c>
      <c r="C22" s="6">
        <f>'Historical Data'!C15-'Historical Data'!C36-'Historical Data'!C35</f>
        <v/>
      </c>
      <c r="D22" s="6">
        <f>'Historical Data'!D15-'Historical Data'!D36-'Historical Data'!D35</f>
        <v/>
      </c>
      <c r="E22" s="6">
        <f>'Historical Data'!E15-'Historical Data'!E36-'Historical Data'!E35</f>
        <v/>
      </c>
      <c r="F22" s="6">
        <f>'Historical Data'!F15-'Historical Data'!F36-'Historical Data'!F35</f>
        <v/>
      </c>
      <c r="G22" s="6">
        <f>'Revenue Build'!G13*'Assumptions'!G61</f>
        <v/>
      </c>
      <c r="H22" s="35">
        <f>F22+G22</f>
        <v/>
      </c>
      <c r="I22" s="6">
        <f>'Revenue Build'!I13*'Assumptions'!I61</f>
        <v/>
      </c>
      <c r="J22" s="6">
        <f>'Revenue Build'!J13*'Assumptions'!J61</f>
        <v/>
      </c>
      <c r="K22" s="6">
        <f>'Revenue Build'!K13*'Assumptions'!K61</f>
        <v/>
      </c>
      <c r="L22" s="6">
        <f>'Revenue Build'!L13*'Assumptions'!L61</f>
        <v/>
      </c>
    </row>
    <row r="23">
      <c r="A23" s="13" t="inlineStr">
        <is>
          <t>Donation-matching programme expense (non-cash)</t>
        </is>
      </c>
      <c r="B23" s="25" t="inlineStr">
        <is>
          <t>$M</t>
        </is>
      </c>
      <c r="C23" s="6">
        <f>'Historical Data'!C36</f>
        <v/>
      </c>
      <c r="D23" s="6">
        <f>'Historical Data'!D36</f>
        <v/>
      </c>
      <c r="E23" s="6">
        <f>'Historical Data'!E36</f>
        <v/>
      </c>
      <c r="F23" s="6">
        <f>'Historical Data'!F36</f>
        <v/>
      </c>
      <c r="G23" s="6">
        <f>'Assumptions'!G62</f>
        <v/>
      </c>
      <c r="H23" s="35">
        <f>F23+G23</f>
        <v/>
      </c>
      <c r="I23" s="6">
        <f>'Assumptions'!I62</f>
        <v/>
      </c>
      <c r="J23" s="6">
        <f>'Assumptions'!J62</f>
        <v/>
      </c>
      <c r="K23" s="6">
        <f>'Assumptions'!K62</f>
        <v/>
      </c>
      <c r="L23" s="6">
        <f>'Assumptions'!L62</f>
        <v/>
      </c>
    </row>
    <row r="24">
      <c r="A24" s="13" t="inlineStr">
        <is>
          <t>Capital expenditure (owned PP&amp;E)</t>
        </is>
      </c>
      <c r="B24" s="25" t="inlineStr">
        <is>
          <t>$M</t>
        </is>
      </c>
      <c r="C24" s="6">
        <f>-'Historical Data'!C44</f>
        <v/>
      </c>
      <c r="D24" s="6">
        <f>-'Historical Data'!D44</f>
        <v/>
      </c>
      <c r="E24" s="6">
        <f>-'Historical Data'!E44</f>
        <v/>
      </c>
      <c r="F24" s="6">
        <f>-'Historical Data'!F44</f>
        <v/>
      </c>
      <c r="G24" s="6">
        <f>'Revenue Build'!G13*'Assumptions'!G69</f>
        <v/>
      </c>
      <c r="H24" s="35">
        <f>F24+G24</f>
        <v/>
      </c>
      <c r="I24" s="6">
        <f>'Revenue Build'!I13*'Assumptions'!I69</f>
        <v/>
      </c>
      <c r="J24" s="6">
        <f>'Revenue Build'!J13*'Assumptions'!J69</f>
        <v/>
      </c>
      <c r="K24" s="6">
        <f>'Revenue Build'!K13*'Assumptions'!K69</f>
        <v/>
      </c>
      <c r="L24" s="6">
        <f>'Revenue Build'!L13*'Assumptions'!L69</f>
        <v/>
      </c>
    </row>
    <row r="25">
      <c r="A25" s="13" t="inlineStr">
        <is>
          <t>Depreciation &amp; amortisation</t>
        </is>
      </c>
      <c r="B25" s="25" t="inlineStr">
        <is>
          <t>$M</t>
        </is>
      </c>
      <c r="C25" s="6">
        <f>'Historical Data'!C35</f>
        <v/>
      </c>
      <c r="D25" s="6">
        <f>'Historical Data'!D35</f>
        <v/>
      </c>
      <c r="E25" s="6">
        <f>'Historical Data'!E35</f>
        <v/>
      </c>
      <c r="F25" s="6">
        <f>'Historical Data'!F35</f>
        <v/>
      </c>
      <c r="G25" s="6">
        <f>('Balance Sheet'!F13+0.5*G24)*'Assumptions'!$C$70*'Assumptions'!G10</f>
        <v/>
      </c>
      <c r="H25" s="35">
        <f>F25+G25</f>
        <v/>
      </c>
      <c r="I25" s="6">
        <f>('Balance Sheet'!H13+0.5*I24)*'Assumptions'!$C$70*'Assumptions'!I10</f>
        <v/>
      </c>
      <c r="J25" s="6">
        <f>('Balance Sheet'!I13+0.5*J24)*'Assumptions'!$C$70*'Assumptions'!J10</f>
        <v/>
      </c>
      <c r="K25" s="6">
        <f>('Balance Sheet'!J13+0.5*K24)*'Assumptions'!$C$70*'Assumptions'!K10</f>
        <v/>
      </c>
      <c r="L25" s="6">
        <f>('Balance Sheet'!K13+0.5*L24)*'Assumptions'!$C$70*'Assumptions'!L10</f>
        <v/>
      </c>
    </row>
    <row r="26">
      <c r="A26" s="15" t="inlineStr">
        <is>
          <t>Total other operating &amp; administrative</t>
        </is>
      </c>
      <c r="B26" s="38" t="inlineStr">
        <is>
          <t>$M</t>
        </is>
      </c>
      <c r="C26" s="16">
        <f>'Historical Data'!C15</f>
        <v/>
      </c>
      <c r="D26" s="16">
        <f>'Historical Data'!D15</f>
        <v/>
      </c>
      <c r="E26" s="16">
        <f>'Historical Data'!E15</f>
        <v/>
      </c>
      <c r="F26" s="16">
        <f>'Historical Data'!F15</f>
        <v/>
      </c>
      <c r="G26" s="39">
        <f>G22+G23+G25</f>
        <v/>
      </c>
      <c r="H26" s="39">
        <f>F26+G26</f>
        <v/>
      </c>
      <c r="I26" s="39">
        <f>I22+I23+I25</f>
        <v/>
      </c>
      <c r="J26" s="39">
        <f>J22+J23+J25</f>
        <v/>
      </c>
      <c r="K26" s="39">
        <f>K22+K23+K25</f>
        <v/>
      </c>
      <c r="L26" s="39">
        <f>L22+L23+L25</f>
        <v/>
      </c>
    </row>
    <row r="28">
      <c r="A28" s="10" t="inlineStr">
        <is>
          <t>Functional allocation (forecast) – ties to total expenses by nature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Cost of revenue</t>
        </is>
      </c>
      <c r="B29" s="25" t="inlineStr">
        <is>
          <t>$M</t>
        </is>
      </c>
      <c r="C29" s="6">
        <f>'Historical Data'!C26</f>
        <v/>
      </c>
      <c r="D29" s="6">
        <f>'Historical Data'!D26</f>
        <v/>
      </c>
      <c r="E29" s="6">
        <f>'Historical Data'!E26</f>
        <v/>
      </c>
      <c r="F29" s="6">
        <f>'Historical Data'!F26</f>
        <v/>
      </c>
      <c r="G29" s="6">
        <f>'Compute Build'!G10+'Assumptions'!$C$50*G13+'Assumptions'!$C$63*G22</f>
        <v/>
      </c>
      <c r="H29" s="35">
        <f>F29+G29</f>
        <v/>
      </c>
      <c r="I29" s="6">
        <f>'Compute Build'!I10+'Assumptions'!$C$50*I13+'Assumptions'!$C$63*I22</f>
        <v/>
      </c>
      <c r="J29" s="6">
        <f>'Compute Build'!J10+'Assumptions'!$C$50*J13+'Assumptions'!$C$63*J22</f>
        <v/>
      </c>
      <c r="K29" s="6">
        <f>'Compute Build'!K10+'Assumptions'!$C$50*K13+'Assumptions'!$C$63*K22</f>
        <v/>
      </c>
      <c r="L29" s="6">
        <f>'Compute Build'!L10+'Assumptions'!$C$50*L13+'Assumptions'!$C$63*L22</f>
        <v/>
      </c>
      <c r="M29" s="20" t="inlineStr">
        <is>
          <t>Paid inference compute + allocated personnel and other.</t>
        </is>
      </c>
    </row>
    <row r="30">
      <c r="A30" s="13" t="inlineStr">
        <is>
          <t>Research &amp; development</t>
        </is>
      </c>
      <c r="B30" s="25" t="inlineStr">
        <is>
          <t>$M</t>
        </is>
      </c>
      <c r="C30" s="6">
        <f>'Historical Data'!C27</f>
        <v/>
      </c>
      <c r="D30" s="6">
        <f>'Historical Data'!D27</f>
        <v/>
      </c>
      <c r="E30" s="6">
        <f>'Historical Data'!E27</f>
        <v/>
      </c>
      <c r="F30" s="6">
        <f>'Historical Data'!F27</f>
        <v/>
      </c>
      <c r="G30" s="6">
        <f>'Compute Build'!G20+'Compute Build'!G12+'Compute Build'!G25+'Assumptions'!$C$51*G13+'Assumptions'!$C$64*G22</f>
        <v/>
      </c>
      <c r="H30" s="35">
        <f>F30+G30</f>
        <v/>
      </c>
      <c r="I30" s="6">
        <f>'Compute Build'!I20+'Compute Build'!I12+'Compute Build'!I25+'Assumptions'!$C$51*I13+'Assumptions'!$C$64*I22</f>
        <v/>
      </c>
      <c r="J30" s="6">
        <f>'Compute Build'!J20+'Compute Build'!J12+'Compute Build'!J25+'Assumptions'!$C$51*J13+'Assumptions'!$C$64*J22</f>
        <v/>
      </c>
      <c r="K30" s="6">
        <f>'Compute Build'!K20+'Compute Build'!K12+'Compute Build'!K25+'Assumptions'!$C$51*K13+'Assumptions'!$C$64*K22</f>
        <v/>
      </c>
      <c r="L30" s="6">
        <f>'Compute Build'!L20+'Compute Build'!L12+'Compute Build'!L25+'Assumptions'!$C$51*L13+'Assumptions'!$C$64*L22</f>
        <v/>
      </c>
      <c r="M30" s="20" t="inlineStr">
        <is>
          <t>Training &amp; research compute + internal inference + take-or-pay shortfall + allocated personnel/other.</t>
        </is>
      </c>
    </row>
    <row r="31">
      <c r="A31" s="13" t="inlineStr">
        <is>
          <t>Sales &amp; marketing</t>
        </is>
      </c>
      <c r="B31" s="25" t="inlineStr">
        <is>
          <t>$M</t>
        </is>
      </c>
      <c r="C31" s="6">
        <f>'Historical Data'!C28</f>
        <v/>
      </c>
      <c r="D31" s="6">
        <f>'Historical Data'!D28</f>
        <v/>
      </c>
      <c r="E31" s="6">
        <f>'Historical Data'!E28</f>
        <v/>
      </c>
      <c r="F31" s="6">
        <f>'Historical Data'!F28</f>
        <v/>
      </c>
      <c r="G31" s="6">
        <f>'Compute Build'!G11+G18+'Assumptions'!$C$52*G13+'Assumptions'!$C$65*G22</f>
        <v/>
      </c>
      <c r="H31" s="35">
        <f>F31+G31</f>
        <v/>
      </c>
      <c r="I31" s="6">
        <f>'Compute Build'!I11+I18+'Assumptions'!$C$52*I13+'Assumptions'!$C$65*I22</f>
        <v/>
      </c>
      <c r="J31" s="6">
        <f>'Compute Build'!J11+J18+'Assumptions'!$C$52*J13+'Assumptions'!$C$65*J22</f>
        <v/>
      </c>
      <c r="K31" s="6">
        <f>'Compute Build'!K11+K18+'Assumptions'!$C$52*K13+'Assumptions'!$C$65*K22</f>
        <v/>
      </c>
      <c r="L31" s="6">
        <f>'Compute Build'!L11+L18+'Assumptions'!$C$52*L13+'Assumptions'!$C$65*L22</f>
        <v/>
      </c>
      <c r="M31" s="20" t="inlineStr">
        <is>
          <t>Free-tier inference + channel &amp; marketing + allocated personnel/other.</t>
        </is>
      </c>
    </row>
    <row r="32">
      <c r="A32" s="13" t="inlineStr">
        <is>
          <t>General &amp; administrative</t>
        </is>
      </c>
      <c r="B32" s="25" t="inlineStr">
        <is>
          <t>$M</t>
        </is>
      </c>
      <c r="C32" s="6">
        <f>'Historical Data'!C29</f>
        <v/>
      </c>
      <c r="D32" s="6">
        <f>'Historical Data'!D29</f>
        <v/>
      </c>
      <c r="E32" s="6">
        <f>'Historical Data'!E29</f>
        <v/>
      </c>
      <c r="F32" s="6">
        <f>'Historical Data'!F29</f>
        <v/>
      </c>
      <c r="G32" s="6">
        <f>'Assumptions'!$C$53*G13+'Assumptions'!$C$66*G22+G23+G25</f>
        <v/>
      </c>
      <c r="H32" s="35">
        <f>F32+G32</f>
        <v/>
      </c>
      <c r="I32" s="6">
        <f>'Assumptions'!$C$53*I13+'Assumptions'!$C$66*I22+I23+I25</f>
        <v/>
      </c>
      <c r="J32" s="6">
        <f>'Assumptions'!$C$53*J13+'Assumptions'!$C$66*J22+J23+J25</f>
        <v/>
      </c>
      <c r="K32" s="6">
        <f>'Assumptions'!$C$53*K13+'Assumptions'!$C$66*K22+K23+K25</f>
        <v/>
      </c>
      <c r="L32" s="6">
        <f>'Assumptions'!$C$53*L13+'Assumptions'!$C$66*L22+L23+L25</f>
        <v/>
      </c>
      <c r="M32" s="20" t="inlineStr">
        <is>
          <t>Allocated personnel/other + donation matching + D&amp;A.</t>
        </is>
      </c>
    </row>
    <row r="33">
      <c r="A33" s="13" t="inlineStr">
        <is>
          <t>Bartz settlement</t>
        </is>
      </c>
      <c r="B33" s="25" t="inlineStr">
        <is>
          <t>$M</t>
        </is>
      </c>
      <c r="C33" s="6">
        <f>'Historical Data'!C13</f>
        <v/>
      </c>
      <c r="D33" s="6">
        <f>'Historical Data'!D13</f>
        <v/>
      </c>
      <c r="E33" s="6">
        <f>'Historical Data'!E13</f>
        <v/>
      </c>
      <c r="F33" s="6">
        <f>'Historical Data'!F13</f>
        <v/>
      </c>
      <c r="G33" s="19" t="n">
        <v>0</v>
      </c>
      <c r="H33" s="35">
        <f>F33+G33</f>
        <v/>
      </c>
      <c r="I33" s="19" t="n">
        <v>0</v>
      </c>
      <c r="J33" s="19" t="n">
        <v>0</v>
      </c>
      <c r="K33" s="19" t="n">
        <v>0</v>
      </c>
      <c r="L33" s="19" t="n">
        <v>0</v>
      </c>
    </row>
    <row r="34">
      <c r="A34" s="15" t="inlineStr">
        <is>
          <t>Total operating expenses (functional)</t>
        </is>
      </c>
      <c r="B34" s="38" t="inlineStr">
        <is>
          <t>$M</t>
        </is>
      </c>
      <c r="C34" s="39">
        <f>C29+C30+C31+C32+C33</f>
        <v/>
      </c>
      <c r="D34" s="39">
        <f>D29+D30+D31+D32+D33</f>
        <v/>
      </c>
      <c r="E34" s="39">
        <f>E29+E30+E31+E32+E33</f>
        <v/>
      </c>
      <c r="F34" s="39">
        <f>F29+F30+F31+F32+F33</f>
        <v/>
      </c>
      <c r="G34" s="39">
        <f>G29+G30+G31+G32+G33</f>
        <v/>
      </c>
      <c r="H34" s="39">
        <f>F34+G34</f>
        <v/>
      </c>
      <c r="I34" s="39">
        <f>I29+I30+I31+I32+I33</f>
        <v/>
      </c>
      <c r="J34" s="39">
        <f>J29+J30+J31+J32+J33</f>
        <v/>
      </c>
      <c r="K34" s="39">
        <f>K29+K30+K31+K32+K33</f>
        <v/>
      </c>
      <c r="L34" s="39">
        <f>L29+L30+L31+L32+L33</f>
        <v/>
      </c>
    </row>
    <row r="35">
      <c r="A35" s="5" t="inlineStr">
        <is>
          <t>Total operating expenses (by nature: compute + personnel + S,M&amp;P + other + Bartz)</t>
        </is>
      </c>
      <c r="B35" s="25" t="inlineStr">
        <is>
          <t>$M</t>
        </is>
      </c>
      <c r="C35" s="12">
        <f>'Compute Build'!C26+C13+C18+C26+C33</f>
        <v/>
      </c>
      <c r="D35" s="12">
        <f>'Compute Build'!D26+D13+D18+D26+D33</f>
        <v/>
      </c>
      <c r="E35" s="12">
        <f>'Compute Build'!E26+E13+E18+E26+E33</f>
        <v/>
      </c>
      <c r="F35" s="12">
        <f>'Compute Build'!F26+F13+F18+F26+F33</f>
        <v/>
      </c>
      <c r="G35" s="12">
        <f>'Compute Build'!G26+G13+G18+G26+G33</f>
        <v/>
      </c>
      <c r="H35" s="36">
        <f>F35+G35</f>
        <v/>
      </c>
      <c r="I35" s="12">
        <f>'Compute Build'!I26+I13+I18+I26+I33</f>
        <v/>
      </c>
      <c r="J35" s="12">
        <f>'Compute Build'!J26+J13+J18+J26+J33</f>
        <v/>
      </c>
      <c r="K35" s="12">
        <f>'Compute Build'!K26+K13+K18+K26+K33</f>
        <v/>
      </c>
      <c r="L35" s="12">
        <f>'Compute Build'!L26+L13+L18+L26+L33</f>
        <v/>
      </c>
    </row>
    <row r="36">
      <c r="A36" s="13" t="inlineStr">
        <is>
          <t>Check: functional – nature (should be 0)</t>
        </is>
      </c>
      <c r="B36" s="25" t="inlineStr">
        <is>
          <t>$M</t>
        </is>
      </c>
      <c r="C36" s="35">
        <f>C34-C35</f>
        <v/>
      </c>
      <c r="D36" s="35">
        <f>D34-D35</f>
        <v/>
      </c>
      <c r="E36" s="35">
        <f>E34-E35</f>
        <v/>
      </c>
      <c r="F36" s="35">
        <f>F34-F35</f>
        <v/>
      </c>
      <c r="G36" s="35">
        <f>G34-G35</f>
        <v/>
      </c>
      <c r="H36" s="35">
        <f>H34-H35</f>
        <v/>
      </c>
      <c r="I36" s="35">
        <f>I34-I35</f>
        <v/>
      </c>
      <c r="J36" s="35">
        <f>J34-J35</f>
        <v/>
      </c>
      <c r="K36" s="35">
        <f>K34-K35</f>
        <v/>
      </c>
      <c r="L36" s="35">
        <f>L34-L35</f>
        <v/>
      </c>
      <c r="M36" s="20" t="inlineStr">
        <is>
          <t>Historical: the S-1's functional note ties to the nature presentation after adding the Bartz line.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Income Statement</t>
        </is>
      </c>
    </row>
    <row r="2">
      <c r="A2" s="2" t="inlineStr">
        <is>
          <t>GAAP functional presentation (as in the S-1 supplemental note) with memo by nature of expense and non-GAAP adjusted metrics.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GAAP income statement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5" t="inlineStr">
        <is>
          <t>Revenue</t>
        </is>
      </c>
      <c r="B8" s="25" t="inlineStr">
        <is>
          <t>$M</t>
        </is>
      </c>
      <c r="C8" s="12">
        <f>'Revenue Build'!C13</f>
        <v/>
      </c>
      <c r="D8" s="12">
        <f>'Revenue Build'!D13</f>
        <v/>
      </c>
      <c r="E8" s="12">
        <f>'Revenue Build'!E13</f>
        <v/>
      </c>
      <c r="F8" s="12">
        <f>'Revenue Build'!F13</f>
        <v/>
      </c>
      <c r="G8" s="12">
        <f>'Revenue Build'!G13</f>
        <v/>
      </c>
      <c r="H8" s="36">
        <f>F8+G8</f>
        <v/>
      </c>
      <c r="I8" s="12">
        <f>'Revenue Build'!I13</f>
        <v/>
      </c>
      <c r="J8" s="12">
        <f>'Revenue Build'!J13</f>
        <v/>
      </c>
      <c r="K8" s="12">
        <f>'Revenue Build'!K13</f>
        <v/>
      </c>
      <c r="L8" s="12">
        <f>'Revenue Build'!L13</f>
        <v/>
      </c>
    </row>
    <row r="9">
      <c r="A9" s="13" t="inlineStr">
        <is>
          <t xml:space="preserve">   YoY growth</t>
        </is>
      </c>
      <c r="B9" s="25" t="inlineStr">
        <is>
          <t>%</t>
        </is>
      </c>
      <c r="D9" s="17">
        <f>'Revenue Build'!D14</f>
        <v/>
      </c>
      <c r="E9" s="17">
        <f>'Revenue Build'!E14</f>
        <v/>
      </c>
      <c r="G9" s="17">
        <f>'Revenue Build'!G14</f>
        <v/>
      </c>
      <c r="H9" s="17">
        <f>'Revenue Build'!H14</f>
        <v/>
      </c>
      <c r="I9" s="17">
        <f>'Revenue Build'!I14</f>
        <v/>
      </c>
      <c r="J9" s="17">
        <f>'Revenue Build'!J14</f>
        <v/>
      </c>
      <c r="K9" s="17">
        <f>'Revenue Build'!K14</f>
        <v/>
      </c>
      <c r="L9" s="17">
        <f>'Revenue Build'!L14</f>
        <v/>
      </c>
    </row>
    <row r="10">
      <c r="A10" s="13" t="inlineStr">
        <is>
          <t>Cost of revenue</t>
        </is>
      </c>
      <c r="B10" s="25" t="inlineStr">
        <is>
          <t>$M</t>
        </is>
      </c>
      <c r="C10" s="6">
        <f>'Opex Build'!C29</f>
        <v/>
      </c>
      <c r="D10" s="6">
        <f>'Opex Build'!D29</f>
        <v/>
      </c>
      <c r="E10" s="6">
        <f>'Opex Build'!E29</f>
        <v/>
      </c>
      <c r="F10" s="6">
        <f>'Opex Build'!F29</f>
        <v/>
      </c>
      <c r="G10" s="6">
        <f>'Opex Build'!G29</f>
        <v/>
      </c>
      <c r="H10" s="35">
        <f>F10+G10</f>
        <v/>
      </c>
      <c r="I10" s="6">
        <f>'Opex Build'!I29</f>
        <v/>
      </c>
      <c r="J10" s="6">
        <f>'Opex Build'!J29</f>
        <v/>
      </c>
      <c r="K10" s="6">
        <f>'Opex Build'!K29</f>
        <v/>
      </c>
      <c r="L10" s="6">
        <f>'Opex Build'!L29</f>
        <v/>
      </c>
    </row>
    <row r="11">
      <c r="A11" s="15" t="inlineStr">
        <is>
          <t>Gross profit</t>
        </is>
      </c>
      <c r="B11" s="38" t="inlineStr">
        <is>
          <t>$M</t>
        </is>
      </c>
      <c r="C11" s="39">
        <f>C8-C10</f>
        <v/>
      </c>
      <c r="D11" s="39">
        <f>D8-D10</f>
        <v/>
      </c>
      <c r="E11" s="39">
        <f>E8-E10</f>
        <v/>
      </c>
      <c r="F11" s="39">
        <f>F8-F10</f>
        <v/>
      </c>
      <c r="G11" s="39">
        <f>G8-G10</f>
        <v/>
      </c>
      <c r="H11" s="39">
        <f>H8-H10</f>
        <v/>
      </c>
      <c r="I11" s="39">
        <f>I8-I10</f>
        <v/>
      </c>
      <c r="J11" s="39">
        <f>J8-J10</f>
        <v/>
      </c>
      <c r="K11" s="39">
        <f>K8-K10</f>
        <v/>
      </c>
      <c r="L11" s="39">
        <f>L8-L10</f>
        <v/>
      </c>
    </row>
    <row r="12">
      <c r="A12" s="13" t="inlineStr">
        <is>
          <t xml:space="preserve">   Gross margin</t>
        </is>
      </c>
      <c r="B12" s="25" t="inlineStr">
        <is>
          <t>%</t>
        </is>
      </c>
      <c r="C12" s="14">
        <f>C11/C8</f>
        <v/>
      </c>
      <c r="D12" s="14">
        <f>D11/D8</f>
        <v/>
      </c>
      <c r="E12" s="14">
        <f>E11/E8</f>
        <v/>
      </c>
      <c r="F12" s="14">
        <f>F11/F8</f>
        <v/>
      </c>
      <c r="G12" s="14">
        <f>G11/G8</f>
        <v/>
      </c>
      <c r="H12" s="14">
        <f>H11/H8</f>
        <v/>
      </c>
      <c r="I12" s="14">
        <f>I11/I8</f>
        <v/>
      </c>
      <c r="J12" s="14">
        <f>J11/J8</f>
        <v/>
      </c>
      <c r="K12" s="14">
        <f>K11/K8</f>
        <v/>
      </c>
      <c r="L12" s="14">
        <f>L11/L8</f>
        <v/>
      </c>
      <c r="M12" s="20" t="inlineStr">
        <is>
          <t>Functional margin: excludes training, research, internal and free-tier compute (in R&amp;D / S&amp;M).</t>
        </is>
      </c>
    </row>
    <row r="13">
      <c r="A13" s="13" t="inlineStr">
        <is>
          <t>Research &amp; development</t>
        </is>
      </c>
      <c r="B13" s="25" t="inlineStr">
        <is>
          <t>$M</t>
        </is>
      </c>
      <c r="C13" s="6">
        <f>'Opex Build'!C30</f>
        <v/>
      </c>
      <c r="D13" s="6">
        <f>'Opex Build'!D30</f>
        <v/>
      </c>
      <c r="E13" s="6">
        <f>'Opex Build'!E30</f>
        <v/>
      </c>
      <c r="F13" s="6">
        <f>'Opex Build'!F30</f>
        <v/>
      </c>
      <c r="G13" s="6">
        <f>'Opex Build'!G30</f>
        <v/>
      </c>
      <c r="H13" s="35">
        <f>F13+G13</f>
        <v/>
      </c>
      <c r="I13" s="6">
        <f>'Opex Build'!I30</f>
        <v/>
      </c>
      <c r="J13" s="6">
        <f>'Opex Build'!J30</f>
        <v/>
      </c>
      <c r="K13" s="6">
        <f>'Opex Build'!K30</f>
        <v/>
      </c>
      <c r="L13" s="6">
        <f>'Opex Build'!L30</f>
        <v/>
      </c>
    </row>
    <row r="14">
      <c r="A14" s="13" t="inlineStr">
        <is>
          <t>Sales &amp; marketing</t>
        </is>
      </c>
      <c r="B14" s="25" t="inlineStr">
        <is>
          <t>$M</t>
        </is>
      </c>
      <c r="C14" s="6">
        <f>'Opex Build'!C31</f>
        <v/>
      </c>
      <c r="D14" s="6">
        <f>'Opex Build'!D31</f>
        <v/>
      </c>
      <c r="E14" s="6">
        <f>'Opex Build'!E31</f>
        <v/>
      </c>
      <c r="F14" s="6">
        <f>'Opex Build'!F31</f>
        <v/>
      </c>
      <c r="G14" s="6">
        <f>'Opex Build'!G31</f>
        <v/>
      </c>
      <c r="H14" s="35">
        <f>F14+G14</f>
        <v/>
      </c>
      <c r="I14" s="6">
        <f>'Opex Build'!I31</f>
        <v/>
      </c>
      <c r="J14" s="6">
        <f>'Opex Build'!J31</f>
        <v/>
      </c>
      <c r="K14" s="6">
        <f>'Opex Build'!K31</f>
        <v/>
      </c>
      <c r="L14" s="6">
        <f>'Opex Build'!L31</f>
        <v/>
      </c>
    </row>
    <row r="15">
      <c r="A15" s="13" t="inlineStr">
        <is>
          <t>General &amp; administrative</t>
        </is>
      </c>
      <c r="B15" s="25" t="inlineStr">
        <is>
          <t>$M</t>
        </is>
      </c>
      <c r="C15" s="6">
        <f>'Opex Build'!C32</f>
        <v/>
      </c>
      <c r="D15" s="6">
        <f>'Opex Build'!D32</f>
        <v/>
      </c>
      <c r="E15" s="6">
        <f>'Opex Build'!E32</f>
        <v/>
      </c>
      <c r="F15" s="6">
        <f>'Opex Build'!F32</f>
        <v/>
      </c>
      <c r="G15" s="6">
        <f>'Opex Build'!G32</f>
        <v/>
      </c>
      <c r="H15" s="35">
        <f>F15+G15</f>
        <v/>
      </c>
      <c r="I15" s="6">
        <f>'Opex Build'!I32</f>
        <v/>
      </c>
      <c r="J15" s="6">
        <f>'Opex Build'!J32</f>
        <v/>
      </c>
      <c r="K15" s="6">
        <f>'Opex Build'!K32</f>
        <v/>
      </c>
      <c r="L15" s="6">
        <f>'Opex Build'!L32</f>
        <v/>
      </c>
    </row>
    <row r="16">
      <c r="A16" s="13" t="inlineStr">
        <is>
          <t>Bartz copyright settlement</t>
        </is>
      </c>
      <c r="B16" s="25" t="inlineStr">
        <is>
          <t>$M</t>
        </is>
      </c>
      <c r="C16" s="6">
        <f>'Opex Build'!C33</f>
        <v/>
      </c>
      <c r="D16" s="6">
        <f>'Opex Build'!D33</f>
        <v/>
      </c>
      <c r="E16" s="6">
        <f>'Opex Build'!E33</f>
        <v/>
      </c>
      <c r="F16" s="6">
        <f>'Opex Build'!F33</f>
        <v/>
      </c>
      <c r="G16" s="6">
        <f>'Opex Build'!G33</f>
        <v/>
      </c>
      <c r="H16" s="35">
        <f>F16+G16</f>
        <v/>
      </c>
      <c r="I16" s="6">
        <f>'Opex Build'!I33</f>
        <v/>
      </c>
      <c r="J16" s="6">
        <f>'Opex Build'!J33</f>
        <v/>
      </c>
      <c r="K16" s="6">
        <f>'Opex Build'!K33</f>
        <v/>
      </c>
      <c r="L16" s="6">
        <f>'Opex Build'!L33</f>
        <v/>
      </c>
    </row>
    <row r="17">
      <c r="A17" s="46" t="inlineStr">
        <is>
          <t>Total operating expenses (incl. cost of revenue)</t>
        </is>
      </c>
      <c r="B17" s="38" t="inlineStr">
        <is>
          <t>$M</t>
        </is>
      </c>
      <c r="C17" s="47">
        <f>C10+C13+C14+C15+C16</f>
        <v/>
      </c>
      <c r="D17" s="47">
        <f>D10+D13+D14+D15+D16</f>
        <v/>
      </c>
      <c r="E17" s="47">
        <f>E10+E13+E14+E15+E16</f>
        <v/>
      </c>
      <c r="F17" s="47">
        <f>F10+F13+F14+F15+F16</f>
        <v/>
      </c>
      <c r="G17" s="47">
        <f>G10+G13+G14+G15+G16</f>
        <v/>
      </c>
      <c r="H17" s="47">
        <f>H10+H13+H14+H15+H16</f>
        <v/>
      </c>
      <c r="I17" s="47">
        <f>I10+I13+I14+I15+I16</f>
        <v/>
      </c>
      <c r="J17" s="47">
        <f>J10+J13+J14+J15+J16</f>
        <v/>
      </c>
      <c r="K17" s="47">
        <f>K10+K13+K14+K15+K16</f>
        <v/>
      </c>
      <c r="L17" s="47">
        <f>L10+L13+L14+L15+L16</f>
        <v/>
      </c>
    </row>
    <row r="18">
      <c r="A18" s="15" t="inlineStr">
        <is>
          <t>Operating income (loss)</t>
        </is>
      </c>
      <c r="B18" s="38" t="inlineStr">
        <is>
          <t>$M</t>
        </is>
      </c>
      <c r="C18" s="39">
        <f>C8-C17</f>
        <v/>
      </c>
      <c r="D18" s="39">
        <f>D8-D17</f>
        <v/>
      </c>
      <c r="E18" s="39">
        <f>E8-E17</f>
        <v/>
      </c>
      <c r="F18" s="39">
        <f>F8-F17</f>
        <v/>
      </c>
      <c r="G18" s="39">
        <f>G8-G17</f>
        <v/>
      </c>
      <c r="H18" s="39">
        <f>H8-H17</f>
        <v/>
      </c>
      <c r="I18" s="39">
        <f>I8-I17</f>
        <v/>
      </c>
      <c r="J18" s="39">
        <f>J8-J17</f>
        <v/>
      </c>
      <c r="K18" s="39">
        <f>K8-K17</f>
        <v/>
      </c>
      <c r="L18" s="39">
        <f>L8-L17</f>
        <v/>
      </c>
    </row>
    <row r="19">
      <c r="A19" s="13" t="inlineStr">
        <is>
          <t xml:space="preserve">   Operating margin</t>
        </is>
      </c>
      <c r="B19" s="25" t="inlineStr">
        <is>
          <t>%</t>
        </is>
      </c>
      <c r="C19" s="14">
        <f>C18/C8</f>
        <v/>
      </c>
      <c r="D19" s="14">
        <f>D18/D8</f>
        <v/>
      </c>
      <c r="E19" s="14">
        <f>E18/E8</f>
        <v/>
      </c>
      <c r="F19" s="14">
        <f>F18/F8</f>
        <v/>
      </c>
      <c r="G19" s="14">
        <f>G18/G8</f>
        <v/>
      </c>
      <c r="H19" s="14">
        <f>H18/H8</f>
        <v/>
      </c>
      <c r="I19" s="14">
        <f>I18/I8</f>
        <v/>
      </c>
      <c r="J19" s="14">
        <f>J18/J8</f>
        <v/>
      </c>
      <c r="K19" s="14">
        <f>K18/K8</f>
        <v/>
      </c>
      <c r="L19" s="14">
        <f>L18/L8</f>
        <v/>
      </c>
    </row>
    <row r="20">
      <c r="A20" s="13" t="inlineStr">
        <is>
          <t>Interest income</t>
        </is>
      </c>
      <c r="B20" s="25" t="inlineStr">
        <is>
          <t>$M</t>
        </is>
      </c>
      <c r="C20" s="6">
        <f>'Historical Data'!C18</f>
        <v/>
      </c>
      <c r="D20" s="6">
        <f>'Historical Data'!D18</f>
        <v/>
      </c>
      <c r="E20" s="6">
        <f>'Historical Data'!E18</f>
        <v/>
      </c>
      <c r="F20" s="6">
        <f>'Historical Data'!F18</f>
        <v/>
      </c>
      <c r="G20" s="6">
        <f>'Balance Sheet'!F8*'Assumptions'!G84*'Assumptions'!G10</f>
        <v/>
      </c>
      <c r="H20" s="35">
        <f>F20+G20</f>
        <v/>
      </c>
      <c r="I20" s="6">
        <f>'Balance Sheet'!H8*'Assumptions'!I84*'Assumptions'!I10</f>
        <v/>
      </c>
      <c r="J20" s="6">
        <f>'Balance Sheet'!I8*'Assumptions'!J84*'Assumptions'!J10</f>
        <v/>
      </c>
      <c r="K20" s="6">
        <f>'Balance Sheet'!J8*'Assumptions'!K84*'Assumptions'!K10</f>
        <v/>
      </c>
      <c r="L20" s="6">
        <f>'Balance Sheet'!K8*'Assumptions'!L84*'Assumptions'!L10</f>
        <v/>
      </c>
      <c r="M20" s="20" t="inlineStr">
        <is>
          <t>Opening cash &amp; STI × yield × period fraction.</t>
        </is>
      </c>
    </row>
    <row r="21">
      <c r="A21" s="13" t="inlineStr">
        <is>
          <t>Interest expense</t>
        </is>
      </c>
      <c r="B21" s="25" t="inlineStr">
        <is>
          <t>$M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6">
        <f>-'Balance Sheet'!F24*'Assumptions'!$C$83*'Assumptions'!G10</f>
        <v/>
      </c>
      <c r="H21" s="35">
        <f>F21+G21</f>
        <v/>
      </c>
      <c r="I21" s="6">
        <f>-'Balance Sheet'!H24*'Assumptions'!$C$83*'Assumptions'!I10</f>
        <v/>
      </c>
      <c r="J21" s="6">
        <f>-'Balance Sheet'!I24*'Assumptions'!$C$83*'Assumptions'!J10</f>
        <v/>
      </c>
      <c r="K21" s="6">
        <f>-'Balance Sheet'!J24*'Assumptions'!$C$83*'Assumptions'!K10</f>
        <v/>
      </c>
      <c r="L21" s="6">
        <f>-'Balance Sheet'!K24*'Assumptions'!$C$83*'Assumptions'!L10</f>
        <v/>
      </c>
    </row>
    <row r="22">
      <c r="A22" s="13" t="inlineStr">
        <is>
          <t>Change in FV of convertible notes, SAFEs &amp; other financial instruments (non-cash)</t>
        </is>
      </c>
      <c r="B22" s="25" t="inlineStr">
        <is>
          <t>$M</t>
        </is>
      </c>
      <c r="C22" s="6">
        <f>'Historical Data'!C19</f>
        <v/>
      </c>
      <c r="D22" s="6">
        <f>'Historical Data'!D19</f>
        <v/>
      </c>
      <c r="E22" s="6">
        <f>'Historical Data'!E19</f>
        <v/>
      </c>
      <c r="F22" s="6">
        <f>'Historical Data'!F19</f>
        <v/>
      </c>
      <c r="G22" s="6">
        <f>-'Assumptions'!G80</f>
        <v/>
      </c>
      <c r="H22" s="35">
        <f>F22+G22</f>
        <v/>
      </c>
      <c r="I22" s="6">
        <f>-'Assumptions'!I80</f>
        <v/>
      </c>
      <c r="J22" s="6">
        <f>-'Assumptions'!J80</f>
        <v/>
      </c>
      <c r="K22" s="6">
        <f>-'Assumptions'!K80</f>
        <v/>
      </c>
      <c r="L22" s="6">
        <f>-'Assumptions'!L80</f>
        <v/>
      </c>
      <c r="M22" s="20" t="inlineStr">
        <is>
          <t>Mark-to-market of Amazon notes etc. as the private valuation rose; ends on conversion at IPO.</t>
        </is>
      </c>
    </row>
    <row r="23">
      <c r="A23" s="13" t="inlineStr">
        <is>
          <t>Other income (expense), net</t>
        </is>
      </c>
      <c r="B23" s="25" t="inlineStr">
        <is>
          <t>$M</t>
        </is>
      </c>
      <c r="C23" s="6">
        <f>'Historical Data'!C20</f>
        <v/>
      </c>
      <c r="D23" s="6">
        <f>'Historical Data'!D20</f>
        <v/>
      </c>
      <c r="E23" s="6">
        <f>'Historical Data'!E20</f>
        <v/>
      </c>
      <c r="F23" s="6">
        <f>'Historical Data'!F20</f>
        <v/>
      </c>
      <c r="G23" s="19" t="n">
        <v>0</v>
      </c>
      <c r="H23" s="35">
        <f>F23+G23</f>
        <v/>
      </c>
      <c r="I23" s="19" t="n">
        <v>0</v>
      </c>
      <c r="J23" s="19" t="n">
        <v>0</v>
      </c>
      <c r="K23" s="19" t="n">
        <v>0</v>
      </c>
      <c r="L23" s="19" t="n">
        <v>0</v>
      </c>
    </row>
    <row r="24">
      <c r="A24" s="15" t="inlineStr">
        <is>
          <t>Income (loss) before income taxes</t>
        </is>
      </c>
      <c r="B24" s="38" t="inlineStr">
        <is>
          <t>$M</t>
        </is>
      </c>
      <c r="C24" s="39">
        <f>C18+C20+C21+C22+C23</f>
        <v/>
      </c>
      <c r="D24" s="39">
        <f>D18+D20+D21+D22+D23</f>
        <v/>
      </c>
      <c r="E24" s="39">
        <f>E18+E20+E21+E22+E23</f>
        <v/>
      </c>
      <c r="F24" s="39">
        <f>F18+F20+F21+F22+F23</f>
        <v/>
      </c>
      <c r="G24" s="39">
        <f>G18+G20+G21+G22+G23</f>
        <v/>
      </c>
      <c r="H24" s="39">
        <f>H18+H20+H21+H22+H23</f>
        <v/>
      </c>
      <c r="I24" s="39">
        <f>I18+I20+I21+I22+I23</f>
        <v/>
      </c>
      <c r="J24" s="39">
        <f>J18+J20+J21+J22+J23</f>
        <v/>
      </c>
      <c r="K24" s="39">
        <f>K18+K20+K21+K22+K23</f>
        <v/>
      </c>
      <c r="L24" s="39">
        <f>L18+L20+L21+L22+L23</f>
        <v/>
      </c>
    </row>
    <row r="25">
      <c r="A25" s="13" t="inlineStr">
        <is>
          <t>Provision for income taxes</t>
        </is>
      </c>
      <c r="B25" s="25" t="inlineStr">
        <is>
          <t>$M</t>
        </is>
      </c>
      <c r="C25" s="6">
        <f>-'Historical Data'!C22</f>
        <v/>
      </c>
      <c r="D25" s="6">
        <f>-'Historical Data'!D22</f>
        <v/>
      </c>
      <c r="E25" s="6">
        <f>-'Historical Data'!E22</f>
        <v/>
      </c>
      <c r="F25" s="6">
        <f>-'Historical Data'!F22</f>
        <v/>
      </c>
      <c r="G25" s="6">
        <f>-'Balance Sheet'!G47</f>
        <v/>
      </c>
      <c r="H25" s="35">
        <f>F25+G25</f>
        <v/>
      </c>
      <c r="I25" s="6">
        <f>-'Balance Sheet'!I47</f>
        <v/>
      </c>
      <c r="J25" s="6">
        <f>-'Balance Sheet'!J47</f>
        <v/>
      </c>
      <c r="K25" s="6">
        <f>-'Balance Sheet'!K47</f>
        <v/>
      </c>
      <c r="L25" s="6">
        <f>-'Balance Sheet'!L47</f>
        <v/>
      </c>
      <c r="M25" s="20" t="inlineStr">
        <is>
          <t>Forecast from the NOL schedule on the Balance Sheet sheet.</t>
        </is>
      </c>
    </row>
    <row r="26">
      <c r="A26" s="42" t="inlineStr">
        <is>
          <t>Net income (loss)</t>
        </is>
      </c>
      <c r="B26" s="43" t="inlineStr">
        <is>
          <t>$M</t>
        </is>
      </c>
      <c r="C26" s="45">
        <f>C24+C25</f>
        <v/>
      </c>
      <c r="D26" s="45">
        <f>D24+D25</f>
        <v/>
      </c>
      <c r="E26" s="45">
        <f>E24+E25</f>
        <v/>
      </c>
      <c r="F26" s="45">
        <f>F24+F25</f>
        <v/>
      </c>
      <c r="G26" s="45">
        <f>G24+G25</f>
        <v/>
      </c>
      <c r="H26" s="45">
        <f>H24+H25</f>
        <v/>
      </c>
      <c r="I26" s="45">
        <f>I24+I25</f>
        <v/>
      </c>
      <c r="J26" s="45">
        <f>J24+J25</f>
        <v/>
      </c>
      <c r="K26" s="45">
        <f>K24+K25</f>
        <v/>
      </c>
      <c r="L26" s="45">
        <f>L24+L25</f>
        <v/>
      </c>
    </row>
    <row r="27">
      <c r="A27" s="13" t="inlineStr">
        <is>
          <t xml:space="preserve">   Net margin</t>
        </is>
      </c>
      <c r="B27" s="25" t="inlineStr">
        <is>
          <t>%</t>
        </is>
      </c>
      <c r="C27" s="14">
        <f>C26/C8</f>
        <v/>
      </c>
      <c r="D27" s="14">
        <f>D26/D8</f>
        <v/>
      </c>
      <c r="E27" s="14">
        <f>E26/E8</f>
        <v/>
      </c>
      <c r="F27" s="14">
        <f>F26/F8</f>
        <v/>
      </c>
      <c r="G27" s="14">
        <f>G26/G8</f>
        <v/>
      </c>
      <c r="H27" s="14">
        <f>H26/H8</f>
        <v/>
      </c>
      <c r="I27" s="14">
        <f>I26/I8</f>
        <v/>
      </c>
      <c r="J27" s="14">
        <f>J26/J8</f>
        <v/>
      </c>
      <c r="K27" s="14">
        <f>K26/K8</f>
        <v/>
      </c>
      <c r="L27" s="14">
        <f>L26/L8</f>
        <v/>
      </c>
    </row>
    <row r="28">
      <c r="A28" s="13" t="inlineStr">
        <is>
          <t xml:space="preserve">   Check vs. filed net loss (0 = ties)</t>
        </is>
      </c>
      <c r="B28" s="25" t="inlineStr">
        <is>
          <t>$M</t>
        </is>
      </c>
      <c r="C28" s="6">
        <f>C26-'Historical Data'!C23</f>
        <v/>
      </c>
      <c r="D28" s="6">
        <f>D26-'Historical Data'!D23</f>
        <v/>
      </c>
      <c r="E28" s="6">
        <f>E26-'Historical Data'!E23</f>
        <v/>
      </c>
      <c r="F28" s="6">
        <f>F26-'Historical Data'!F23</f>
        <v/>
      </c>
    </row>
    <row r="30">
      <c r="A30" s="10" t="inlineStr">
        <is>
          <t>Memo: operating expenses by nature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3" t="inlineStr">
        <is>
          <t>Compute &amp; infrastructure</t>
        </is>
      </c>
      <c r="B31" s="25" t="inlineStr">
        <is>
          <t>$M</t>
        </is>
      </c>
      <c r="C31" s="6">
        <f>'Compute Build'!C26</f>
        <v/>
      </c>
      <c r="D31" s="6">
        <f>'Compute Build'!D26</f>
        <v/>
      </c>
      <c r="E31" s="6">
        <f>'Compute Build'!E26</f>
        <v/>
      </c>
      <c r="F31" s="6">
        <f>'Compute Build'!F26</f>
        <v/>
      </c>
      <c r="G31" s="6">
        <f>'Compute Build'!G26</f>
        <v/>
      </c>
      <c r="H31" s="35">
        <f>F31+G31</f>
        <v/>
      </c>
      <c r="I31" s="6">
        <f>'Compute Build'!I26</f>
        <v/>
      </c>
      <c r="J31" s="6">
        <f>'Compute Build'!J26</f>
        <v/>
      </c>
      <c r="K31" s="6">
        <f>'Compute Build'!K26</f>
        <v/>
      </c>
      <c r="L31" s="6">
        <f>'Compute Build'!L26</f>
        <v/>
      </c>
    </row>
    <row r="32">
      <c r="A32" s="13" t="inlineStr">
        <is>
          <t xml:space="preserve">   of which inference (paid + free-tier + internal)</t>
        </is>
      </c>
      <c r="B32" s="25" t="inlineStr">
        <is>
          <t>$M</t>
        </is>
      </c>
      <c r="C32" s="6">
        <f>'Compute Build'!C13</f>
        <v/>
      </c>
      <c r="D32" s="6">
        <f>'Compute Build'!D13</f>
        <v/>
      </c>
      <c r="E32" s="6">
        <f>'Compute Build'!E13</f>
        <v/>
      </c>
      <c r="F32" s="6">
        <f>'Compute Build'!F13</f>
        <v/>
      </c>
      <c r="G32" s="6">
        <f>'Compute Build'!G13</f>
        <v/>
      </c>
      <c r="H32" s="35">
        <f>F32+G32</f>
        <v/>
      </c>
      <c r="I32" s="6">
        <f>'Compute Build'!I13</f>
        <v/>
      </c>
      <c r="J32" s="6">
        <f>'Compute Build'!J13</f>
        <v/>
      </c>
      <c r="K32" s="6">
        <f>'Compute Build'!K13</f>
        <v/>
      </c>
      <c r="L32" s="6">
        <f>'Compute Build'!L13</f>
        <v/>
      </c>
    </row>
    <row r="33">
      <c r="A33" s="13" t="inlineStr">
        <is>
          <t xml:space="preserve">   of which training &amp; research (incl. take-or-pay shortfall)</t>
        </is>
      </c>
      <c r="B33" s="25" t="inlineStr">
        <is>
          <t>$M</t>
        </is>
      </c>
      <c r="C33" s="6">
        <f>'Compute Build'!C20</f>
        <v/>
      </c>
      <c r="D33" s="6">
        <f>'Compute Build'!D20</f>
        <v/>
      </c>
      <c r="E33" s="6">
        <f>'Compute Build'!E20</f>
        <v/>
      </c>
      <c r="F33" s="6">
        <f>'Compute Build'!F20</f>
        <v/>
      </c>
      <c r="G33" s="6">
        <f>'Compute Build'!G20+'Compute Build'!G25</f>
        <v/>
      </c>
      <c r="H33" s="35">
        <f>F33+G33</f>
        <v/>
      </c>
      <c r="I33" s="6">
        <f>'Compute Build'!I20+'Compute Build'!I25</f>
        <v/>
      </c>
      <c r="J33" s="6">
        <f>'Compute Build'!J20+'Compute Build'!J25</f>
        <v/>
      </c>
      <c r="K33" s="6">
        <f>'Compute Build'!K20+'Compute Build'!K25</f>
        <v/>
      </c>
      <c r="L33" s="6">
        <f>'Compute Build'!L20+'Compute Build'!L25</f>
        <v/>
      </c>
    </row>
    <row r="34">
      <c r="A34" s="13" t="inlineStr">
        <is>
          <t>Personnel</t>
        </is>
      </c>
      <c r="B34" s="25" t="inlineStr">
        <is>
          <t>$M</t>
        </is>
      </c>
      <c r="C34" s="6">
        <f>'Opex Build'!C13</f>
        <v/>
      </c>
      <c r="D34" s="6">
        <f>'Opex Build'!D13</f>
        <v/>
      </c>
      <c r="E34" s="6">
        <f>'Opex Build'!E13</f>
        <v/>
      </c>
      <c r="F34" s="6">
        <f>'Opex Build'!F13</f>
        <v/>
      </c>
      <c r="G34" s="6">
        <f>'Opex Build'!G13</f>
        <v/>
      </c>
      <c r="H34" s="35">
        <f>F34+G34</f>
        <v/>
      </c>
      <c r="I34" s="6">
        <f>'Opex Build'!I13</f>
        <v/>
      </c>
      <c r="J34" s="6">
        <f>'Opex Build'!J13</f>
        <v/>
      </c>
      <c r="K34" s="6">
        <f>'Opex Build'!K13</f>
        <v/>
      </c>
      <c r="L34" s="6">
        <f>'Opex Build'!L13</f>
        <v/>
      </c>
    </row>
    <row r="35">
      <c r="A35" s="13" t="inlineStr">
        <is>
          <t xml:space="preserve">   of which stock-based compensation</t>
        </is>
      </c>
      <c r="B35" s="25" t="inlineStr">
        <is>
          <t>$M</t>
        </is>
      </c>
      <c r="C35" s="6">
        <f>'Opex Build'!C10</f>
        <v/>
      </c>
      <c r="D35" s="6">
        <f>'Opex Build'!D10</f>
        <v/>
      </c>
      <c r="E35" s="6">
        <f>'Opex Build'!E10</f>
        <v/>
      </c>
      <c r="F35" s="6">
        <f>'Opex Build'!F10</f>
        <v/>
      </c>
      <c r="G35" s="6">
        <f>'Opex Build'!G10</f>
        <v/>
      </c>
      <c r="H35" s="35">
        <f>F35+G35</f>
        <v/>
      </c>
      <c r="I35" s="6">
        <f>'Opex Build'!I10</f>
        <v/>
      </c>
      <c r="J35" s="6">
        <f>'Opex Build'!J10</f>
        <v/>
      </c>
      <c r="K35" s="6">
        <f>'Opex Build'!K10</f>
        <v/>
      </c>
      <c r="L35" s="6">
        <f>'Opex Build'!L10</f>
        <v/>
      </c>
    </row>
    <row r="36">
      <c r="A36" s="13" t="inlineStr">
        <is>
          <t>Sales, marketing &amp; partnerships</t>
        </is>
      </c>
      <c r="B36" s="25" t="inlineStr">
        <is>
          <t>$M</t>
        </is>
      </c>
      <c r="C36" s="6">
        <f>'Opex Build'!C18</f>
        <v/>
      </c>
      <c r="D36" s="6">
        <f>'Opex Build'!D18</f>
        <v/>
      </c>
      <c r="E36" s="6">
        <f>'Opex Build'!E18</f>
        <v/>
      </c>
      <c r="F36" s="6">
        <f>'Opex Build'!F18</f>
        <v/>
      </c>
      <c r="G36" s="6">
        <f>'Opex Build'!G18</f>
        <v/>
      </c>
      <c r="H36" s="35">
        <f>F36+G36</f>
        <v/>
      </c>
      <c r="I36" s="6">
        <f>'Opex Build'!I18</f>
        <v/>
      </c>
      <c r="J36" s="6">
        <f>'Opex Build'!J18</f>
        <v/>
      </c>
      <c r="K36" s="6">
        <f>'Opex Build'!K18</f>
        <v/>
      </c>
      <c r="L36" s="6">
        <f>'Opex Build'!L18</f>
        <v/>
      </c>
    </row>
    <row r="37">
      <c r="A37" s="13" t="inlineStr">
        <is>
          <t>Other operating &amp; administrative</t>
        </is>
      </c>
      <c r="B37" s="25" t="inlineStr">
        <is>
          <t>$M</t>
        </is>
      </c>
      <c r="C37" s="6">
        <f>'Opex Build'!C26</f>
        <v/>
      </c>
      <c r="D37" s="6">
        <f>'Opex Build'!D26</f>
        <v/>
      </c>
      <c r="E37" s="6">
        <f>'Opex Build'!E26</f>
        <v/>
      </c>
      <c r="F37" s="6">
        <f>'Opex Build'!F26</f>
        <v/>
      </c>
      <c r="G37" s="6">
        <f>'Opex Build'!G26</f>
        <v/>
      </c>
      <c r="H37" s="35">
        <f>F37+G37</f>
        <v/>
      </c>
      <c r="I37" s="6">
        <f>'Opex Build'!I26</f>
        <v/>
      </c>
      <c r="J37" s="6">
        <f>'Opex Build'!J26</f>
        <v/>
      </c>
      <c r="K37" s="6">
        <f>'Opex Build'!K26</f>
        <v/>
      </c>
      <c r="L37" s="6">
        <f>'Opex Build'!L26</f>
        <v/>
      </c>
    </row>
    <row r="38">
      <c r="A38" s="13" t="inlineStr">
        <is>
          <t>Bartz settlement</t>
        </is>
      </c>
      <c r="B38" s="25" t="inlineStr">
        <is>
          <t>$M</t>
        </is>
      </c>
      <c r="C38" s="35">
        <f>C16</f>
        <v/>
      </c>
      <c r="D38" s="35">
        <f>D16</f>
        <v/>
      </c>
      <c r="E38" s="35">
        <f>E16</f>
        <v/>
      </c>
      <c r="F38" s="35">
        <f>F16</f>
        <v/>
      </c>
      <c r="G38" s="35">
        <f>G16</f>
        <v/>
      </c>
      <c r="H38" s="35">
        <f>F38+G38</f>
        <v/>
      </c>
      <c r="I38" s="35">
        <f>I16</f>
        <v/>
      </c>
      <c r="J38" s="35">
        <f>J16</f>
        <v/>
      </c>
      <c r="K38" s="35">
        <f>K16</f>
        <v/>
      </c>
      <c r="L38" s="35">
        <f>L16</f>
        <v/>
      </c>
    </row>
    <row r="39">
      <c r="A39" s="15" t="inlineStr">
        <is>
          <t>Total operating expenses (by nature)</t>
        </is>
      </c>
      <c r="B39" s="38" t="inlineStr">
        <is>
          <t>$M</t>
        </is>
      </c>
      <c r="C39" s="39">
        <f>C31+C34+C36+C37+C38</f>
        <v/>
      </c>
      <c r="D39" s="39">
        <f>D31+D34+D36+D37+D38</f>
        <v/>
      </c>
      <c r="E39" s="39">
        <f>E31+E34+E36+E37+E38</f>
        <v/>
      </c>
      <c r="F39" s="39">
        <f>F31+F34+F36+F37+F38</f>
        <v/>
      </c>
      <c r="G39" s="39">
        <f>G31+G34+G36+G37+G38</f>
        <v/>
      </c>
      <c r="H39" s="39">
        <f>H31+H34+H36+H37+H38</f>
        <v/>
      </c>
      <c r="I39" s="39">
        <f>I31+I34+I36+I37+I38</f>
        <v/>
      </c>
      <c r="J39" s="39">
        <f>J31+J34+J36+J37+J38</f>
        <v/>
      </c>
      <c r="K39" s="39">
        <f>K31+K34+K36+K37+K38</f>
        <v/>
      </c>
      <c r="L39" s="39">
        <f>L31+L34+L36+L37+L38</f>
        <v/>
      </c>
    </row>
    <row r="40">
      <c r="A40" s="13" t="inlineStr">
        <is>
          <t xml:space="preserve">   Check: nature – functional (0 = ties)</t>
        </is>
      </c>
      <c r="B40" s="25" t="inlineStr">
        <is>
          <t>$M</t>
        </is>
      </c>
      <c r="C40" s="35">
        <f>C39-C17</f>
        <v/>
      </c>
      <c r="D40" s="35">
        <f>D39-D17</f>
        <v/>
      </c>
      <c r="E40" s="35">
        <f>E39-E17</f>
        <v/>
      </c>
      <c r="F40" s="35">
        <f>F39-F17</f>
        <v/>
      </c>
      <c r="G40" s="35">
        <f>G39-G17</f>
        <v/>
      </c>
      <c r="H40" s="35">
        <f>H39-H17</f>
        <v/>
      </c>
      <c r="I40" s="35">
        <f>I39-I17</f>
        <v/>
      </c>
      <c r="J40" s="35">
        <f>J39-J17</f>
        <v/>
      </c>
      <c r="K40" s="35">
        <f>K39-K17</f>
        <v/>
      </c>
      <c r="L40" s="35">
        <f>L39-L17</f>
        <v/>
      </c>
    </row>
    <row r="41">
      <c r="A41" s="13" t="inlineStr">
        <is>
          <t>Compute &amp; infrastructure as % of revenue</t>
        </is>
      </c>
      <c r="B41" s="25" t="inlineStr">
        <is>
          <t>%</t>
        </is>
      </c>
      <c r="C41" s="14">
        <f>C31/C8</f>
        <v/>
      </c>
      <c r="D41" s="14">
        <f>D31/D8</f>
        <v/>
      </c>
      <c r="E41" s="14">
        <f>E31/E8</f>
        <v/>
      </c>
      <c r="F41" s="14">
        <f>F31/F8</f>
        <v/>
      </c>
      <c r="G41" s="14">
        <f>G31/G8</f>
        <v/>
      </c>
      <c r="H41" s="14">
        <f>H31/H8</f>
        <v/>
      </c>
      <c r="I41" s="14">
        <f>I31/I8</f>
        <v/>
      </c>
      <c r="J41" s="14">
        <f>J31/J8</f>
        <v/>
      </c>
      <c r="K41" s="14">
        <f>K31/K8</f>
        <v/>
      </c>
      <c r="L41" s="14">
        <f>L31/L8</f>
        <v/>
      </c>
    </row>
    <row r="43">
      <c r="A43" s="10" t="inlineStr">
        <is>
          <t>Non-GAAP (company definitions)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5" t="inlineStr">
        <is>
          <t>Adjusted operating income (op. income + SBC + non-cash donation matching + Bartz)</t>
        </is>
      </c>
      <c r="B44" s="25" t="inlineStr">
        <is>
          <t>$M</t>
        </is>
      </c>
      <c r="C44" s="12">
        <f>C18+'Opex Build'!C10+'Opex Build'!C23+C16</f>
        <v/>
      </c>
      <c r="D44" s="12">
        <f>D18+'Opex Build'!D10+'Opex Build'!D23+D16</f>
        <v/>
      </c>
      <c r="E44" s="12">
        <f>E18+'Opex Build'!E10+'Opex Build'!E23+E16</f>
        <v/>
      </c>
      <c r="F44" s="12">
        <f>F18+'Opex Build'!F10+'Opex Build'!F23+F16</f>
        <v/>
      </c>
      <c r="G44" s="12">
        <f>G18+'Opex Build'!G10+'Opex Build'!G23+G16</f>
        <v/>
      </c>
      <c r="H44" s="12">
        <f>H18+'Opex Build'!H10+'Opex Build'!H23+H16</f>
        <v/>
      </c>
      <c r="I44" s="12">
        <f>I18+'Opex Build'!I10+'Opex Build'!I23+I16</f>
        <v/>
      </c>
      <c r="J44" s="12">
        <f>J18+'Opex Build'!J10+'Opex Build'!J23+J16</f>
        <v/>
      </c>
      <c r="K44" s="12">
        <f>K18+'Opex Build'!K10+'Opex Build'!K23+K16</f>
        <v/>
      </c>
      <c r="L44" s="12">
        <f>L18+'Opex Build'!L10+'Opex Build'!L23+L16</f>
        <v/>
      </c>
      <c r="M44" s="20" t="inlineStr">
        <is>
          <t>Filed: FY25 $(4,854)M; H1'26 $1,618M. Q3'26 margin ~11% per management.</t>
        </is>
      </c>
    </row>
    <row r="45">
      <c r="A45" s="13" t="inlineStr">
        <is>
          <t xml:space="preserve">   Adjusted operating margin</t>
        </is>
      </c>
      <c r="B45" s="25" t="inlineStr">
        <is>
          <t>%</t>
        </is>
      </c>
      <c r="C45" s="14">
        <f>C44/C8</f>
        <v/>
      </c>
      <c r="D45" s="14">
        <f>D44/D8</f>
        <v/>
      </c>
      <c r="E45" s="14">
        <f>E44/E8</f>
        <v/>
      </c>
      <c r="F45" s="14">
        <f>F44/F8</f>
        <v/>
      </c>
      <c r="G45" s="14">
        <f>G44/G8</f>
        <v/>
      </c>
      <c r="H45" s="14">
        <f>H44/H8</f>
        <v/>
      </c>
      <c r="I45" s="14">
        <f>I44/I8</f>
        <v/>
      </c>
      <c r="J45" s="14">
        <f>J44/J8</f>
        <v/>
      </c>
      <c r="K45" s="14">
        <f>K44/K8</f>
        <v/>
      </c>
      <c r="L45" s="14">
        <f>L44/L8</f>
        <v/>
      </c>
    </row>
    <row r="46">
      <c r="A46" s="5" t="inlineStr">
        <is>
          <t>Adjusted EBITDA (adjusted operating income + D&amp;A)</t>
        </is>
      </c>
      <c r="B46" s="25" t="inlineStr">
        <is>
          <t>$M</t>
        </is>
      </c>
      <c r="C46" s="12">
        <f>C44+'Opex Build'!C25</f>
        <v/>
      </c>
      <c r="D46" s="12">
        <f>D44+'Opex Build'!D25</f>
        <v/>
      </c>
      <c r="E46" s="12">
        <f>E44+'Opex Build'!E25</f>
        <v/>
      </c>
      <c r="F46" s="12">
        <f>F44+'Opex Build'!F25</f>
        <v/>
      </c>
      <c r="G46" s="12">
        <f>G44+'Opex Build'!G25</f>
        <v/>
      </c>
      <c r="H46" s="12">
        <f>H44+'Opex Build'!H25</f>
        <v/>
      </c>
      <c r="I46" s="12">
        <f>I44+'Opex Build'!I25</f>
        <v/>
      </c>
      <c r="J46" s="12">
        <f>J44+'Opex Build'!J25</f>
        <v/>
      </c>
      <c r="K46" s="12">
        <f>K44+'Opex Build'!K25</f>
        <v/>
      </c>
      <c r="L46" s="12">
        <f>L44+'Opex Build'!L25</f>
        <v/>
      </c>
    </row>
    <row r="47">
      <c r="A47" s="13" t="inlineStr">
        <is>
          <t xml:space="preserve">   Adjusted EBITDA margin</t>
        </is>
      </c>
      <c r="B47" s="25" t="inlineStr">
        <is>
          <t>%</t>
        </is>
      </c>
      <c r="C47" s="14">
        <f>C46/C8</f>
        <v/>
      </c>
      <c r="D47" s="14">
        <f>D46/D8</f>
        <v/>
      </c>
      <c r="E47" s="14">
        <f>E46/E8</f>
        <v/>
      </c>
      <c r="F47" s="14">
        <f>F46/F8</f>
        <v/>
      </c>
      <c r="G47" s="14">
        <f>G46/G8</f>
        <v/>
      </c>
      <c r="H47" s="14">
        <f>H46/H8</f>
        <v/>
      </c>
      <c r="I47" s="14">
        <f>I46/I8</f>
        <v/>
      </c>
      <c r="J47" s="14">
        <f>J46/J8</f>
        <v/>
      </c>
      <c r="K47" s="14">
        <f>K46/K8</f>
        <v/>
      </c>
      <c r="L47" s="14">
        <f>L46/L8</f>
        <v/>
      </c>
    </row>
    <row r="48">
      <c r="A48" s="5" t="inlineStr">
        <is>
          <t>Adjusted net income (net income + SBC + donation + Bartz + FV changes)</t>
        </is>
      </c>
      <c r="B48" s="25" t="inlineStr">
        <is>
          <t>$M</t>
        </is>
      </c>
      <c r="C48" s="12">
        <f>C26+'Opex Build'!C10+'Opex Build'!C23+C16-C22</f>
        <v/>
      </c>
      <c r="D48" s="12">
        <f>D26+'Opex Build'!D10+'Opex Build'!D23+D16-D22</f>
        <v/>
      </c>
      <c r="E48" s="12">
        <f>E26+'Opex Build'!E10+'Opex Build'!E23+E16-E22</f>
        <v/>
      </c>
      <c r="F48" s="12">
        <f>F26+'Opex Build'!F10+'Opex Build'!F23+F16-F22</f>
        <v/>
      </c>
      <c r="G48" s="12">
        <f>G26+'Opex Build'!G10+'Opex Build'!G23+G16-G22</f>
        <v/>
      </c>
      <c r="H48" s="12">
        <f>H26+'Opex Build'!H10+'Opex Build'!H23+H16-H22</f>
        <v/>
      </c>
      <c r="I48" s="12">
        <f>I26+'Opex Build'!I10+'Opex Build'!I23+I16-I22</f>
        <v/>
      </c>
      <c r="J48" s="12">
        <f>J26+'Opex Build'!J10+'Opex Build'!J23+J16-J22</f>
        <v/>
      </c>
      <c r="K48" s="12">
        <f>K26+'Opex Build'!K10+'Opex Build'!K23+K16-K22</f>
        <v/>
      </c>
      <c r="L48" s="12">
        <f>L26+'Opex Build'!L10+'Opex Build'!L23+L16-L22</f>
        <v/>
      </c>
      <c r="M48" s="20" t="inlineStr">
        <is>
          <t>Filed: FY25 $(4,448)M; H1'26 $2,671M.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Balance Sheet</t>
        </is>
      </c>
    </row>
    <row r="2">
      <c r="A2" s="2" t="inlineStr">
        <is>
          <t>Rolls forward from the Jun-26A filed balance sheet. Convertible notes and preferred stock convert to common equity at the IPO in H2'26E.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Dec-23A</t>
        </is>
      </c>
      <c r="D4" s="9" t="inlineStr">
        <is>
          <t>Dec-24A</t>
        </is>
      </c>
      <c r="E4" s="9" t="inlineStr">
        <is>
          <t>Dec-25A</t>
        </is>
      </c>
      <c r="F4" s="9" t="inlineStr">
        <is>
          <t>Jun-26A</t>
        </is>
      </c>
      <c r="G4" s="9" t="inlineStr">
        <is>
          <t>Dec-26E</t>
        </is>
      </c>
      <c r="H4" s="9" t="inlineStr">
        <is>
          <t>Dec-26E</t>
        </is>
      </c>
      <c r="I4" s="9" t="inlineStr">
        <is>
          <t>Dec-27E</t>
        </is>
      </c>
      <c r="J4" s="9" t="inlineStr">
        <is>
          <t>Dec-28E</t>
        </is>
      </c>
      <c r="K4" s="9" t="inlineStr">
        <is>
          <t>Dec-29E</t>
        </is>
      </c>
      <c r="L4" s="9" t="inlineStr">
        <is>
          <t>Dec-30E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same as H2'26E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Assets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5" t="inlineStr">
        <is>
          <t>Cash, cash equivalents &amp; short-term investments</t>
        </is>
      </c>
      <c r="B8" s="25" t="inlineStr">
        <is>
          <t>$M</t>
        </is>
      </c>
      <c r="D8" s="12">
        <f>'Historical Data'!D58+'Historical Data'!D59</f>
        <v/>
      </c>
      <c r="E8" s="12">
        <f>'Historical Data'!E58+'Historical Data'!E59</f>
        <v/>
      </c>
      <c r="F8" s="12">
        <f>'Historical Data'!F58+'Historical Data'!F59</f>
        <v/>
      </c>
      <c r="G8" s="12">
        <f>'Cash Flow'!G41</f>
        <v/>
      </c>
      <c r="H8" s="36">
        <f>G8</f>
        <v/>
      </c>
      <c r="I8" s="12">
        <f>'Cash Flow'!I41</f>
        <v/>
      </c>
      <c r="J8" s="12">
        <f>'Cash Flow'!J41</f>
        <v/>
      </c>
      <c r="K8" s="12">
        <f>'Cash Flow'!K41</f>
        <v/>
      </c>
      <c r="L8" s="12">
        <f>'Cash Flow'!L41</f>
        <v/>
      </c>
      <c r="M8" s="20" t="inlineStr">
        <is>
          <t>Forecast: one pool (STI treated as cash).</t>
        </is>
      </c>
    </row>
    <row r="9">
      <c r="A9" s="13" t="inlineStr">
        <is>
          <t>Accounts receivable, net</t>
        </is>
      </c>
      <c r="B9" s="25" t="inlineStr">
        <is>
          <t>$M</t>
        </is>
      </c>
      <c r="D9" s="6">
        <f>'Historical Data'!D60</f>
        <v/>
      </c>
      <c r="E9" s="6">
        <f>'Historical Data'!E60</f>
        <v/>
      </c>
      <c r="F9" s="6">
        <f>'Historical Data'!F60</f>
        <v/>
      </c>
      <c r="G9" s="6">
        <f>'Assumptions'!G73*'Revenue Build'!G13/'Assumptions'!G10</f>
        <v/>
      </c>
      <c r="H9" s="35">
        <f>G9</f>
        <v/>
      </c>
      <c r="I9" s="6">
        <f>'Assumptions'!I73*'Revenue Build'!I13/'Assumptions'!I10</f>
        <v/>
      </c>
      <c r="J9" s="6">
        <f>'Assumptions'!J73*'Revenue Build'!J13/'Assumptions'!J10</f>
        <v/>
      </c>
      <c r="K9" s="6">
        <f>'Assumptions'!K73*'Revenue Build'!K13/'Assumptions'!K10</f>
        <v/>
      </c>
      <c r="L9" s="6">
        <f>'Assumptions'!L73*'Revenue Build'!L13/'Assumptions'!L10</f>
        <v/>
      </c>
    </row>
    <row r="10">
      <c r="A10" s="13" t="inlineStr">
        <is>
          <t>Prepaid expenses &amp; other current assets</t>
        </is>
      </c>
      <c r="B10" s="25" t="inlineStr">
        <is>
          <t>$M</t>
        </is>
      </c>
      <c r="D10" s="6">
        <f>'Historical Data'!D61</f>
        <v/>
      </c>
      <c r="E10" s="6">
        <f>'Historical Data'!E61</f>
        <v/>
      </c>
      <c r="F10" s="6">
        <f>'Historical Data'!F61</f>
        <v/>
      </c>
      <c r="G10" s="6">
        <f>'Assumptions'!G74*'Compute Build'!G26/'Assumptions'!G10</f>
        <v/>
      </c>
      <c r="H10" s="35">
        <f>G10</f>
        <v/>
      </c>
      <c r="I10" s="6">
        <f>'Assumptions'!I74*'Compute Build'!I26/'Assumptions'!I10</f>
        <v/>
      </c>
      <c r="J10" s="6">
        <f>'Assumptions'!J74*'Compute Build'!J26/'Assumptions'!J10</f>
        <v/>
      </c>
      <c r="K10" s="6">
        <f>'Assumptions'!K74*'Compute Build'!K26/'Assumptions'!K10</f>
        <v/>
      </c>
      <c r="L10" s="6">
        <f>'Assumptions'!L74*'Compute Build'!L26/'Assumptions'!L10</f>
        <v/>
      </c>
    </row>
    <row r="11">
      <c r="A11" s="15" t="inlineStr">
        <is>
          <t>Total current assets</t>
        </is>
      </c>
      <c r="B11" s="38" t="inlineStr">
        <is>
          <t>$M</t>
        </is>
      </c>
      <c r="C11" s="48" t="n"/>
      <c r="D11" s="39">
        <f>D8+D9+D10</f>
        <v/>
      </c>
      <c r="E11" s="39">
        <f>E8+E9+E10</f>
        <v/>
      </c>
      <c r="F11" s="39">
        <f>F8+F9+F10</f>
        <v/>
      </c>
      <c r="G11" s="39">
        <f>G8+G9+G10</f>
        <v/>
      </c>
      <c r="H11" s="39">
        <f>G11</f>
        <v/>
      </c>
      <c r="I11" s="39">
        <f>I8+I9+I10</f>
        <v/>
      </c>
      <c r="J11" s="39">
        <f>J8+J9+J10</f>
        <v/>
      </c>
      <c r="K11" s="39">
        <f>K8+K9+K10</f>
        <v/>
      </c>
      <c r="L11" s="39">
        <f>L8+L9+L10</f>
        <v/>
      </c>
    </row>
    <row r="12">
      <c r="A12" s="13" t="inlineStr">
        <is>
          <t>Restricted cash</t>
        </is>
      </c>
      <c r="B12" s="25" t="inlineStr">
        <is>
          <t>$M</t>
        </is>
      </c>
      <c r="D12" s="6">
        <f>'Historical Data'!D62</f>
        <v/>
      </c>
      <c r="E12" s="6">
        <f>'Historical Data'!E62</f>
        <v/>
      </c>
      <c r="F12" s="6">
        <f>'Historical Data'!F62</f>
        <v/>
      </c>
      <c r="G12" s="35">
        <f>F12</f>
        <v/>
      </c>
      <c r="H12" s="35">
        <f>G12</f>
        <v/>
      </c>
      <c r="I12" s="35">
        <f>H12</f>
        <v/>
      </c>
      <c r="J12" s="35">
        <f>I12</f>
        <v/>
      </c>
      <c r="K12" s="35">
        <f>J12</f>
        <v/>
      </c>
      <c r="L12" s="35">
        <f>K12</f>
        <v/>
      </c>
      <c r="M12" s="20" t="inlineStr">
        <is>
          <t>Held flat.</t>
        </is>
      </c>
    </row>
    <row r="13">
      <c r="A13" s="13" t="inlineStr">
        <is>
          <t>Property &amp; equipment, net (incl. finance-lease assets)</t>
        </is>
      </c>
      <c r="B13" s="25" t="inlineStr">
        <is>
          <t>$M</t>
        </is>
      </c>
      <c r="D13" s="6">
        <f>'Historical Data'!D63</f>
        <v/>
      </c>
      <c r="E13" s="6">
        <f>'Historical Data'!E63</f>
        <v/>
      </c>
      <c r="F13" s="6">
        <f>'Historical Data'!F63</f>
        <v/>
      </c>
      <c r="G13" s="6">
        <f>F13+'Opex Build'!G24-'Opex Build'!G25</f>
        <v/>
      </c>
      <c r="H13" s="35">
        <f>G13</f>
        <v/>
      </c>
      <c r="I13" s="6">
        <f>H13+'Opex Build'!I24-'Opex Build'!I25</f>
        <v/>
      </c>
      <c r="J13" s="6">
        <f>I13+'Opex Build'!J24-'Opex Build'!J25</f>
        <v/>
      </c>
      <c r="K13" s="6">
        <f>J13+'Opex Build'!K24-'Opex Build'!K25</f>
        <v/>
      </c>
      <c r="L13" s="6">
        <f>K13+'Opex Build'!L24-'Opex Build'!L25</f>
        <v/>
      </c>
    </row>
    <row r="14">
      <c r="A14" s="13" t="inlineStr">
        <is>
          <t>Operating lease right-of-use assets</t>
        </is>
      </c>
      <c r="B14" s="25" t="inlineStr">
        <is>
          <t>$M</t>
        </is>
      </c>
      <c r="D14" s="6">
        <f>'Historical Data'!D64</f>
        <v/>
      </c>
      <c r="E14" s="6">
        <f>'Historical Data'!E64</f>
        <v/>
      </c>
      <c r="F14" s="6">
        <f>'Historical Data'!F64</f>
        <v/>
      </c>
      <c r="G14" s="35">
        <f>F14</f>
        <v/>
      </c>
      <c r="H14" s="35">
        <f>G14</f>
        <v/>
      </c>
      <c r="I14" s="35">
        <f>H14</f>
        <v/>
      </c>
      <c r="J14" s="35">
        <f>I14</f>
        <v/>
      </c>
      <c r="K14" s="35">
        <f>J14</f>
        <v/>
      </c>
      <c r="L14" s="35">
        <f>K14</f>
        <v/>
      </c>
      <c r="M14" s="20" t="inlineStr">
        <is>
          <t>Held flat (offices); matched by lease liabilities below.</t>
        </is>
      </c>
    </row>
    <row r="15">
      <c r="A15" s="13" t="inlineStr">
        <is>
          <t>Goodwill</t>
        </is>
      </c>
      <c r="B15" s="25" t="inlineStr">
        <is>
          <t>$M</t>
        </is>
      </c>
      <c r="D15" s="6">
        <f>'Historical Data'!D65</f>
        <v/>
      </c>
      <c r="E15" s="6">
        <f>'Historical Data'!E65</f>
        <v/>
      </c>
      <c r="F15" s="6">
        <f>'Historical Data'!F65</f>
        <v/>
      </c>
      <c r="G15" s="35">
        <f>F15</f>
        <v/>
      </c>
      <c r="H15" s="35">
        <f>G15</f>
        <v/>
      </c>
      <c r="I15" s="35">
        <f>H15</f>
        <v/>
      </c>
      <c r="J15" s="35">
        <f>I15</f>
        <v/>
      </c>
      <c r="K15" s="35">
        <f>J15</f>
        <v/>
      </c>
      <c r="L15" s="35">
        <f>K15</f>
        <v/>
      </c>
    </row>
    <row r="16">
      <c r="A16" s="13" t="inlineStr">
        <is>
          <t>Other assets, noncurrent</t>
        </is>
      </c>
      <c r="B16" s="25" t="inlineStr">
        <is>
          <t>$M</t>
        </is>
      </c>
      <c r="D16" s="6">
        <f>'Historical Data'!D66</f>
        <v/>
      </c>
      <c r="E16" s="6">
        <f>'Historical Data'!E66</f>
        <v/>
      </c>
      <c r="F16" s="6">
        <f>'Historical Data'!F66</f>
        <v/>
      </c>
      <c r="G16" s="35">
        <f>F16</f>
        <v/>
      </c>
      <c r="H16" s="35">
        <f>G16</f>
        <v/>
      </c>
      <c r="I16" s="35">
        <f>H16</f>
        <v/>
      </c>
      <c r="J16" s="35">
        <f>I16</f>
        <v/>
      </c>
      <c r="K16" s="35">
        <f>J16</f>
        <v/>
      </c>
      <c r="L16" s="35">
        <f>K16</f>
        <v/>
      </c>
      <c r="M16" s="20" t="inlineStr">
        <is>
          <t>Held flat (deposits / prepayments on compute capacity).</t>
        </is>
      </c>
    </row>
    <row r="17">
      <c r="A17" s="42" t="inlineStr">
        <is>
          <t>Total assets</t>
        </is>
      </c>
      <c r="B17" s="43" t="inlineStr">
        <is>
          <t>$M</t>
        </is>
      </c>
      <c r="C17" s="49" t="n"/>
      <c r="D17" s="45">
        <f>D11+D12+D13+D14+D15+D16</f>
        <v/>
      </c>
      <c r="E17" s="45">
        <f>E11+E12+E13+E14+E15+E16</f>
        <v/>
      </c>
      <c r="F17" s="45">
        <f>F11+F12+F13+F14+F15+F16</f>
        <v/>
      </c>
      <c r="G17" s="45">
        <f>G11+G12+G13+G14+G15+G16</f>
        <v/>
      </c>
      <c r="H17" s="45">
        <f>G17</f>
        <v/>
      </c>
      <c r="I17" s="45">
        <f>I11+I12+I13+I14+I15+I16</f>
        <v/>
      </c>
      <c r="J17" s="45">
        <f>J11+J12+J13+J14+J15+J16</f>
        <v/>
      </c>
      <c r="K17" s="45">
        <f>K11+K12+K13+K14+K15+K16</f>
        <v/>
      </c>
      <c r="L17" s="45">
        <f>L11+L12+L13+L14+L15+L16</f>
        <v/>
      </c>
    </row>
    <row r="19">
      <c r="A19" s="10" t="inlineStr">
        <is>
          <t>Liabilities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3" t="inlineStr">
        <is>
          <t>Accounts payable, accrued expenses &amp; other current liabilities</t>
        </is>
      </c>
      <c r="B20" s="25" t="inlineStr">
        <is>
          <t>$M</t>
        </is>
      </c>
      <c r="D20" s="6">
        <f>'Historical Data'!D68</f>
        <v/>
      </c>
      <c r="E20" s="6">
        <f>'Historical Data'!E68</f>
        <v/>
      </c>
      <c r="F20" s="6">
        <f>'Historical Data'!F68</f>
        <v/>
      </c>
      <c r="G20" s="6">
        <f>'Assumptions'!G75*('Income Statement'!G17-'Opex Build'!G10-'Opex Build'!G23-'Opex Build'!G25)/'Assumptions'!G10</f>
        <v/>
      </c>
      <c r="H20" s="35">
        <f>G20</f>
        <v/>
      </c>
      <c r="I20" s="6">
        <f>'Assumptions'!I75*('Income Statement'!I17-'Opex Build'!I10-'Opex Build'!I23-'Opex Build'!I25)/'Assumptions'!I10</f>
        <v/>
      </c>
      <c r="J20" s="6">
        <f>'Assumptions'!J75*('Income Statement'!J17-'Opex Build'!J10-'Opex Build'!J23-'Opex Build'!J25)/'Assumptions'!J10</f>
        <v/>
      </c>
      <c r="K20" s="6">
        <f>'Assumptions'!K75*('Income Statement'!K17-'Opex Build'!K10-'Opex Build'!K23-'Opex Build'!K25)/'Assumptions'!K10</f>
        <v/>
      </c>
      <c r="L20" s="6">
        <f>'Assumptions'!L75*('Income Statement'!L17-'Opex Build'!L10-'Opex Build'!L23-'Opex Build'!L25)/'Assumptions'!L10</f>
        <v/>
      </c>
      <c r="M20" s="20" t="inlineStr">
        <is>
          <t>% of annualised cash operating costs (total opex less SBC, donation matching and D&amp;A).</t>
        </is>
      </c>
    </row>
    <row r="21">
      <c r="A21" s="13" t="inlineStr">
        <is>
          <t>Operating lease liabilities (current + noncurrent)</t>
        </is>
      </c>
      <c r="B21" s="25" t="inlineStr">
        <is>
          <t>$M</t>
        </is>
      </c>
      <c r="D21" s="6">
        <f>'Historical Data'!D69</f>
        <v/>
      </c>
      <c r="E21" s="6">
        <f>'Historical Data'!E69</f>
        <v/>
      </c>
      <c r="F21" s="6">
        <f>'Historical Data'!F69</f>
        <v/>
      </c>
      <c r="G21" s="35">
        <f>F21</f>
        <v/>
      </c>
      <c r="H21" s="35">
        <f>G21</f>
        <v/>
      </c>
      <c r="I21" s="35">
        <f>H21</f>
        <v/>
      </c>
      <c r="J21" s="35">
        <f>I21</f>
        <v/>
      </c>
      <c r="K21" s="35">
        <f>J21</f>
        <v/>
      </c>
      <c r="L21" s="35">
        <f>K21</f>
        <v/>
      </c>
    </row>
    <row r="22">
      <c r="A22" s="13" t="inlineStr">
        <is>
          <t>Deferred revenue</t>
        </is>
      </c>
      <c r="B22" s="25" t="inlineStr">
        <is>
          <t>$M</t>
        </is>
      </c>
      <c r="D22" s="6">
        <f>'Historical Data'!D70</f>
        <v/>
      </c>
      <c r="E22" s="6">
        <f>'Historical Data'!E70</f>
        <v/>
      </c>
      <c r="F22" s="6">
        <f>'Historical Data'!F70</f>
        <v/>
      </c>
      <c r="G22" s="6">
        <f>'Assumptions'!G76*'Revenue Build'!G19/'Assumptions'!G10</f>
        <v/>
      </c>
      <c r="H22" s="35">
        <f>G22</f>
        <v/>
      </c>
      <c r="I22" s="6">
        <f>'Assumptions'!I76*'Revenue Build'!I19/'Assumptions'!I10</f>
        <v/>
      </c>
      <c r="J22" s="6">
        <f>'Assumptions'!J76*'Revenue Build'!J19/'Assumptions'!J10</f>
        <v/>
      </c>
      <c r="K22" s="6">
        <f>'Assumptions'!K76*'Revenue Build'!K19/'Assumptions'!K10</f>
        <v/>
      </c>
      <c r="L22" s="6">
        <f>'Assumptions'!L76*'Revenue Build'!L19/'Assumptions'!L10</f>
        <v/>
      </c>
    </row>
    <row r="23">
      <c r="A23" s="13" t="inlineStr">
        <is>
          <t>Convertible notes payable (at fair value)</t>
        </is>
      </c>
      <c r="B23" s="25" t="inlineStr">
        <is>
          <t>$M</t>
        </is>
      </c>
      <c r="D23" s="6">
        <f>'Historical Data'!D71</f>
        <v/>
      </c>
      <c r="E23" s="6">
        <f>'Historical Data'!E71</f>
        <v/>
      </c>
      <c r="F23" s="6">
        <f>'Historical Data'!F71</f>
        <v/>
      </c>
      <c r="G23" s="6">
        <f>F23+'Assumptions'!G80-G38</f>
        <v/>
      </c>
      <c r="H23" s="35">
        <f>G23</f>
        <v/>
      </c>
      <c r="I23" s="6">
        <f>H23+'Assumptions'!I80-I38</f>
        <v/>
      </c>
      <c r="J23" s="6">
        <f>I23+'Assumptions'!J80-J38</f>
        <v/>
      </c>
      <c r="K23" s="6">
        <f>J23+'Assumptions'!K80-K38</f>
        <v/>
      </c>
      <c r="L23" s="6">
        <f>K23+'Assumptions'!L80-L38</f>
        <v/>
      </c>
      <c r="M23" s="20" t="inlineStr">
        <is>
          <t>Amazon notes: $6.2B principal, $108.6B fair value at Jun-26; convert to Class N common at IPO.</t>
        </is>
      </c>
    </row>
    <row r="24">
      <c r="A24" s="13" t="inlineStr">
        <is>
          <t>Debt / supplier financing</t>
        </is>
      </c>
      <c r="B24" s="25" t="inlineStr">
        <is>
          <t>$M</t>
        </is>
      </c>
      <c r="D24" s="19" t="n">
        <v>0</v>
      </c>
      <c r="E24" s="19" t="n">
        <v>0</v>
      </c>
      <c r="F24" s="19" t="n">
        <v>0</v>
      </c>
      <c r="G24" s="6">
        <f>F24+'Assumptions'!G82</f>
        <v/>
      </c>
      <c r="H24" s="35">
        <f>G24</f>
        <v/>
      </c>
      <c r="I24" s="6">
        <f>H24+'Assumptions'!I82</f>
        <v/>
      </c>
      <c r="J24" s="6">
        <f>I24+'Assumptions'!J82</f>
        <v/>
      </c>
      <c r="K24" s="6">
        <f>J24+'Assumptions'!K82</f>
        <v/>
      </c>
      <c r="L24" s="6">
        <f>K24+'Assumptions'!L82</f>
        <v/>
      </c>
    </row>
    <row r="25">
      <c r="A25" s="13" t="inlineStr">
        <is>
          <t>Other noncurrent liabilities</t>
        </is>
      </c>
      <c r="B25" s="25" t="inlineStr">
        <is>
          <t>$M</t>
        </is>
      </c>
      <c r="D25" s="6">
        <f>'Historical Data'!D72</f>
        <v/>
      </c>
      <c r="E25" s="6">
        <f>'Historical Data'!E72</f>
        <v/>
      </c>
      <c r="F25" s="6">
        <f>'Historical Data'!F72</f>
        <v/>
      </c>
      <c r="G25" s="35">
        <f>F25</f>
        <v/>
      </c>
      <c r="H25" s="35">
        <f>G25</f>
        <v/>
      </c>
      <c r="I25" s="35">
        <f>H25</f>
        <v/>
      </c>
      <c r="J25" s="35">
        <f>I25</f>
        <v/>
      </c>
      <c r="K25" s="35">
        <f>J25</f>
        <v/>
      </c>
      <c r="L25" s="35">
        <f>K25</f>
        <v/>
      </c>
    </row>
    <row r="26">
      <c r="A26" s="15" t="inlineStr">
        <is>
          <t>Total liabilities</t>
        </is>
      </c>
      <c r="B26" s="38" t="inlineStr">
        <is>
          <t>$M</t>
        </is>
      </c>
      <c r="C26" s="48" t="n"/>
      <c r="D26" s="39">
        <f>D20+D21+D22+D23+D24+D25</f>
        <v/>
      </c>
      <c r="E26" s="39">
        <f>E20+E21+E22+E23+E24+E25</f>
        <v/>
      </c>
      <c r="F26" s="39">
        <f>F20+F21+F22+F23+F24+F25</f>
        <v/>
      </c>
      <c r="G26" s="39">
        <f>G20+G21+G22+G23+G24+G25</f>
        <v/>
      </c>
      <c r="H26" s="39">
        <f>G26</f>
        <v/>
      </c>
      <c r="I26" s="39">
        <f>I20+I21+I22+I23+I24+I25</f>
        <v/>
      </c>
      <c r="J26" s="39">
        <f>J20+J21+J22+J23+J24+J25</f>
        <v/>
      </c>
      <c r="K26" s="39">
        <f>K20+K21+K22+K23+K24+K25</f>
        <v/>
      </c>
      <c r="L26" s="39">
        <f>L20+L21+L22+L23+L24+L25</f>
        <v/>
      </c>
    </row>
    <row r="28">
      <c r="A28" s="10" t="inlineStr">
        <is>
          <t>Mezzanine &amp; stockholders' equity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Redeemable convertible preferred stock (mezzanine)</t>
        </is>
      </c>
      <c r="B29" s="25" t="inlineStr">
        <is>
          <t>$M</t>
        </is>
      </c>
      <c r="D29" s="6">
        <f>'Historical Data'!D74</f>
        <v/>
      </c>
      <c r="E29" s="6">
        <f>'Historical Data'!E74</f>
        <v/>
      </c>
      <c r="F29" s="6">
        <f>'Historical Data'!F74</f>
        <v/>
      </c>
      <c r="G29" s="35">
        <f>F29-G39</f>
        <v/>
      </c>
      <c r="H29" s="35">
        <f>G29</f>
        <v/>
      </c>
      <c r="I29" s="35">
        <f>H29-I39</f>
        <v/>
      </c>
      <c r="J29" s="35">
        <f>I29-J39</f>
        <v/>
      </c>
      <c r="K29" s="35">
        <f>J29-K39</f>
        <v/>
      </c>
      <c r="L29" s="35">
        <f>K29-L39</f>
        <v/>
      </c>
      <c r="M29" s="20" t="inlineStr">
        <is>
          <t>Series A–H; converts 1:1 into common at IPO.</t>
        </is>
      </c>
    </row>
    <row r="30">
      <c r="A30" s="13" t="inlineStr">
        <is>
          <t>Common stock &amp; additional paid-in capital</t>
        </is>
      </c>
      <c r="B30" s="25" t="inlineStr">
        <is>
          <t>$M</t>
        </is>
      </c>
      <c r="D30" s="6">
        <f>'Historical Data'!D75</f>
        <v/>
      </c>
      <c r="E30" s="6">
        <f>'Historical Data'!E75</f>
        <v/>
      </c>
      <c r="F30" s="6">
        <f>'Historical Data'!F75</f>
        <v/>
      </c>
      <c r="G30" s="6">
        <f>F30+'Opex Build'!G10+'Opex Build'!G23+'Assumptions'!G81+'Assumptions'!G79+G39+G38</f>
        <v/>
      </c>
      <c r="H30" s="35">
        <f>G30</f>
        <v/>
      </c>
      <c r="I30" s="6">
        <f>H30+'Opex Build'!I10+'Opex Build'!I23+'Assumptions'!I81+'Assumptions'!I79+I39+I38</f>
        <v/>
      </c>
      <c r="J30" s="6">
        <f>I30+'Opex Build'!J10+'Opex Build'!J23+'Assumptions'!J81+'Assumptions'!J79+J39+J38</f>
        <v/>
      </c>
      <c r="K30" s="6">
        <f>J30+'Opex Build'!K10+'Opex Build'!K23+'Assumptions'!K81+'Assumptions'!K79+K39+K38</f>
        <v/>
      </c>
      <c r="L30" s="6">
        <f>K30+'Opex Build'!L10+'Opex Build'!L23+'Assumptions'!L81+'Assumptions'!L79+L39+L38</f>
        <v/>
      </c>
      <c r="M30" s="20" t="inlineStr">
        <is>
          <t>+ SBC, share-settled donation matching, option/ESPP proceeds, IPO proceeds, conversion of preferred and notes.</t>
        </is>
      </c>
    </row>
    <row r="31">
      <c r="A31" s="13" t="inlineStr">
        <is>
          <t>Accumulated other comprehensive income (loss)</t>
        </is>
      </c>
      <c r="B31" s="25" t="inlineStr">
        <is>
          <t>$M</t>
        </is>
      </c>
      <c r="D31" s="6">
        <f>'Historical Data'!D76</f>
        <v/>
      </c>
      <c r="E31" s="6">
        <f>'Historical Data'!E76</f>
        <v/>
      </c>
      <c r="F31" s="6">
        <f>'Historical Data'!F76</f>
        <v/>
      </c>
      <c r="G31" s="35">
        <f>F31</f>
        <v/>
      </c>
      <c r="H31" s="35">
        <f>G31</f>
        <v/>
      </c>
      <c r="I31" s="35">
        <f>H31</f>
        <v/>
      </c>
      <c r="J31" s="35">
        <f>I31</f>
        <v/>
      </c>
      <c r="K31" s="35">
        <f>J31</f>
        <v/>
      </c>
      <c r="L31" s="35">
        <f>K31</f>
        <v/>
      </c>
    </row>
    <row r="32">
      <c r="A32" s="13" t="inlineStr">
        <is>
          <t>Accumulated deficit</t>
        </is>
      </c>
      <c r="B32" s="25" t="inlineStr">
        <is>
          <t>$M</t>
        </is>
      </c>
      <c r="D32" s="6">
        <f>'Historical Data'!D77</f>
        <v/>
      </c>
      <c r="E32" s="6">
        <f>'Historical Data'!E77</f>
        <v/>
      </c>
      <c r="F32" s="6">
        <f>'Historical Data'!F77</f>
        <v/>
      </c>
      <c r="G32" s="6">
        <f>F32+'Income Statement'!G26</f>
        <v/>
      </c>
      <c r="H32" s="35">
        <f>G32</f>
        <v/>
      </c>
      <c r="I32" s="6">
        <f>H32+'Income Statement'!I26</f>
        <v/>
      </c>
      <c r="J32" s="6">
        <f>I32+'Income Statement'!J26</f>
        <v/>
      </c>
      <c r="K32" s="6">
        <f>J32+'Income Statement'!K26</f>
        <v/>
      </c>
      <c r="L32" s="6">
        <f>K32+'Income Statement'!L26</f>
        <v/>
      </c>
    </row>
    <row r="33">
      <c r="A33" s="15" t="inlineStr">
        <is>
          <t>Total equity incl. mezzanine preferred</t>
        </is>
      </c>
      <c r="B33" s="38" t="inlineStr">
        <is>
          <t>$M</t>
        </is>
      </c>
      <c r="C33" s="48" t="n"/>
      <c r="D33" s="39">
        <f>D29+D30+D31+D32</f>
        <v/>
      </c>
      <c r="E33" s="39">
        <f>E29+E30+E31+E32</f>
        <v/>
      </c>
      <c r="F33" s="39">
        <f>F29+F30+F31+F32</f>
        <v/>
      </c>
      <c r="G33" s="39">
        <f>G29+G30+G31+G32</f>
        <v/>
      </c>
      <c r="H33" s="39">
        <f>G33</f>
        <v/>
      </c>
      <c r="I33" s="39">
        <f>I29+I30+I31+I32</f>
        <v/>
      </c>
      <c r="J33" s="39">
        <f>J29+J30+J31+J32</f>
        <v/>
      </c>
      <c r="K33" s="39">
        <f>K29+K30+K31+K32</f>
        <v/>
      </c>
      <c r="L33" s="39">
        <f>L29+L30+L31+L32</f>
        <v/>
      </c>
    </row>
    <row r="34">
      <c r="A34" s="42" t="inlineStr">
        <is>
          <t>Total liabilities, mezzanine &amp; equity</t>
        </is>
      </c>
      <c r="B34" s="43" t="inlineStr">
        <is>
          <t>$M</t>
        </is>
      </c>
      <c r="C34" s="49" t="n"/>
      <c r="D34" s="45">
        <f>D26+D33</f>
        <v/>
      </c>
      <c r="E34" s="45">
        <f>E26+E33</f>
        <v/>
      </c>
      <c r="F34" s="45">
        <f>F26+F33</f>
        <v/>
      </c>
      <c r="G34" s="45">
        <f>G26+G33</f>
        <v/>
      </c>
      <c r="H34" s="45">
        <f>G34</f>
        <v/>
      </c>
      <c r="I34" s="45">
        <f>I26+I33</f>
        <v/>
      </c>
      <c r="J34" s="45">
        <f>J26+J33</f>
        <v/>
      </c>
      <c r="K34" s="45">
        <f>K26+K33</f>
        <v/>
      </c>
      <c r="L34" s="45">
        <f>L26+L33</f>
        <v/>
      </c>
    </row>
    <row r="35">
      <c r="A35" s="50" t="inlineStr">
        <is>
          <t>Check: assets – (liabilities + equity) (0 = balances)</t>
        </is>
      </c>
      <c r="B35" s="51" t="inlineStr">
        <is>
          <t>$M</t>
        </is>
      </c>
      <c r="C35" s="52" t="n"/>
      <c r="D35" s="53">
        <f>ROUND(D17-D34,3)</f>
        <v/>
      </c>
      <c r="E35" s="53">
        <f>ROUND(E17-E34,3)</f>
        <v/>
      </c>
      <c r="F35" s="53">
        <f>ROUND(F17-F34,3)</f>
        <v/>
      </c>
      <c r="G35" s="53">
        <f>ROUND(G17-G34,3)</f>
        <v/>
      </c>
      <c r="H35" s="53">
        <f>G35</f>
        <v/>
      </c>
      <c r="I35" s="53">
        <f>ROUND(I17-I34,3)</f>
        <v/>
      </c>
      <c r="J35" s="53">
        <f>ROUND(J17-J34,3)</f>
        <v/>
      </c>
      <c r="K35" s="53">
        <f>ROUND(K17-K34,3)</f>
        <v/>
      </c>
      <c r="L35" s="53">
        <f>ROUND(L17-L34,3)</f>
        <v/>
      </c>
    </row>
    <row r="37">
      <c r="A37" s="10" t="inlineStr">
        <is>
          <t>Supporting schedules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Conversion of convertible notes into common equity at IPO (non-cash)</t>
        </is>
      </c>
      <c r="B38" s="25" t="inlineStr">
        <is>
          <t>$M</t>
        </is>
      </c>
      <c r="G38" s="6">
        <f>F23+'Assumptions'!G80</f>
        <v/>
      </c>
      <c r="H38" s="35">
        <f>G38</f>
        <v/>
      </c>
      <c r="I38" s="35">
        <f>0</f>
        <v/>
      </c>
      <c r="J38" s="35">
        <f>0</f>
        <v/>
      </c>
      <c r="K38" s="35">
        <f>0</f>
        <v/>
      </c>
      <c r="L38" s="35">
        <f>0</f>
        <v/>
      </c>
      <c r="M38" s="20" t="inlineStr">
        <is>
          <t>All outstanding notes (carrying value incl. the pre-IPO fair-value charge) convert in H2'26E.</t>
        </is>
      </c>
    </row>
    <row r="39">
      <c r="A39" s="13" t="inlineStr">
        <is>
          <t>Conversion of preferred stock into common equity at IPO (non-cash)</t>
        </is>
      </c>
      <c r="B39" s="25" t="inlineStr">
        <is>
          <t>$M</t>
        </is>
      </c>
      <c r="G39" s="35">
        <f>F29</f>
        <v/>
      </c>
      <c r="H39" s="35">
        <f>G39</f>
        <v/>
      </c>
      <c r="I39" s="35">
        <f>0</f>
        <v/>
      </c>
      <c r="J39" s="35">
        <f>0</f>
        <v/>
      </c>
      <c r="K39" s="35">
        <f>0</f>
        <v/>
      </c>
      <c r="L39" s="35">
        <f>0</f>
        <v/>
      </c>
    </row>
    <row r="40">
      <c r="A40" s="13" t="inlineStr">
        <is>
          <t>Net working capital (AR + prepaid – AP – deferred revenue)</t>
        </is>
      </c>
      <c r="B40" s="25" t="inlineStr">
        <is>
          <t>$M</t>
        </is>
      </c>
      <c r="D40" s="35">
        <f>D9+D10-D20-D22</f>
        <v/>
      </c>
      <c r="E40" s="35">
        <f>E9+E10-E20-E22</f>
        <v/>
      </c>
      <c r="F40" s="35">
        <f>F9+F10-F20-F22</f>
        <v/>
      </c>
      <c r="G40" s="35">
        <f>G9+G10-G20-G22</f>
        <v/>
      </c>
      <c r="H40" s="35">
        <f>G40</f>
        <v/>
      </c>
      <c r="I40" s="35">
        <f>I9+I10-I20-I22</f>
        <v/>
      </c>
      <c r="J40" s="35">
        <f>J9+J10-J20-J22</f>
        <v/>
      </c>
      <c r="K40" s="35">
        <f>K9+K10-K20-K22</f>
        <v/>
      </c>
      <c r="L40" s="35">
        <f>L9+L10-L20-L22</f>
        <v/>
      </c>
    </row>
    <row r="42">
      <c r="A42" s="10" t="inlineStr">
        <is>
          <t>Tax schedule (simplified NOL)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13" t="inlineStr">
        <is>
          <t>Taxable income proxy (pre-tax income + non-deductible FV charge + donation matching)</t>
        </is>
      </c>
      <c r="B43" s="25" t="inlineStr">
        <is>
          <t>$M</t>
        </is>
      </c>
      <c r="G43" s="6">
        <f>'Income Statement'!G24-'Income Statement'!G22+'Opex Build'!G23</f>
        <v/>
      </c>
      <c r="H43" s="35">
        <f>F43+G43</f>
        <v/>
      </c>
      <c r="I43" s="6">
        <f>'Income Statement'!I24-'Income Statement'!I22+'Opex Build'!I23</f>
        <v/>
      </c>
      <c r="J43" s="6">
        <f>'Income Statement'!J24-'Income Statement'!J22+'Opex Build'!J23</f>
        <v/>
      </c>
      <c r="K43" s="6">
        <f>'Income Statement'!K24-'Income Statement'!K22+'Opex Build'!K23</f>
        <v/>
      </c>
      <c r="L43" s="6">
        <f>'Income Statement'!L24-'Income Statement'!L22+'Opex Build'!L23</f>
        <v/>
      </c>
    </row>
    <row r="44">
      <c r="A44" s="13" t="inlineStr">
        <is>
          <t>NOL carryforward – opening</t>
        </is>
      </c>
      <c r="B44" s="25" t="inlineStr">
        <is>
          <t>$M</t>
        </is>
      </c>
      <c r="G44" s="6">
        <f>'Assumptions'!$C$86</f>
        <v/>
      </c>
      <c r="H44" s="35">
        <f>G44</f>
        <v/>
      </c>
      <c r="I44" s="35">
        <f>H46</f>
        <v/>
      </c>
      <c r="J44" s="35">
        <f>I46</f>
        <v/>
      </c>
      <c r="K44" s="35">
        <f>J46</f>
        <v/>
      </c>
      <c r="L44" s="35">
        <f>K46</f>
        <v/>
      </c>
      <c r="M44" s="20" t="inlineStr">
        <is>
          <t>Opening balance is an input on Assumptions; thereafter rolls from prior closing.</t>
        </is>
      </c>
    </row>
    <row r="45">
      <c r="A45" s="13" t="inlineStr">
        <is>
          <t>NOL utilised</t>
        </is>
      </c>
      <c r="B45" s="25" t="inlineStr">
        <is>
          <t>$M</t>
        </is>
      </c>
      <c r="G45" s="35">
        <f>MIN(G44,MAX(0,G43))</f>
        <v/>
      </c>
      <c r="H45" s="35">
        <f>F45+G45</f>
        <v/>
      </c>
      <c r="I45" s="35">
        <f>MIN(I44,MAX(0,I43))</f>
        <v/>
      </c>
      <c r="J45" s="35">
        <f>MIN(J44,MAX(0,J43))</f>
        <v/>
      </c>
      <c r="K45" s="35">
        <f>MIN(K44,MAX(0,K43))</f>
        <v/>
      </c>
      <c r="L45" s="35">
        <f>MIN(L44,MAX(0,L43))</f>
        <v/>
      </c>
    </row>
    <row r="46">
      <c r="A46" s="13" t="inlineStr">
        <is>
          <t>NOL carryforward – closing</t>
        </is>
      </c>
      <c r="B46" s="25" t="inlineStr">
        <is>
          <t>$M</t>
        </is>
      </c>
      <c r="G46" s="35">
        <f>G44-G45+MAX(0,-G43)</f>
        <v/>
      </c>
      <c r="H46" s="35">
        <f>G46</f>
        <v/>
      </c>
      <c r="I46" s="35">
        <f>I44-I45+MAX(0,-I43)</f>
        <v/>
      </c>
      <c r="J46" s="35">
        <f>J44-J45+MAX(0,-J43)</f>
        <v/>
      </c>
      <c r="K46" s="35">
        <f>K44-K45+MAX(0,-K43)</f>
        <v/>
      </c>
      <c r="L46" s="35">
        <f>L44-L45+MAX(0,-L43)</f>
        <v/>
      </c>
    </row>
    <row r="47">
      <c r="A47" s="13" t="inlineStr">
        <is>
          <t>Income tax expense (cash &amp; deferred, simplified)</t>
        </is>
      </c>
      <c r="B47" s="25" t="inlineStr">
        <is>
          <t>$M</t>
        </is>
      </c>
      <c r="G47" s="6">
        <f>MAX(0,G43-G45)*'Assumptions'!$C$85+'Assumptions'!$C$87*'Revenue Build'!G13</f>
        <v/>
      </c>
      <c r="H47" s="35">
        <f>F47+G47</f>
        <v/>
      </c>
      <c r="I47" s="6">
        <f>MAX(0,I43-I45)*'Assumptions'!$C$85+'Assumptions'!$C$87*'Revenue Build'!I13</f>
        <v/>
      </c>
      <c r="J47" s="6">
        <f>MAX(0,J43-J45)*'Assumptions'!$C$85+'Assumptions'!$C$87*'Revenue Build'!J13</f>
        <v/>
      </c>
      <c r="K47" s="6">
        <f>MAX(0,K43-K45)*'Assumptions'!$C$85+'Assumptions'!$C$87*'Revenue Build'!K13</f>
        <v/>
      </c>
      <c r="L47" s="6">
        <f>MAX(0,L43-L45)*'Assumptions'!$C$85+'Assumptions'!$C$87*'Revenue Build'!L13</f>
        <v/>
      </c>
      <c r="M47" s="20" t="inlineStr">
        <is>
          <t>Statutory rate on taxable income after NOLs, plus minimum/other taxes as % of revenue.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Cash Flow Statement</t>
        </is>
      </c>
    </row>
    <row r="2">
      <c r="A2" s="2" t="inlineStr">
        <is>
          <t>Indirect method. Historical columns as filed (restated to this line structure); forecast treats cash and short-term investments as one pool.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Operating activities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3" t="inlineStr">
        <is>
          <t>Net income (loss)</t>
        </is>
      </c>
      <c r="B8" s="25" t="inlineStr">
        <is>
          <t>$M</t>
        </is>
      </c>
      <c r="C8" s="6">
        <f>'Income Statement'!C26</f>
        <v/>
      </c>
      <c r="D8" s="6">
        <f>'Income Statement'!D26</f>
        <v/>
      </c>
      <c r="E8" s="6">
        <f>'Income Statement'!E26</f>
        <v/>
      </c>
      <c r="F8" s="6">
        <f>'Income Statement'!F26</f>
        <v/>
      </c>
      <c r="G8" s="6">
        <f>'Income Statement'!G26</f>
        <v/>
      </c>
      <c r="H8" s="35">
        <f>F8+G8</f>
        <v/>
      </c>
      <c r="I8" s="6">
        <f>'Income Statement'!I26</f>
        <v/>
      </c>
      <c r="J8" s="6">
        <f>'Income Statement'!J26</f>
        <v/>
      </c>
      <c r="K8" s="6">
        <f>'Income Statement'!K26</f>
        <v/>
      </c>
      <c r="L8" s="6">
        <f>'Income Statement'!L26</f>
        <v/>
      </c>
    </row>
    <row r="9">
      <c r="A9" s="13" t="inlineStr">
        <is>
          <t>Stock-based compensation</t>
        </is>
      </c>
      <c r="B9" s="25" t="inlineStr">
        <is>
          <t>$M</t>
        </is>
      </c>
      <c r="C9" s="6">
        <f>'Historical Data'!C33</f>
        <v/>
      </c>
      <c r="D9" s="6">
        <f>'Historical Data'!D33</f>
        <v/>
      </c>
      <c r="E9" s="6">
        <f>'Historical Data'!E33</f>
        <v/>
      </c>
      <c r="F9" s="6">
        <f>'Historical Data'!F33</f>
        <v/>
      </c>
      <c r="G9" s="6">
        <f>'Opex Build'!G10</f>
        <v/>
      </c>
      <c r="H9" s="35">
        <f>F9+G9</f>
        <v/>
      </c>
      <c r="I9" s="6">
        <f>'Opex Build'!I10</f>
        <v/>
      </c>
      <c r="J9" s="6">
        <f>'Opex Build'!J10</f>
        <v/>
      </c>
      <c r="K9" s="6">
        <f>'Opex Build'!K10</f>
        <v/>
      </c>
      <c r="L9" s="6">
        <f>'Opex Build'!L10</f>
        <v/>
      </c>
      <c r="M9" s="20" t="inlineStr">
        <is>
          <t>Historical: cash-flow add-back (differs slightly from IS SBC in FY25 due to capitalised amounts).</t>
        </is>
      </c>
    </row>
    <row r="10">
      <c r="A10" s="13" t="inlineStr">
        <is>
          <t>Depreciation &amp; amortisation</t>
        </is>
      </c>
      <c r="B10" s="25" t="inlineStr">
        <is>
          <t>$M</t>
        </is>
      </c>
      <c r="C10" s="6">
        <f>'Historical Data'!C35</f>
        <v/>
      </c>
      <c r="D10" s="6">
        <f>'Historical Data'!D35</f>
        <v/>
      </c>
      <c r="E10" s="6">
        <f>'Historical Data'!E35</f>
        <v/>
      </c>
      <c r="F10" s="6">
        <f>'Historical Data'!F35</f>
        <v/>
      </c>
      <c r="G10" s="6">
        <f>'Opex Build'!G25</f>
        <v/>
      </c>
      <c r="H10" s="35">
        <f>F10+G10</f>
        <v/>
      </c>
      <c r="I10" s="6">
        <f>'Opex Build'!I25</f>
        <v/>
      </c>
      <c r="J10" s="6">
        <f>'Opex Build'!J25</f>
        <v/>
      </c>
      <c r="K10" s="6">
        <f>'Opex Build'!K25</f>
        <v/>
      </c>
      <c r="L10" s="6">
        <f>'Opex Build'!L25</f>
        <v/>
      </c>
    </row>
    <row r="11">
      <c r="A11" s="13" t="inlineStr">
        <is>
          <t>Change in FV of convertible notes, SAFEs &amp; other financial instruments (non-cash)</t>
        </is>
      </c>
      <c r="B11" s="25" t="inlineStr">
        <is>
          <t>$M</t>
        </is>
      </c>
      <c r="C11" s="6">
        <f>-'Historical Data'!C19</f>
        <v/>
      </c>
      <c r="D11" s="6">
        <f>-'Historical Data'!D19</f>
        <v/>
      </c>
      <c r="E11" s="6">
        <f>-'Historical Data'!E19</f>
        <v/>
      </c>
      <c r="F11" s="6">
        <f>-'Historical Data'!F19</f>
        <v/>
      </c>
      <c r="G11" s="6">
        <f>-'Income Statement'!G22</f>
        <v/>
      </c>
      <c r="H11" s="35">
        <f>F11+G11</f>
        <v/>
      </c>
      <c r="I11" s="6">
        <f>-'Income Statement'!I22</f>
        <v/>
      </c>
      <c r="J11" s="6">
        <f>-'Income Statement'!J22</f>
        <v/>
      </c>
      <c r="K11" s="6">
        <f>-'Income Statement'!K22</f>
        <v/>
      </c>
      <c r="L11" s="6">
        <f>-'Income Statement'!L22</f>
        <v/>
      </c>
    </row>
    <row r="12">
      <c r="A12" s="13" t="inlineStr">
        <is>
          <t>Donation-matching expense settled in shares (non-cash)</t>
        </is>
      </c>
      <c r="B12" s="25" t="inlineStr">
        <is>
          <t>$M</t>
        </is>
      </c>
      <c r="C12" s="6">
        <f>'Historical Data'!C36</f>
        <v/>
      </c>
      <c r="D12" s="6">
        <f>'Historical Data'!D36</f>
        <v/>
      </c>
      <c r="E12" s="6">
        <f>'Historical Data'!E36</f>
        <v/>
      </c>
      <c r="F12" s="6">
        <f>'Historical Data'!F36</f>
        <v/>
      </c>
      <c r="G12" s="6">
        <f>'Opex Build'!G23</f>
        <v/>
      </c>
      <c r="H12" s="35">
        <f>F12+G12</f>
        <v/>
      </c>
      <c r="I12" s="6">
        <f>'Opex Build'!I23</f>
        <v/>
      </c>
      <c r="J12" s="6">
        <f>'Opex Build'!J23</f>
        <v/>
      </c>
      <c r="K12" s="6">
        <f>'Opex Build'!K23</f>
        <v/>
      </c>
      <c r="L12" s="6">
        <f>'Opex Build'!L23</f>
        <v/>
      </c>
    </row>
    <row r="13">
      <c r="A13" s="13" t="inlineStr">
        <is>
          <t>Other non-cash items</t>
        </is>
      </c>
      <c r="B13" s="25" t="inlineStr">
        <is>
          <t>$M</t>
        </is>
      </c>
      <c r="C13" s="6">
        <f>'Historical Data'!C37</f>
        <v/>
      </c>
      <c r="D13" s="6">
        <f>'Historical Data'!D37</f>
        <v/>
      </c>
      <c r="E13" s="6">
        <f>'Historical Data'!E37</f>
        <v/>
      </c>
      <c r="F13" s="6">
        <f>'Historical Data'!F37</f>
        <v/>
      </c>
      <c r="G13" s="19" t="n">
        <v>0</v>
      </c>
      <c r="H13" s="35">
        <f>F13+G13</f>
        <v/>
      </c>
      <c r="I13" s="19" t="n">
        <v>0</v>
      </c>
      <c r="J13" s="19" t="n">
        <v>0</v>
      </c>
      <c r="K13" s="19" t="n">
        <v>0</v>
      </c>
      <c r="L13" s="19" t="n">
        <v>0</v>
      </c>
    </row>
    <row r="14">
      <c r="A14" s="13" t="inlineStr">
        <is>
          <t>(Increase) decrease in accounts receivable</t>
        </is>
      </c>
      <c r="B14" s="25" t="inlineStr">
        <is>
          <t>$M</t>
        </is>
      </c>
      <c r="C14" s="6">
        <f>'Historical Data'!C38</f>
        <v/>
      </c>
      <c r="D14" s="6">
        <f>'Historical Data'!D38</f>
        <v/>
      </c>
      <c r="E14" s="6">
        <f>'Historical Data'!E38</f>
        <v/>
      </c>
      <c r="F14" s="6">
        <f>'Historical Data'!F38</f>
        <v/>
      </c>
      <c r="G14" s="6">
        <f>'Balance Sheet'!F9-'Balance Sheet'!G9</f>
        <v/>
      </c>
      <c r="H14" s="35">
        <f>F14+G14</f>
        <v/>
      </c>
      <c r="I14" s="6">
        <f>'Balance Sheet'!H9-'Balance Sheet'!I9</f>
        <v/>
      </c>
      <c r="J14" s="6">
        <f>'Balance Sheet'!I9-'Balance Sheet'!J9</f>
        <v/>
      </c>
      <c r="K14" s="6">
        <f>'Balance Sheet'!J9-'Balance Sheet'!K9</f>
        <v/>
      </c>
      <c r="L14" s="6">
        <f>'Balance Sheet'!K9-'Balance Sheet'!L9</f>
        <v/>
      </c>
    </row>
    <row r="15">
      <c r="A15" s="13" t="inlineStr">
        <is>
          <t>(Increase) decrease in prepaid expenses &amp; other assets</t>
        </is>
      </c>
      <c r="B15" s="25" t="inlineStr">
        <is>
          <t>$M</t>
        </is>
      </c>
      <c r="C15" s="6">
        <f>'Historical Data'!C39</f>
        <v/>
      </c>
      <c r="D15" s="6">
        <f>'Historical Data'!D39</f>
        <v/>
      </c>
      <c r="E15" s="6">
        <f>'Historical Data'!E39</f>
        <v/>
      </c>
      <c r="F15" s="6">
        <f>'Historical Data'!F39</f>
        <v/>
      </c>
      <c r="G15" s="6">
        <f>'Balance Sheet'!F10-'Balance Sheet'!G10</f>
        <v/>
      </c>
      <c r="H15" s="35">
        <f>F15+G15</f>
        <v/>
      </c>
      <c r="I15" s="6">
        <f>'Balance Sheet'!H10-'Balance Sheet'!I10</f>
        <v/>
      </c>
      <c r="J15" s="6">
        <f>'Balance Sheet'!I10-'Balance Sheet'!J10</f>
        <v/>
      </c>
      <c r="K15" s="6">
        <f>'Balance Sheet'!J10-'Balance Sheet'!K10</f>
        <v/>
      </c>
      <c r="L15" s="6">
        <f>'Balance Sheet'!K10-'Balance Sheet'!L10</f>
        <v/>
      </c>
    </row>
    <row r="16">
      <c r="A16" s="13" t="inlineStr">
        <is>
          <t>Increase (decrease) in accounts payable, accrued &amp; other liabilities</t>
        </is>
      </c>
      <c r="B16" s="25" t="inlineStr">
        <is>
          <t>$M</t>
        </is>
      </c>
      <c r="C16" s="6">
        <f>'Historical Data'!C40</f>
        <v/>
      </c>
      <c r="D16" s="6">
        <f>'Historical Data'!D40</f>
        <v/>
      </c>
      <c r="E16" s="6">
        <f>'Historical Data'!E40</f>
        <v/>
      </c>
      <c r="F16" s="6">
        <f>'Historical Data'!F40</f>
        <v/>
      </c>
      <c r="G16" s="6">
        <f>'Balance Sheet'!G20-'Balance Sheet'!F20</f>
        <v/>
      </c>
      <c r="H16" s="35">
        <f>F16+G16</f>
        <v/>
      </c>
      <c r="I16" s="6">
        <f>'Balance Sheet'!I20-'Balance Sheet'!H20</f>
        <v/>
      </c>
      <c r="J16" s="6">
        <f>'Balance Sheet'!J20-'Balance Sheet'!I20</f>
        <v/>
      </c>
      <c r="K16" s="6">
        <f>'Balance Sheet'!K20-'Balance Sheet'!J20</f>
        <v/>
      </c>
      <c r="L16" s="6">
        <f>'Balance Sheet'!L20-'Balance Sheet'!K20</f>
        <v/>
      </c>
    </row>
    <row r="17">
      <c r="A17" s="13" t="inlineStr">
        <is>
          <t>Increase (decrease) in lease liabilities</t>
        </is>
      </c>
      <c r="B17" s="25" t="inlineStr">
        <is>
          <t>$M</t>
        </is>
      </c>
      <c r="C17" s="6">
        <f>'Historical Data'!C41</f>
        <v/>
      </c>
      <c r="D17" s="6">
        <f>'Historical Data'!D41</f>
        <v/>
      </c>
      <c r="E17" s="6">
        <f>'Historical Data'!E41</f>
        <v/>
      </c>
      <c r="F17" s="6">
        <f>'Historical Data'!F41</f>
        <v/>
      </c>
      <c r="G17" s="6">
        <f>'Balance Sheet'!G21-'Balance Sheet'!F21</f>
        <v/>
      </c>
      <c r="H17" s="35">
        <f>F17+G17</f>
        <v/>
      </c>
      <c r="I17" s="6">
        <f>'Balance Sheet'!I21-'Balance Sheet'!H21</f>
        <v/>
      </c>
      <c r="J17" s="6">
        <f>'Balance Sheet'!J21-'Balance Sheet'!I21</f>
        <v/>
      </c>
      <c r="K17" s="6">
        <f>'Balance Sheet'!K21-'Balance Sheet'!J21</f>
        <v/>
      </c>
      <c r="L17" s="6">
        <f>'Balance Sheet'!L21-'Balance Sheet'!K21</f>
        <v/>
      </c>
    </row>
    <row r="18">
      <c r="A18" s="13" t="inlineStr">
        <is>
          <t>Increase (decrease) in deferred revenue</t>
        </is>
      </c>
      <c r="B18" s="25" t="inlineStr">
        <is>
          <t>$M</t>
        </is>
      </c>
      <c r="C18" s="6">
        <f>'Historical Data'!C42</f>
        <v/>
      </c>
      <c r="D18" s="6">
        <f>'Historical Data'!D42</f>
        <v/>
      </c>
      <c r="E18" s="6">
        <f>'Historical Data'!E42</f>
        <v/>
      </c>
      <c r="F18" s="6">
        <f>'Historical Data'!F42</f>
        <v/>
      </c>
      <c r="G18" s="6">
        <f>'Balance Sheet'!G22-'Balance Sheet'!F22</f>
        <v/>
      </c>
      <c r="H18" s="35">
        <f>F18+G18</f>
        <v/>
      </c>
      <c r="I18" s="6">
        <f>'Balance Sheet'!I22-'Balance Sheet'!H22</f>
        <v/>
      </c>
      <c r="J18" s="6">
        <f>'Balance Sheet'!J22-'Balance Sheet'!I22</f>
        <v/>
      </c>
      <c r="K18" s="6">
        <f>'Balance Sheet'!K22-'Balance Sheet'!J22</f>
        <v/>
      </c>
      <c r="L18" s="6">
        <f>'Balance Sheet'!L22-'Balance Sheet'!K22</f>
        <v/>
      </c>
    </row>
    <row r="19">
      <c r="A19" s="15" t="inlineStr">
        <is>
          <t>Net cash from operating activities</t>
        </is>
      </c>
      <c r="B19" s="38" t="inlineStr">
        <is>
          <t>$M</t>
        </is>
      </c>
      <c r="C19" s="39">
        <f>C8+C9+C10+C11+C12+C13+C14+C15+C16+C17+C18</f>
        <v/>
      </c>
      <c r="D19" s="39">
        <f>D8+D9+D10+D11+D12+D13+D14+D15+D16+D17+D18</f>
        <v/>
      </c>
      <c r="E19" s="39">
        <f>E8+E9+E10+E11+E12+E13+E14+E15+E16+E17+E18</f>
        <v/>
      </c>
      <c r="F19" s="39">
        <f>F8+F9+F10+F11+F12+F13+F14+F15+F16+F17+F18</f>
        <v/>
      </c>
      <c r="G19" s="39">
        <f>G8+G9+G10+G11+G12+G13+G14+G15+G16+G17+G18</f>
        <v/>
      </c>
      <c r="H19" s="39">
        <f>F19+G19</f>
        <v/>
      </c>
      <c r="I19" s="39">
        <f>I8+I9+I10+I11+I12+I13+I14+I15+I16+I17+I18</f>
        <v/>
      </c>
      <c r="J19" s="39">
        <f>J8+J9+J10+J11+J12+J13+J14+J15+J16+J17+J18</f>
        <v/>
      </c>
      <c r="K19" s="39">
        <f>K8+K9+K10+K11+K12+K13+K14+K15+K16+K17+K18</f>
        <v/>
      </c>
      <c r="L19" s="39">
        <f>L8+L9+L10+L11+L12+L13+L14+L15+L16+L17+L18</f>
        <v/>
      </c>
    </row>
    <row r="20">
      <c r="A20" s="13" t="inlineStr">
        <is>
          <t xml:space="preserve">   Check vs. filed operating cash flow (0 = ties)</t>
        </is>
      </c>
      <c r="B20" s="25" t="inlineStr">
        <is>
          <t>$M</t>
        </is>
      </c>
      <c r="C20" s="6">
        <f>C19-'Historical Data'!C43</f>
        <v/>
      </c>
      <c r="D20" s="6">
        <f>D19-'Historical Data'!D43</f>
        <v/>
      </c>
      <c r="E20" s="6">
        <f>E19-'Historical Data'!E43</f>
        <v/>
      </c>
      <c r="F20" s="6">
        <f>F19-'Historical Data'!F43</f>
        <v/>
      </c>
    </row>
    <row r="22">
      <c r="A22" s="10" t="inlineStr">
        <is>
          <t>Investing activities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3" t="inlineStr">
        <is>
          <t>Purchases of property &amp; equipment</t>
        </is>
      </c>
      <c r="B23" s="25" t="inlineStr">
        <is>
          <t>$M</t>
        </is>
      </c>
      <c r="C23" s="6">
        <f>'Historical Data'!C44</f>
        <v/>
      </c>
      <c r="D23" s="6">
        <f>'Historical Data'!D44</f>
        <v/>
      </c>
      <c r="E23" s="6">
        <f>'Historical Data'!E44</f>
        <v/>
      </c>
      <c r="F23" s="6">
        <f>'Historical Data'!F44</f>
        <v/>
      </c>
      <c r="G23" s="6">
        <f>-'Opex Build'!G24</f>
        <v/>
      </c>
      <c r="H23" s="35">
        <f>F23+G23</f>
        <v/>
      </c>
      <c r="I23" s="6">
        <f>-'Opex Build'!I24</f>
        <v/>
      </c>
      <c r="J23" s="6">
        <f>-'Opex Build'!J24</f>
        <v/>
      </c>
      <c r="K23" s="6">
        <f>-'Opex Build'!K24</f>
        <v/>
      </c>
      <c r="L23" s="6">
        <f>-'Opex Build'!L24</f>
        <v/>
      </c>
    </row>
    <row r="24">
      <c r="A24" s="13" t="inlineStr">
        <is>
          <t>Purchases of short-term investments, net</t>
        </is>
      </c>
      <c r="B24" s="25" t="inlineStr">
        <is>
          <t>$M</t>
        </is>
      </c>
      <c r="C24" s="6">
        <f>'Historical Data'!C45</f>
        <v/>
      </c>
      <c r="D24" s="6">
        <f>'Historical Data'!D45</f>
        <v/>
      </c>
      <c r="E24" s="6">
        <f>'Historical Data'!E45</f>
        <v/>
      </c>
      <c r="F24" s="6">
        <f>'Historical Data'!F45</f>
        <v/>
      </c>
      <c r="G24" s="19" t="n">
        <v>0</v>
      </c>
      <c r="H24" s="35">
        <f>F24+G24</f>
        <v/>
      </c>
      <c r="I24" s="19" t="n">
        <v>0</v>
      </c>
      <c r="J24" s="19" t="n">
        <v>0</v>
      </c>
      <c r="K24" s="19" t="n">
        <v>0</v>
      </c>
      <c r="L24" s="19" t="n">
        <v>0</v>
      </c>
      <c r="M24" s="20" t="inlineStr">
        <is>
          <t>Forecast: STI modelled within the cash pool, so no separate flow.</t>
        </is>
      </c>
    </row>
    <row r="25">
      <c r="A25" s="13" t="inlineStr">
        <is>
          <t>Other investing activities</t>
        </is>
      </c>
      <c r="B25" s="25" t="inlineStr">
        <is>
          <t>$M</t>
        </is>
      </c>
      <c r="C25" s="6">
        <f>'Historical Data'!C46</f>
        <v/>
      </c>
      <c r="D25" s="6">
        <f>'Historical Data'!D46</f>
        <v/>
      </c>
      <c r="E25" s="6">
        <f>'Historical Data'!E46</f>
        <v/>
      </c>
      <c r="F25" s="6">
        <f>'Historical Data'!F46</f>
        <v/>
      </c>
      <c r="G25" s="19" t="n">
        <v>0</v>
      </c>
      <c r="H25" s="35">
        <f>F25+G25</f>
        <v/>
      </c>
      <c r="I25" s="19" t="n">
        <v>0</v>
      </c>
      <c r="J25" s="19" t="n">
        <v>0</v>
      </c>
      <c r="K25" s="19" t="n">
        <v>0</v>
      </c>
      <c r="L25" s="19" t="n">
        <v>0</v>
      </c>
    </row>
    <row r="26">
      <c r="A26" s="15" t="inlineStr">
        <is>
          <t>Net cash from investing activities</t>
        </is>
      </c>
      <c r="B26" s="38" t="inlineStr">
        <is>
          <t>$M</t>
        </is>
      </c>
      <c r="C26" s="39">
        <f>C23+C24+C25</f>
        <v/>
      </c>
      <c r="D26" s="39">
        <f>D23+D24+D25</f>
        <v/>
      </c>
      <c r="E26" s="39">
        <f>E23+E24+E25</f>
        <v/>
      </c>
      <c r="F26" s="39">
        <f>F23+F24+F25</f>
        <v/>
      </c>
      <c r="G26" s="39">
        <f>G23+G24+G25</f>
        <v/>
      </c>
      <c r="H26" s="39">
        <f>F26+G26</f>
        <v/>
      </c>
      <c r="I26" s="39">
        <f>I23+I24+I25</f>
        <v/>
      </c>
      <c r="J26" s="39">
        <f>J23+J24+J25</f>
        <v/>
      </c>
      <c r="K26" s="39">
        <f>K23+K24+K25</f>
        <v/>
      </c>
      <c r="L26" s="39">
        <f>L23+L24+L25</f>
        <v/>
      </c>
    </row>
    <row r="28">
      <c r="A28" s="10" t="inlineStr">
        <is>
          <t>Financing activities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3" t="inlineStr">
        <is>
          <t>Proceeds from preferred stock, net</t>
        </is>
      </c>
      <c r="B29" s="25" t="inlineStr">
        <is>
          <t>$M</t>
        </is>
      </c>
      <c r="C29" s="6">
        <f>'Historical Data'!C48</f>
        <v/>
      </c>
      <c r="D29" s="6">
        <f>'Historical Data'!D48</f>
        <v/>
      </c>
      <c r="E29" s="6">
        <f>'Historical Data'!E48</f>
        <v/>
      </c>
      <c r="F29" s="6">
        <f>'Historical Data'!F48</f>
        <v/>
      </c>
      <c r="G29" s="19" t="n">
        <v>0</v>
      </c>
      <c r="H29" s="35">
        <f>F29+G29</f>
        <v/>
      </c>
      <c r="I29" s="19" t="n">
        <v>0</v>
      </c>
      <c r="J29" s="19" t="n">
        <v>0</v>
      </c>
      <c r="K29" s="19" t="n">
        <v>0</v>
      </c>
      <c r="L29" s="19" t="n">
        <v>0</v>
      </c>
    </row>
    <row r="30">
      <c r="A30" s="13" t="inlineStr">
        <is>
          <t>Issuance of convertible notes for cash</t>
        </is>
      </c>
      <c r="B30" s="25" t="inlineStr">
        <is>
          <t>$M</t>
        </is>
      </c>
      <c r="C30" s="6">
        <f>'Historical Data'!C49</f>
        <v/>
      </c>
      <c r="D30" s="6">
        <f>'Historical Data'!D49</f>
        <v/>
      </c>
      <c r="E30" s="6">
        <f>'Historical Data'!E49</f>
        <v/>
      </c>
      <c r="F30" s="6">
        <f>'Historical Data'!F49</f>
        <v/>
      </c>
      <c r="G30" s="19" t="n">
        <v>0</v>
      </c>
      <c r="H30" s="35">
        <f>F30+G30</f>
        <v/>
      </c>
      <c r="I30" s="19" t="n">
        <v>0</v>
      </c>
      <c r="J30" s="19" t="n">
        <v>0</v>
      </c>
      <c r="K30" s="19" t="n">
        <v>0</v>
      </c>
      <c r="L30" s="19" t="n">
        <v>0</v>
      </c>
    </row>
    <row r="31">
      <c r="A31" s="13" t="inlineStr">
        <is>
          <t>IPO primary proceeds, net</t>
        </is>
      </c>
      <c r="B31" s="25" t="inlineStr">
        <is>
          <t>$M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6">
        <f>'Assumptions'!G79</f>
        <v/>
      </c>
      <c r="H31" s="35">
        <f>F31+G31</f>
        <v/>
      </c>
      <c r="I31" s="6">
        <f>'Assumptions'!I79</f>
        <v/>
      </c>
      <c r="J31" s="6">
        <f>'Assumptions'!J79</f>
        <v/>
      </c>
      <c r="K31" s="6">
        <f>'Assumptions'!K79</f>
        <v/>
      </c>
      <c r="L31" s="6">
        <f>'Assumptions'!L79</f>
        <v/>
      </c>
    </row>
    <row r="32">
      <c r="A32" s="13" t="inlineStr">
        <is>
          <t>Proceeds from common stock (options / ESPP)</t>
        </is>
      </c>
      <c r="B32" s="25" t="inlineStr">
        <is>
          <t>$M</t>
        </is>
      </c>
      <c r="C32" s="6">
        <f>'Historical Data'!C50</f>
        <v/>
      </c>
      <c r="D32" s="6">
        <f>'Historical Data'!D50</f>
        <v/>
      </c>
      <c r="E32" s="6">
        <f>'Historical Data'!E50</f>
        <v/>
      </c>
      <c r="F32" s="6">
        <f>'Historical Data'!F50</f>
        <v/>
      </c>
      <c r="G32" s="6">
        <f>'Assumptions'!G81</f>
        <v/>
      </c>
      <c r="H32" s="35">
        <f>F32+G32</f>
        <v/>
      </c>
      <c r="I32" s="6">
        <f>'Assumptions'!I81</f>
        <v/>
      </c>
      <c r="J32" s="6">
        <f>'Assumptions'!J81</f>
        <v/>
      </c>
      <c r="K32" s="6">
        <f>'Assumptions'!K81</f>
        <v/>
      </c>
      <c r="L32" s="6">
        <f>'Assumptions'!L81</f>
        <v/>
      </c>
    </row>
    <row r="33">
      <c r="A33" s="13" t="inlineStr">
        <is>
          <t>Debt / supplier financing drawdown (repayment)</t>
        </is>
      </c>
      <c r="B33" s="25" t="inlineStr">
        <is>
          <t>$M</t>
        </is>
      </c>
      <c r="C33" s="19" t="n">
        <v>0</v>
      </c>
      <c r="D33" s="19" t="n">
        <v>0</v>
      </c>
      <c r="E33" s="19" t="n">
        <v>0</v>
      </c>
      <c r="F33" s="19" t="n">
        <v>0</v>
      </c>
      <c r="G33" s="6">
        <f>'Assumptions'!G82</f>
        <v/>
      </c>
      <c r="H33" s="35">
        <f>F33+G33</f>
        <v/>
      </c>
      <c r="I33" s="6">
        <f>'Assumptions'!I82</f>
        <v/>
      </c>
      <c r="J33" s="6">
        <f>'Assumptions'!J82</f>
        <v/>
      </c>
      <c r="K33" s="6">
        <f>'Assumptions'!K82</f>
        <v/>
      </c>
      <c r="L33" s="6">
        <f>'Assumptions'!L82</f>
        <v/>
      </c>
    </row>
    <row r="34">
      <c r="A34" s="13" t="inlineStr">
        <is>
          <t>Other financing</t>
        </is>
      </c>
      <c r="B34" s="25" t="inlineStr">
        <is>
          <t>$M</t>
        </is>
      </c>
      <c r="C34" s="6">
        <f>'Historical Data'!C51</f>
        <v/>
      </c>
      <c r="D34" s="6">
        <f>'Historical Data'!D51</f>
        <v/>
      </c>
      <c r="E34" s="6">
        <f>'Historical Data'!E51</f>
        <v/>
      </c>
      <c r="F34" s="6">
        <f>'Historical Data'!F51</f>
        <v/>
      </c>
      <c r="G34" s="19" t="n">
        <v>0</v>
      </c>
      <c r="H34" s="35">
        <f>F34+G34</f>
        <v/>
      </c>
      <c r="I34" s="19" t="n">
        <v>0</v>
      </c>
      <c r="J34" s="19" t="n">
        <v>0</v>
      </c>
      <c r="K34" s="19" t="n">
        <v>0</v>
      </c>
      <c r="L34" s="19" t="n">
        <v>0</v>
      </c>
    </row>
    <row r="35">
      <c r="A35" s="15" t="inlineStr">
        <is>
          <t>Net cash from financing activities</t>
        </is>
      </c>
      <c r="B35" s="38" t="inlineStr">
        <is>
          <t>$M</t>
        </is>
      </c>
      <c r="C35" s="39">
        <f>C29+C30+C31+C32+C33+C34</f>
        <v/>
      </c>
      <c r="D35" s="39">
        <f>D29+D30+D31+D32+D33+D34</f>
        <v/>
      </c>
      <c r="E35" s="39">
        <f>E29+E30+E31+E32+E33+E34</f>
        <v/>
      </c>
      <c r="F35" s="39">
        <f>F29+F30+F31+F32+F33+F34</f>
        <v/>
      </c>
      <c r="G35" s="39">
        <f>G29+G30+G31+G32+G33+G34</f>
        <v/>
      </c>
      <c r="H35" s="39">
        <f>F35+G35</f>
        <v/>
      </c>
      <c r="I35" s="39">
        <f>I29+I30+I31+I32+I33+I34</f>
        <v/>
      </c>
      <c r="J35" s="39">
        <f>J29+J30+J31+J32+J33+J34</f>
        <v/>
      </c>
      <c r="K35" s="39">
        <f>K29+K30+K31+K32+K33+K34</f>
        <v/>
      </c>
      <c r="L35" s="39">
        <f>L29+L30+L31+L32+L33+L34</f>
        <v/>
      </c>
    </row>
    <row r="37">
      <c r="A37" s="10" t="inlineStr">
        <is>
          <t>Cash reconciliation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3" t="inlineStr">
        <is>
          <t>Effect of exchange rates</t>
        </is>
      </c>
      <c r="B38" s="25" t="inlineStr">
        <is>
          <t>$M</t>
        </is>
      </c>
      <c r="C38" s="6">
        <f>'Historical Data'!C53</f>
        <v/>
      </c>
      <c r="D38" s="6">
        <f>'Historical Data'!D53</f>
        <v/>
      </c>
      <c r="E38" s="6">
        <f>'Historical Data'!E53</f>
        <v/>
      </c>
      <c r="F38" s="6">
        <f>'Historical Data'!F53</f>
        <v/>
      </c>
      <c r="G38" s="19" t="n">
        <v>0</v>
      </c>
      <c r="H38" s="35">
        <f>F38+G38</f>
        <v/>
      </c>
      <c r="I38" s="19" t="n">
        <v>0</v>
      </c>
      <c r="J38" s="19" t="n">
        <v>0</v>
      </c>
      <c r="K38" s="19" t="n">
        <v>0</v>
      </c>
      <c r="L38" s="19" t="n">
        <v>0</v>
      </c>
    </row>
    <row r="39">
      <c r="A39" s="5" t="inlineStr">
        <is>
          <t>Net change in cash (forecast: cash &amp; STI; historical: cash &amp; restricted cash as filed)</t>
        </is>
      </c>
      <c r="B39" s="25" t="inlineStr">
        <is>
          <t>$M</t>
        </is>
      </c>
      <c r="C39" s="36">
        <f>C19+C26+C35+C38</f>
        <v/>
      </c>
      <c r="D39" s="36">
        <f>D19+D26+D35+D38</f>
        <v/>
      </c>
      <c r="E39" s="36">
        <f>E19+E26+E35+E38</f>
        <v/>
      </c>
      <c r="F39" s="36">
        <f>F19+F26+F35+F38</f>
        <v/>
      </c>
      <c r="G39" s="36">
        <f>G19+G26+G35+G38</f>
        <v/>
      </c>
      <c r="H39" s="36">
        <f>F39+G39</f>
        <v/>
      </c>
      <c r="I39" s="36">
        <f>I19+I26+I35+I38</f>
        <v/>
      </c>
      <c r="J39" s="36">
        <f>J19+J26+J35+J38</f>
        <v/>
      </c>
      <c r="K39" s="36">
        <f>K19+K26+K35+K38</f>
        <v/>
      </c>
      <c r="L39" s="36">
        <f>L19+L26+L35+L38</f>
        <v/>
      </c>
    </row>
    <row r="40">
      <c r="A40" s="13" t="inlineStr">
        <is>
          <t>Cash &amp; STI – beginning of period</t>
        </is>
      </c>
      <c r="B40" s="25" t="inlineStr">
        <is>
          <t>$M</t>
        </is>
      </c>
      <c r="G40" s="6">
        <f>'Balance Sheet'!F8</f>
        <v/>
      </c>
      <c r="H40" s="6">
        <f>'Balance Sheet'!E8</f>
        <v/>
      </c>
      <c r="I40" s="6">
        <f>'Balance Sheet'!H8</f>
        <v/>
      </c>
      <c r="J40" s="6">
        <f>'Balance Sheet'!I8</f>
        <v/>
      </c>
      <c r="K40" s="6">
        <f>'Balance Sheet'!J8</f>
        <v/>
      </c>
      <c r="L40" s="6">
        <f>'Balance Sheet'!K8</f>
        <v/>
      </c>
    </row>
    <row r="41">
      <c r="A41" s="42" t="inlineStr">
        <is>
          <t>Cash &amp; STI – end of period</t>
        </is>
      </c>
      <c r="B41" s="43" t="inlineStr">
        <is>
          <t>$M</t>
        </is>
      </c>
      <c r="C41" s="49" t="n"/>
      <c r="D41" s="44">
        <f>'Balance Sheet'!D8</f>
        <v/>
      </c>
      <c r="E41" s="44">
        <f>'Balance Sheet'!E8</f>
        <v/>
      </c>
      <c r="F41" s="44">
        <f>'Balance Sheet'!F8</f>
        <v/>
      </c>
      <c r="G41" s="45">
        <f>G40+G39</f>
        <v/>
      </c>
      <c r="H41" s="44">
        <f>'Balance Sheet'!G8</f>
        <v/>
      </c>
      <c r="I41" s="45">
        <f>I40+I39</f>
        <v/>
      </c>
      <c r="J41" s="45">
        <f>J40+J39</f>
        <v/>
      </c>
      <c r="K41" s="45">
        <f>K40+K39</f>
        <v/>
      </c>
      <c r="L41" s="45">
        <f>L40+L39</f>
        <v/>
      </c>
      <c r="M41" s="20" t="inlineStr">
        <is>
          <t>Forecast: beginning + net change (feeds the balance sheet). Historical: per balance sheet.</t>
        </is>
      </c>
    </row>
    <row r="42">
      <c r="A42" s="13" t="inlineStr">
        <is>
          <t>Memo: cash, equivalents &amp; restricted cash – end of period (as filed)</t>
        </is>
      </c>
      <c r="B42" s="25" t="inlineStr">
        <is>
          <t>$M</t>
        </is>
      </c>
      <c r="C42" s="6">
        <f>'Historical Data'!C55</f>
        <v/>
      </c>
      <c r="D42" s="6">
        <f>'Historical Data'!D55</f>
        <v/>
      </c>
      <c r="E42" s="6">
        <f>'Historical Data'!E55</f>
        <v/>
      </c>
      <c r="F42" s="6">
        <f>'Historical Data'!F55</f>
        <v/>
      </c>
    </row>
    <row r="44">
      <c r="A44" s="10" t="inlineStr">
        <is>
          <t>Free cash flow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5" t="inlineStr">
        <is>
          <t>Free cash flow (CFO – capex)</t>
        </is>
      </c>
      <c r="B45" s="25" t="inlineStr">
        <is>
          <t>$M</t>
        </is>
      </c>
      <c r="C45" s="36">
        <f>C19+C23</f>
        <v/>
      </c>
      <c r="D45" s="36">
        <f>D19+D23</f>
        <v/>
      </c>
      <c r="E45" s="36">
        <f>E19+E23</f>
        <v/>
      </c>
      <c r="F45" s="36">
        <f>F19+F23</f>
        <v/>
      </c>
      <c r="G45" s="36">
        <f>G19+G23</f>
        <v/>
      </c>
      <c r="H45" s="36">
        <f>F45+G45</f>
        <v/>
      </c>
      <c r="I45" s="36">
        <f>I19+I23</f>
        <v/>
      </c>
      <c r="J45" s="36">
        <f>J19+J23</f>
        <v/>
      </c>
      <c r="K45" s="36">
        <f>K19+K23</f>
        <v/>
      </c>
      <c r="L45" s="36">
        <f>L19+L23</f>
        <v/>
      </c>
    </row>
    <row r="46">
      <c r="A46" s="13" t="inlineStr">
        <is>
          <t xml:space="preserve">   FCF margin</t>
        </is>
      </c>
      <c r="B46" s="25" t="inlineStr">
        <is>
          <t>%</t>
        </is>
      </c>
      <c r="C46" s="17">
        <f>C45/'Income Statement'!C8</f>
        <v/>
      </c>
      <c r="D46" s="17">
        <f>D45/'Income Statement'!D8</f>
        <v/>
      </c>
      <c r="E46" s="17">
        <f>E45/'Income Statement'!E8</f>
        <v/>
      </c>
      <c r="F46" s="17">
        <f>F45/'Income Statement'!F8</f>
        <v/>
      </c>
      <c r="G46" s="17">
        <f>G45/'Income Statement'!G8</f>
        <v/>
      </c>
      <c r="H46" s="17">
        <f>H45/'Income Statement'!H8</f>
        <v/>
      </c>
      <c r="I46" s="17">
        <f>I45/'Income Statement'!I8</f>
        <v/>
      </c>
      <c r="J46" s="17">
        <f>J45/'Income Statement'!J8</f>
        <v/>
      </c>
      <c r="K46" s="17">
        <f>K45/'Income Statement'!K8</f>
        <v/>
      </c>
      <c r="L46" s="17">
        <f>L45/'Income Statement'!L8</f>
        <v/>
      </c>
      <c r="M46" s="20" t="inlineStr">
        <is>
          <t>The Information: H1'26 FCF ≈ $3.5B.</t>
        </is>
      </c>
    </row>
    <row r="47">
      <c r="A47" s="13" t="inlineStr">
        <is>
          <t>FCF less SBC (shareholder-adjusted)</t>
        </is>
      </c>
      <c r="B47" s="25" t="inlineStr">
        <is>
          <t>$M</t>
        </is>
      </c>
      <c r="C47" s="6">
        <f>C45-'Opex Build'!C10</f>
        <v/>
      </c>
      <c r="D47" s="6">
        <f>D45-'Opex Build'!D10</f>
        <v/>
      </c>
      <c r="E47" s="6">
        <f>E45-'Opex Build'!E10</f>
        <v/>
      </c>
      <c r="F47" s="6">
        <f>F45-'Opex Build'!F10</f>
        <v/>
      </c>
      <c r="G47" s="6">
        <f>G45-'Opex Build'!G10</f>
        <v/>
      </c>
      <c r="H47" s="6">
        <f>H45-'Opex Build'!H10</f>
        <v/>
      </c>
      <c r="I47" s="6">
        <f>I45-'Opex Build'!I10</f>
        <v/>
      </c>
      <c r="J47" s="6">
        <f>J45-'Opex Build'!J10</f>
        <v/>
      </c>
      <c r="K47" s="6">
        <f>K45-'Opex Build'!K10</f>
        <v/>
      </c>
      <c r="L47" s="6">
        <f>L45-'Opex Build'!L10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Compute Commitments – contracted capacity vs. modelled demand</t>
        </is>
      </c>
    </row>
    <row r="2">
      <c r="A2" s="2" t="inlineStr">
        <is>
          <t>Estimated annual expense phasing of the agreements disclosed in the S-1 (deal values as extracted by multiple outlets). Phasing is the author's estimate; the S-1 gives deal totals and terms, not annual schedules. Column B: 1 = non-cancellable.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Estimated expense recognised as capacity comes on-line ($M)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3" t="inlineStr">
        <is>
          <t>Google Cloud – TPUs / cloud (≥$114.5B, Apr-26 to Jul-33)</t>
        </is>
      </c>
      <c r="B8" s="54" t="n">
        <v>1</v>
      </c>
      <c r="G8" s="19" t="n">
        <v>4000</v>
      </c>
      <c r="H8" s="35">
        <f>F8+G8</f>
        <v/>
      </c>
      <c r="I8" s="19" t="n">
        <v>10000</v>
      </c>
      <c r="J8" s="19" t="n">
        <v>16000</v>
      </c>
      <c r="K8" s="19" t="n">
        <v>20000</v>
      </c>
      <c r="L8" s="19" t="n">
        <v>22000</v>
      </c>
      <c r="M8" s="20" t="inlineStr">
        <is>
          <t>Deal value ~$114.5B. True-up if spend falls short; non-cancellable except Google breach.</t>
        </is>
      </c>
    </row>
    <row r="9">
      <c r="A9" s="13" t="inlineStr">
        <is>
          <t>Amazon / AWS – Trainium &amp; other (≥$110B, May-26 to Apr-36)</t>
        </is>
      </c>
      <c r="B9" s="54" t="n">
        <v>1</v>
      </c>
      <c r="G9" s="19" t="n">
        <v>3000</v>
      </c>
      <c r="H9" s="35">
        <f>F9+G9</f>
        <v/>
      </c>
      <c r="I9" s="19" t="n">
        <v>7000</v>
      </c>
      <c r="J9" s="19" t="n">
        <v>10000</v>
      </c>
      <c r="K9" s="19" t="n">
        <v>13000</v>
      </c>
      <c r="L9" s="19" t="n">
        <v>15000</v>
      </c>
      <c r="M9" s="20" t="inlineStr">
        <is>
          <t>Deal value ~$110.0B. Up to 5 GW; non-cancellable except Amazon breach.</t>
        </is>
      </c>
    </row>
    <row r="10">
      <c r="A10" s="13" t="inlineStr">
        <is>
          <t>Broadcom – TPU equipment finance leases (~$161.2B rent, 5-yr)</t>
        </is>
      </c>
      <c r="B10" s="54" t="n">
        <v>1</v>
      </c>
      <c r="G10" s="19" t="n">
        <v>0</v>
      </c>
      <c r="H10" s="35">
        <f>F10+G10</f>
        <v/>
      </c>
      <c r="I10" s="19" t="n">
        <v>12000</v>
      </c>
      <c r="J10" s="19" t="n">
        <v>28000</v>
      </c>
      <c r="K10" s="19" t="n">
        <v>36000</v>
      </c>
      <c r="L10" s="19" t="n">
        <v>38000</v>
      </c>
      <c r="M10" s="20" t="inlineStr">
        <is>
          <t>Deal value ~$161.2B. Finance leases (D&amp;A + interest in GAAP); modeled here as compute expense for simplicity.</t>
        </is>
      </c>
    </row>
    <row r="11">
      <c r="A11" s="13" t="inlineStr">
        <is>
          <t>SpaceXAI – NVIDIA GPU capacity (up to $120.5B, ~$3.1B/mo at full)</t>
        </is>
      </c>
      <c r="B11" s="54" t="n">
        <v>0</v>
      </c>
      <c r="G11" s="19" t="n">
        <v>3000</v>
      </c>
      <c r="H11" s="35">
        <f>F11+G11</f>
        <v/>
      </c>
      <c r="I11" s="19" t="n">
        <v>20000</v>
      </c>
      <c r="J11" s="19" t="n">
        <v>37000</v>
      </c>
      <c r="K11" s="19" t="n">
        <v>37000</v>
      </c>
      <c r="L11" s="19" t="n">
        <v>23000</v>
      </c>
      <c r="M11" s="20" t="inlineStr">
        <is>
          <t>Deal value ~$120.5B. Cancellable on 90 days' notice after Jan/Mar 2027 – the main pressure valve.</t>
        </is>
      </c>
    </row>
    <row r="12">
      <c r="A12" s="13" t="inlineStr">
        <is>
          <t>Microsoft Azure – NVIDIA GPUs (≥$44.9B, Nov-26 to May-33)</t>
        </is>
      </c>
      <c r="B12" s="54" t="n">
        <v>1</v>
      </c>
      <c r="G12" s="19" t="n">
        <v>500</v>
      </c>
      <c r="H12" s="35">
        <f>F12+G12</f>
        <v/>
      </c>
      <c r="I12" s="19" t="n">
        <v>5000</v>
      </c>
      <c r="J12" s="19" t="n">
        <v>7000</v>
      </c>
      <c r="K12" s="19" t="n">
        <v>8000</v>
      </c>
      <c r="L12" s="19" t="n">
        <v>8000</v>
      </c>
      <c r="M12" s="20" t="inlineStr">
        <is>
          <t>Deal value ~$44.9B. Amended upward Oct-26 from ~$30B.</t>
        </is>
      </c>
    </row>
    <row r="13">
      <c r="A13" s="13" t="inlineStr">
        <is>
          <t>Nscale – NVIDIA GPUs (up to ~$44.6B, into 2033)</t>
        </is>
      </c>
      <c r="B13" s="54" t="n">
        <v>1</v>
      </c>
      <c r="G13" s="19" t="n">
        <v>500</v>
      </c>
      <c r="H13" s="35">
        <f>F13+G13</f>
        <v/>
      </c>
      <c r="I13" s="19" t="n">
        <v>3000</v>
      </c>
      <c r="J13" s="19" t="n">
        <v>6000</v>
      </c>
      <c r="K13" s="19" t="n">
        <v>7000</v>
      </c>
      <c r="L13" s="19" t="n">
        <v>7000</v>
      </c>
      <c r="M13" s="20" t="inlineStr">
        <is>
          <t>Deal value ~$44.6B. Paid as delivered; limited cancellation.</t>
        </is>
      </c>
    </row>
    <row r="14">
      <c r="A14" s="13" t="inlineStr">
        <is>
          <t>Lambda – NVIDIA GPUs (~$41.3B, into 2034)</t>
        </is>
      </c>
      <c r="B14" s="54" t="n">
        <v>1</v>
      </c>
      <c r="G14" s="19" t="n">
        <v>500</v>
      </c>
      <c r="H14" s="35">
        <f>F14+G14</f>
        <v/>
      </c>
      <c r="I14" s="19" t="n">
        <v>3000</v>
      </c>
      <c r="J14" s="19" t="n">
        <v>5000</v>
      </c>
      <c r="K14" s="19" t="n">
        <v>6000</v>
      </c>
      <c r="L14" s="19" t="n">
        <v>7000</v>
      </c>
      <c r="M14" s="20" t="inlineStr">
        <is>
          <t>Deal value ~$41.3B. Large tranche depends on a facility lease.</t>
        </is>
      </c>
    </row>
    <row r="15">
      <c r="A15" s="13" t="inlineStr">
        <is>
          <t>AMD – Instinct MI450 / Helios (&gt;$20B, first tranche 2027)</t>
        </is>
      </c>
      <c r="B15" s="54" t="n">
        <v>1</v>
      </c>
      <c r="G15" s="19" t="n">
        <v>0</v>
      </c>
      <c r="H15" s="35">
        <f>F15+G15</f>
        <v/>
      </c>
      <c r="I15" s="19" t="n">
        <v>2000</v>
      </c>
      <c r="J15" s="19" t="n">
        <v>4000</v>
      </c>
      <c r="K15" s="19" t="n">
        <v>5000</v>
      </c>
      <c r="L15" s="19" t="n">
        <v>5000</v>
      </c>
      <c r="M15" s="20" t="inlineStr">
        <is>
          <t>Deal value ~$20.0B. AMD to buy up to $5B of Anthropic stock as chips deliver.</t>
        </is>
      </c>
    </row>
    <row r="16">
      <c r="A16" s="15" t="inlineStr">
        <is>
          <t>Total estimated contracted compute expense</t>
        </is>
      </c>
      <c r="B16" s="38" t="inlineStr">
        <is>
          <t>$M</t>
        </is>
      </c>
      <c r="C16" s="48" t="n"/>
      <c r="D16" s="48" t="n"/>
      <c r="E16" s="48" t="n"/>
      <c r="F16" s="48" t="n"/>
      <c r="G16" s="39">
        <f>SUM(G8:G15)</f>
        <v/>
      </c>
      <c r="H16" s="39">
        <f>F16+G16</f>
        <v/>
      </c>
      <c r="I16" s="39">
        <f>SUM(I8:I15)</f>
        <v/>
      </c>
      <c r="J16" s="39">
        <f>SUM(J8:J15)</f>
        <v/>
      </c>
      <c r="K16" s="39">
        <f>SUM(K8:K15)</f>
        <v/>
      </c>
      <c r="L16" s="39">
        <f>SUM(L8:L15)</f>
        <v/>
      </c>
    </row>
    <row r="17">
      <c r="A17" s="5" t="inlineStr">
        <is>
          <t xml:space="preserve">   of which non-cancellable (flag = 1)</t>
        </is>
      </c>
      <c r="B17" s="25" t="inlineStr">
        <is>
          <t>$M</t>
        </is>
      </c>
      <c r="G17" s="36">
        <f>SUMPRODUCT($B$8:$B$15,G8:G15)</f>
        <v/>
      </c>
      <c r="H17" s="36">
        <f>F17+G17</f>
        <v/>
      </c>
      <c r="I17" s="36">
        <f>SUMPRODUCT($B$8:$B$15,I8:I15)</f>
        <v/>
      </c>
      <c r="J17" s="36">
        <f>SUMPRODUCT($B$8:$B$15,J8:J15)</f>
        <v/>
      </c>
      <c r="K17" s="36">
        <f>SUMPRODUCT($B$8:$B$15,K8:K15)</f>
        <v/>
      </c>
      <c r="L17" s="36">
        <f>SUMPRODUCT($B$8:$B$15,L8:L15)</f>
        <v/>
      </c>
      <c r="M17" s="20" t="inlineStr">
        <is>
          <t>Feeds the take-or-pay floor on the Compute Build sheet.</t>
        </is>
      </c>
    </row>
    <row r="18">
      <c r="A18" s="13" t="inlineStr">
        <is>
          <t xml:space="preserve">   of which cancellable (SpaceXAI)</t>
        </is>
      </c>
      <c r="B18" s="25" t="inlineStr">
        <is>
          <t>$M</t>
        </is>
      </c>
      <c r="G18" s="35">
        <f>G16-G17</f>
        <v/>
      </c>
      <c r="H18" s="35">
        <f>F18+G18</f>
        <v/>
      </c>
      <c r="I18" s="35">
        <f>I16-I17</f>
        <v/>
      </c>
      <c r="J18" s="35">
        <f>J16-J17</f>
        <v/>
      </c>
      <c r="K18" s="35">
        <f>K16-K17</f>
        <v/>
      </c>
      <c r="L18" s="35">
        <f>L16-L17</f>
        <v/>
      </c>
    </row>
    <row r="19">
      <c r="A19" s="13" t="inlineStr">
        <is>
          <t>Cumulative contracted expense 2026–2030 (memo)</t>
        </is>
      </c>
      <c r="B19" s="25" t="inlineStr">
        <is>
          <t>$M</t>
        </is>
      </c>
      <c r="G19" s="35">
        <f>G16</f>
        <v/>
      </c>
      <c r="H19" s="35">
        <f>G19</f>
        <v/>
      </c>
      <c r="I19" s="35">
        <f>H19+I16</f>
        <v/>
      </c>
      <c r="J19" s="35">
        <f>I19+J16</f>
        <v/>
      </c>
      <c r="K19" s="35">
        <f>J19+K16</f>
        <v/>
      </c>
      <c r="L19" s="35">
        <f>K19+L16</f>
        <v/>
      </c>
      <c r="M19" s="20" t="inlineStr">
        <is>
          <t>Compare: $265.6B minimum purchase commitments + $321.4B uncommenced leases at Jun-26A (through ~2036), plus ~$245B signed after Jun-26.</t>
        </is>
      </c>
    </row>
    <row r="21">
      <c r="A21" s="10" t="inlineStr">
        <is>
          <t>Comparison with modelled compute demand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3" t="inlineStr">
        <is>
          <t>Driver-based compute demand (Compute Build)</t>
        </is>
      </c>
      <c r="B22" s="25" t="inlineStr">
        <is>
          <t>$M</t>
        </is>
      </c>
      <c r="G22" s="6">
        <f>'Compute Build'!G23</f>
        <v/>
      </c>
      <c r="H22" s="35">
        <f>F22+G22</f>
        <v/>
      </c>
      <c r="I22" s="6">
        <f>'Compute Build'!I23</f>
        <v/>
      </c>
      <c r="J22" s="6">
        <f>'Compute Build'!J23</f>
        <v/>
      </c>
      <c r="K22" s="6">
        <f>'Compute Build'!K23</f>
        <v/>
      </c>
      <c r="L22" s="6">
        <f>'Compute Build'!L23</f>
        <v/>
      </c>
    </row>
    <row r="23">
      <c r="A23" s="5" t="inlineStr">
        <is>
          <t>Total compute &amp; infrastructure expense in model</t>
        </is>
      </c>
      <c r="B23" s="25" t="inlineStr">
        <is>
          <t>$M</t>
        </is>
      </c>
      <c r="G23" s="12">
        <f>'Compute Build'!G26</f>
        <v/>
      </c>
      <c r="H23" s="36">
        <f>F23+G23</f>
        <v/>
      </c>
      <c r="I23" s="12">
        <f>'Compute Build'!I26</f>
        <v/>
      </c>
      <c r="J23" s="12">
        <f>'Compute Build'!J26</f>
        <v/>
      </c>
      <c r="K23" s="12">
        <f>'Compute Build'!K26</f>
        <v/>
      </c>
      <c r="L23" s="12">
        <f>'Compute Build'!L26</f>
        <v/>
      </c>
    </row>
    <row r="24">
      <c r="A24" s="13" t="inlineStr">
        <is>
          <t>Modelled expense – total contracted (positive = legacy capacity / on-demand / spot purchases)</t>
        </is>
      </c>
      <c r="B24" s="25" t="inlineStr">
        <is>
          <t>$M</t>
        </is>
      </c>
      <c r="G24" s="35">
        <f>G23-G16</f>
        <v/>
      </c>
      <c r="H24" s="35">
        <f>F24+G24</f>
        <v/>
      </c>
      <c r="I24" s="35">
        <f>I23-I16</f>
        <v/>
      </c>
      <c r="J24" s="35">
        <f>J23-J16</f>
        <v/>
      </c>
      <c r="K24" s="35">
        <f>K23-K16</f>
        <v/>
      </c>
      <c r="L24" s="35">
        <f>L23-L16</f>
        <v/>
      </c>
      <c r="M24" s="20" t="inlineStr">
        <is>
          <t>Pre-2026 Amazon/Google capacity and short-term purchases are not in the schedule above, so a positive gap is expected in 2026–27.</t>
        </is>
      </c>
    </row>
    <row r="25">
      <c r="A25" s="13" t="inlineStr">
        <is>
          <t>Take-or-pay shortfall expensed (from Compute Build)</t>
        </is>
      </c>
      <c r="B25" s="25" t="inlineStr">
        <is>
          <t>$M</t>
        </is>
      </c>
      <c r="G25" s="6">
        <f>'Compute Build'!G25</f>
        <v/>
      </c>
      <c r="H25" s="35">
        <f>F25+G25</f>
        <v/>
      </c>
      <c r="I25" s="6">
        <f>'Compute Build'!I25</f>
        <v/>
      </c>
      <c r="J25" s="6">
        <f>'Compute Build'!J25</f>
        <v/>
      </c>
      <c r="K25" s="6">
        <f>'Compute Build'!K25</f>
        <v/>
      </c>
      <c r="L25" s="6">
        <f>'Compute Build'!L25</f>
        <v/>
      </c>
      <c r="M25" s="20" t="inlineStr">
        <is>
          <t>Non-zero when non-cancellable minimums exceed driver-based demand (check the Bear case).</t>
        </is>
      </c>
    </row>
    <row r="26">
      <c r="A26" s="13" t="inlineStr">
        <is>
          <t>Contracted capacity coverage of demand (total contracted / demand)</t>
        </is>
      </c>
      <c r="B26" s="25" t="inlineStr">
        <is>
          <t>x</t>
        </is>
      </c>
      <c r="G26" s="55">
        <f>G16/G22</f>
        <v/>
      </c>
      <c r="H26" s="55">
        <f>H16/H22</f>
        <v/>
      </c>
      <c r="I26" s="55">
        <f>I16/I22</f>
        <v/>
      </c>
      <c r="J26" s="55">
        <f>J16/J22</f>
        <v/>
      </c>
      <c r="K26" s="55">
        <f>K16/K22</f>
        <v/>
      </c>
      <c r="L26" s="55">
        <f>L16/L22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9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Historical Data – as filed (Form S-1, 26 Oct 2026)</t>
        </is>
      </c>
    </row>
    <row r="2">
      <c r="A2" s="2" t="inlineStr">
        <is>
          <t>USD millions. FY2023–FY2025 audited; six-month periods unaudited. Blue = filed figure or flagged estimate.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7">
      <c r="A7" s="10" t="inlineStr">
        <is>
          <t>Statement of operations – by nature of expense (primary presentation in the S-1)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5" t="inlineStr">
        <is>
          <t>Revenue</t>
        </is>
      </c>
      <c r="B8" s="25" t="inlineStr">
        <is>
          <t>$M</t>
        </is>
      </c>
      <c r="C8" s="56" t="n">
        <v>41</v>
      </c>
      <c r="D8" s="56" t="n">
        <v>386</v>
      </c>
      <c r="E8" s="56" t="n">
        <v>4585</v>
      </c>
      <c r="F8" s="56" t="n">
        <v>16286</v>
      </c>
    </row>
    <row r="9">
      <c r="A9" s="13" t="inlineStr">
        <is>
          <t xml:space="preserve">   Consumption-based (pay-for-intelligence)</t>
        </is>
      </c>
      <c r="B9" s="25" t="inlineStr">
        <is>
          <t>$M</t>
        </is>
      </c>
      <c r="C9" s="19" t="n">
        <v>39</v>
      </c>
      <c r="D9" s="19" t="n">
        <v>288</v>
      </c>
      <c r="E9" s="19" t="n">
        <v>3796</v>
      </c>
      <c r="F9" s="19" t="n">
        <v>13064</v>
      </c>
    </row>
    <row r="10">
      <c r="A10" s="13" t="inlineStr">
        <is>
          <t xml:space="preserve">   Subscription-based</t>
        </is>
      </c>
      <c r="B10" s="25" t="inlineStr">
        <is>
          <t>$M</t>
        </is>
      </c>
      <c r="C10" s="19" t="n">
        <v>2</v>
      </c>
      <c r="D10" s="19" t="n">
        <v>98</v>
      </c>
      <c r="E10" s="19" t="n">
        <v>789</v>
      </c>
      <c r="F10" s="19" t="n">
        <v>3222</v>
      </c>
    </row>
    <row r="11">
      <c r="A11" s="13" t="inlineStr">
        <is>
          <t>Compute and infrastructure</t>
        </is>
      </c>
      <c r="B11" s="25" t="inlineStr">
        <is>
          <t>$M</t>
        </is>
      </c>
      <c r="C11" s="19" t="n">
        <v>433</v>
      </c>
      <c r="D11" s="19" t="n">
        <v>2522</v>
      </c>
      <c r="E11" s="19" t="n">
        <v>7326</v>
      </c>
      <c r="F11" s="19" t="n">
        <v>8945</v>
      </c>
      <c r="M11" s="20" t="inlineStr">
        <is>
          <t>Single fungible pool across training, research, serving and internal use.</t>
        </is>
      </c>
    </row>
    <row r="12">
      <c r="A12" s="13" t="inlineStr">
        <is>
          <t>Personnel (incl. SBC)</t>
        </is>
      </c>
      <c r="B12" s="25" t="inlineStr">
        <is>
          <t>$M</t>
        </is>
      </c>
      <c r="C12" s="19" t="n">
        <v>95</v>
      </c>
      <c r="D12" s="19" t="n">
        <v>454</v>
      </c>
      <c r="E12" s="19" t="n">
        <v>1839</v>
      </c>
      <c r="F12" s="19" t="n">
        <v>3152</v>
      </c>
    </row>
    <row r="13">
      <c r="A13" s="13" t="inlineStr">
        <is>
          <t>Bartz copyright settlement</t>
        </is>
      </c>
      <c r="B13" s="25" t="inlineStr">
        <is>
          <t>$M</t>
        </is>
      </c>
      <c r="C13" s="19" t="n">
        <v>0</v>
      </c>
      <c r="D13" s="19" t="n">
        <v>0</v>
      </c>
      <c r="E13" s="19" t="n">
        <v>1500</v>
      </c>
      <c r="F13" s="19" t="n">
        <v>0</v>
      </c>
      <c r="M13" s="20" t="inlineStr">
        <is>
          <t>$1.5B settled 2025; $300M paid in 2025, $1.2B payable through Sep-27.</t>
        </is>
      </c>
    </row>
    <row r="14">
      <c r="A14" s="13" t="inlineStr">
        <is>
          <t>Sales, marketing and partnerships</t>
        </is>
      </c>
      <c r="B14" s="25" t="inlineStr">
        <is>
          <t>$M</t>
        </is>
      </c>
      <c r="C14" s="19" t="n">
        <v>2</v>
      </c>
      <c r="D14" s="19" t="n">
        <v>43</v>
      </c>
      <c r="E14" s="19" t="n">
        <v>568</v>
      </c>
      <c r="F14" s="19" t="n">
        <v>3168</v>
      </c>
      <c r="M14" s="20" t="inlineStr">
        <is>
          <t>Channel-partner costs (AWS/GCP/Azure marketplaces) + advertising.</t>
        </is>
      </c>
    </row>
    <row r="15">
      <c r="A15" s="13" t="inlineStr">
        <is>
          <t>Other operating and administrative</t>
        </is>
      </c>
      <c r="B15" s="25" t="inlineStr">
        <is>
          <t>$M</t>
        </is>
      </c>
      <c r="C15" s="19" t="n">
        <v>62</v>
      </c>
      <c r="D15" s="19" t="n">
        <v>347</v>
      </c>
      <c r="E15" s="19" t="n">
        <v>1412</v>
      </c>
      <c r="F15" s="19" t="n">
        <v>1714</v>
      </c>
      <c r="M15" s="20" t="inlineStr">
        <is>
          <t>Incl. donation-matching expense (FY25 $541M; H1'26 $126M).</t>
        </is>
      </c>
    </row>
    <row r="16">
      <c r="A16" s="15" t="inlineStr">
        <is>
          <t>Total operating expenses</t>
        </is>
      </c>
      <c r="B16" s="38" t="inlineStr">
        <is>
          <t>$M</t>
        </is>
      </c>
      <c r="C16" s="57" t="n">
        <v>592</v>
      </c>
      <c r="D16" s="57" t="n">
        <v>3366</v>
      </c>
      <c r="E16" s="57" t="n">
        <v>12645</v>
      </c>
      <c r="F16" s="57" t="n">
        <v>16979</v>
      </c>
      <c r="G16" s="48" t="n"/>
      <c r="H16" s="48" t="n"/>
      <c r="I16" s="48" t="n"/>
      <c r="J16" s="48" t="n"/>
      <c r="K16" s="48" t="n"/>
      <c r="L16" s="48" t="n"/>
    </row>
    <row r="17">
      <c r="A17" s="5" t="inlineStr">
        <is>
          <t>Operating income (loss)</t>
        </is>
      </c>
      <c r="B17" s="25" t="inlineStr">
        <is>
          <t>$M</t>
        </is>
      </c>
      <c r="C17" s="56" t="n">
        <v>-551</v>
      </c>
      <c r="D17" s="56" t="n">
        <v>-2980</v>
      </c>
      <c r="E17" s="56" t="n">
        <v>-8060</v>
      </c>
      <c r="F17" s="56" t="n">
        <v>-693</v>
      </c>
    </row>
    <row r="18">
      <c r="A18" s="13" t="inlineStr">
        <is>
          <t>Interest income</t>
        </is>
      </c>
      <c r="B18" s="25" t="inlineStr">
        <is>
          <t>$M</t>
        </is>
      </c>
      <c r="C18" s="19" t="n">
        <v>69</v>
      </c>
      <c r="D18" s="19" t="n">
        <v>106</v>
      </c>
      <c r="E18" s="19" t="n">
        <v>431</v>
      </c>
      <c r="F18" s="19" t="n">
        <v>1111</v>
      </c>
    </row>
    <row r="19">
      <c r="A19" s="13" t="inlineStr">
        <is>
          <t>Change in FV of convertible notes, derivatives, SAFEs &amp; other financial instruments</t>
        </is>
      </c>
      <c r="B19" s="25" t="inlineStr">
        <is>
          <t>$M</t>
        </is>
      </c>
      <c r="C19" s="19" t="n">
        <v>-1045</v>
      </c>
      <c r="D19" s="19" t="n">
        <v>-5434</v>
      </c>
      <c r="E19" s="19" t="n">
        <v>-34308</v>
      </c>
      <c r="F19" s="19" t="n">
        <v>-81108</v>
      </c>
      <c r="M19" s="20" t="inlineStr">
        <is>
          <t>H1'26 = $(72,388)M on notes/SAFEs + $(8,720)M recognition of 2026 note purchase agreements (reported within 'other').</t>
        </is>
      </c>
    </row>
    <row r="20">
      <c r="A20" s="13" t="inlineStr">
        <is>
          <t>Other income (expense), net</t>
        </is>
      </c>
      <c r="B20" s="25" t="inlineStr">
        <is>
          <t>$M</t>
        </is>
      </c>
      <c r="C20" s="19" t="n">
        <v>-2</v>
      </c>
      <c r="D20" s="19" t="n">
        <v>0</v>
      </c>
      <c r="E20" s="19" t="n">
        <v>-8</v>
      </c>
      <c r="F20" s="19" t="n">
        <v>-37</v>
      </c>
      <c r="M20" s="20" t="inlineStr">
        <is>
          <t>H1'26 residual after moving the $8,720M to the FV line.</t>
        </is>
      </c>
    </row>
    <row r="21">
      <c r="A21" s="15" t="inlineStr">
        <is>
          <t>Income (loss) before income taxes</t>
        </is>
      </c>
      <c r="B21" s="38" t="inlineStr">
        <is>
          <t>$M</t>
        </is>
      </c>
      <c r="C21" s="57" t="n">
        <v>-1529</v>
      </c>
      <c r="D21" s="57" t="n">
        <v>-8308</v>
      </c>
      <c r="E21" s="57" t="n">
        <v>-41945</v>
      </c>
      <c r="F21" s="57" t="n">
        <v>-80727</v>
      </c>
      <c r="G21" s="48" t="n"/>
      <c r="H21" s="48" t="n"/>
      <c r="I21" s="48" t="n"/>
      <c r="J21" s="48" t="n"/>
      <c r="K21" s="48" t="n"/>
      <c r="L21" s="48" t="n"/>
    </row>
    <row r="22">
      <c r="A22" s="13" t="inlineStr">
        <is>
          <t>Provision for income taxes</t>
        </is>
      </c>
      <c r="B22" s="25" t="inlineStr">
        <is>
          <t>$M</t>
        </is>
      </c>
      <c r="C22" s="19" t="n">
        <v>2</v>
      </c>
      <c r="D22" s="19" t="n">
        <v>1</v>
      </c>
      <c r="E22" s="19" t="n">
        <v>20</v>
      </c>
      <c r="F22" s="19" t="n">
        <v>21</v>
      </c>
    </row>
    <row r="23">
      <c r="A23" s="42" t="inlineStr">
        <is>
          <t>Net income (loss)</t>
        </is>
      </c>
      <c r="B23" s="43" t="inlineStr">
        <is>
          <t>$M</t>
        </is>
      </c>
      <c r="C23" s="58" t="n">
        <v>-1531</v>
      </c>
      <c r="D23" s="58" t="n">
        <v>-8309</v>
      </c>
      <c r="E23" s="58" t="n">
        <v>-41965</v>
      </c>
      <c r="F23" s="58" t="n">
        <v>-80748</v>
      </c>
      <c r="G23" s="49" t="n"/>
      <c r="H23" s="49" t="n"/>
      <c r="I23" s="49" t="n"/>
      <c r="J23" s="49" t="n"/>
      <c r="K23" s="49" t="n"/>
      <c r="L23" s="49" t="n"/>
    </row>
    <row r="25">
      <c r="A25" s="10" t="inlineStr">
        <is>
          <t>Statement of operations – by function (S-1 supplemental note)</t>
        </is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3" t="inlineStr">
        <is>
          <t>Cost of revenue</t>
        </is>
      </c>
      <c r="B26" s="25" t="inlineStr">
        <is>
          <t>$M</t>
        </is>
      </c>
      <c r="C26" s="19" t="n">
        <v>26</v>
      </c>
      <c r="D26" s="19" t="n">
        <v>752</v>
      </c>
      <c r="E26" s="19" t="n">
        <v>2773</v>
      </c>
      <c r="F26" s="19" t="n">
        <v>2380</v>
      </c>
      <c r="M26" s="20" t="inlineStr">
        <is>
          <t>'Substantially all' compute for customer-serving workloads + some personnel/overhead.</t>
        </is>
      </c>
    </row>
    <row r="27">
      <c r="A27" s="13" t="inlineStr">
        <is>
          <t>Research and development</t>
        </is>
      </c>
      <c r="B27" s="25" t="inlineStr">
        <is>
          <t>$M</t>
        </is>
      </c>
      <c r="C27" s="19" t="n">
        <v>422</v>
      </c>
      <c r="D27" s="19" t="n">
        <v>2275</v>
      </c>
      <c r="E27" s="19" t="n">
        <v>6338</v>
      </c>
      <c r="F27" s="19" t="n">
        <v>9741</v>
      </c>
      <c r="M27" s="20" t="inlineStr">
        <is>
          <t>Primarily compute for model development, research and internal usage.</t>
        </is>
      </c>
    </row>
    <row r="28">
      <c r="A28" s="13" t="inlineStr">
        <is>
          <t>Sales and marketing</t>
        </is>
      </c>
      <c r="B28" s="25" t="inlineStr">
        <is>
          <t>$M</t>
        </is>
      </c>
      <c r="C28" s="19" t="n">
        <v>76</v>
      </c>
      <c r="D28" s="19" t="n">
        <v>163</v>
      </c>
      <c r="E28" s="19" t="n">
        <v>911</v>
      </c>
      <c r="F28" s="19" t="n">
        <v>3808</v>
      </c>
      <c r="M28" s="20" t="inlineStr">
        <is>
          <t>Channel-partner costs, marketing, personnel, free-tier compute.</t>
        </is>
      </c>
    </row>
    <row r="29">
      <c r="A29" s="13" t="inlineStr">
        <is>
          <t>General and administrative</t>
        </is>
      </c>
      <c r="B29" s="25" t="inlineStr">
        <is>
          <t>$M</t>
        </is>
      </c>
      <c r="C29" s="19" t="n">
        <v>68</v>
      </c>
      <c r="D29" s="19" t="n">
        <v>176</v>
      </c>
      <c r="E29" s="19" t="n">
        <v>1123</v>
      </c>
      <c r="F29" s="19" t="n">
        <v>1050</v>
      </c>
      <c r="M29" s="20" t="inlineStr">
        <is>
          <t>Donation matching, personnel, facilities, legal, non-income taxes.</t>
        </is>
      </c>
    </row>
    <row r="30">
      <c r="A30" s="15" t="inlineStr">
        <is>
          <t>Functional total + Bartz settlement</t>
        </is>
      </c>
      <c r="B30" s="38" t="inlineStr">
        <is>
          <t>$M</t>
        </is>
      </c>
      <c r="C30" s="39">
        <f>C26+C27+C28+C29+C13</f>
        <v/>
      </c>
      <c r="D30" s="39">
        <f>D26+D27+D28+D29+D13</f>
        <v/>
      </c>
      <c r="E30" s="39">
        <f>E26+E27+E28+E29+E13</f>
        <v/>
      </c>
      <c r="F30" s="39">
        <f>F26+F27+F28+F29+F13</f>
        <v/>
      </c>
      <c r="G30" s="48" t="n"/>
      <c r="H30" s="48" t="n"/>
      <c r="I30" s="48" t="n"/>
      <c r="J30" s="48" t="n"/>
      <c r="K30" s="48" t="n"/>
      <c r="L30" s="48" t="n"/>
      <c r="M30" s="20" t="inlineStr">
        <is>
          <t>Ties to total operating expenses above.</t>
        </is>
      </c>
    </row>
    <row r="32">
      <c r="A32" s="10" t="inlineStr">
        <is>
          <t>Cash flow statement (as filed)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3" t="inlineStr">
        <is>
          <t>Stock-based compensation (cash-flow add-back)</t>
        </is>
      </c>
      <c r="B33" s="25" t="inlineStr">
        <is>
          <t>$M</t>
        </is>
      </c>
      <c r="C33" s="19" t="n">
        <v>29</v>
      </c>
      <c r="D33" s="19" t="n">
        <v>192</v>
      </c>
      <c r="E33" s="19" t="n">
        <v>1158</v>
      </c>
      <c r="F33" s="19" t="n">
        <v>2185</v>
      </c>
    </row>
    <row r="34">
      <c r="A34" s="13" t="inlineStr">
        <is>
          <t>Stock-based compensation (income statement, per non-GAAP reconciliation)</t>
        </is>
      </c>
      <c r="B34" s="25" t="inlineStr">
        <is>
          <t>$M</t>
        </is>
      </c>
      <c r="C34" s="19" t="n">
        <v>29</v>
      </c>
      <c r="D34" s="19" t="n">
        <v>192</v>
      </c>
      <c r="E34" s="19" t="n">
        <v>1165</v>
      </c>
      <c r="F34" s="19" t="n">
        <v>2185</v>
      </c>
      <c r="M34" s="20" t="inlineStr">
        <is>
          <t>FY25 IS expense $1,165M vs. $1,158M cash-flow add-back (small capitalised amount).</t>
        </is>
      </c>
    </row>
    <row r="35">
      <c r="A35" s="13" t="inlineStr">
        <is>
          <t>Depreciation and amortization</t>
        </is>
      </c>
      <c r="B35" s="25" t="inlineStr">
        <is>
          <t>$M</t>
        </is>
      </c>
      <c r="C35" s="19" t="n">
        <v>3</v>
      </c>
      <c r="D35" s="19" t="n">
        <v>21</v>
      </c>
      <c r="E35" s="19" t="n">
        <v>40</v>
      </c>
      <c r="F35" s="19" t="n">
        <v>97</v>
      </c>
    </row>
    <row r="36">
      <c r="A36" s="13" t="inlineStr">
        <is>
          <t>Donation matching programme liability (non-cash)</t>
        </is>
      </c>
      <c r="B36" s="25" t="inlineStr">
        <is>
          <t>$M</t>
        </is>
      </c>
      <c r="C36" s="19" t="n">
        <v>0</v>
      </c>
      <c r="D36" s="19" t="n">
        <v>0</v>
      </c>
      <c r="E36" s="19" t="n">
        <v>541</v>
      </c>
      <c r="F36" s="19" t="n">
        <v>126</v>
      </c>
    </row>
    <row r="37">
      <c r="A37" s="13" t="inlineStr">
        <is>
          <t>Other non-cash items</t>
        </is>
      </c>
      <c r="B37" s="25" t="inlineStr">
        <is>
          <t>$M</t>
        </is>
      </c>
      <c r="C37" s="19" t="n">
        <v>0</v>
      </c>
      <c r="D37" s="19" t="n">
        <v>7</v>
      </c>
      <c r="E37" s="19" t="n">
        <v>11</v>
      </c>
      <c r="F37" s="19" t="n">
        <v>-7</v>
      </c>
    </row>
    <row r="38">
      <c r="A38" s="13" t="inlineStr">
        <is>
          <t>Change in accounts receivable</t>
        </is>
      </c>
      <c r="B38" s="25" t="inlineStr">
        <is>
          <t>$M</t>
        </is>
      </c>
      <c r="C38" s="19" t="n">
        <v>-10</v>
      </c>
      <c r="D38" s="19" t="n">
        <v>-90</v>
      </c>
      <c r="E38" s="19" t="n">
        <v>-834</v>
      </c>
      <c r="F38" s="19" t="n">
        <v>-4982</v>
      </c>
    </row>
    <row r="39">
      <c r="A39" s="13" t="inlineStr">
        <is>
          <t>Change in prepaid expenses and other assets</t>
        </is>
      </c>
      <c r="B39" s="25" t="inlineStr">
        <is>
          <t>$M</t>
        </is>
      </c>
      <c r="C39" s="19" t="n">
        <v>-1253</v>
      </c>
      <c r="D39" s="19" t="n">
        <v>-3190</v>
      </c>
      <c r="E39" s="19" t="n">
        <v>1771</v>
      </c>
      <c r="F39" s="19" t="n">
        <v>2094</v>
      </c>
    </row>
    <row r="40">
      <c r="A40" s="13" t="inlineStr">
        <is>
          <t>Change in accounts payable, accrued and other liabilities</t>
        </is>
      </c>
      <c r="B40" s="25" t="inlineStr">
        <is>
          <t>$M</t>
        </is>
      </c>
      <c r="C40" s="19" t="n">
        <v>84</v>
      </c>
      <c r="D40" s="19" t="n">
        <v>222</v>
      </c>
      <c r="E40" s="19" t="n">
        <v>2079</v>
      </c>
      <c r="F40" s="19" t="n">
        <v>2679</v>
      </c>
    </row>
    <row r="41">
      <c r="A41" s="13" t="inlineStr">
        <is>
          <t>Change in lease liabilities</t>
        </is>
      </c>
      <c r="B41" s="25" t="inlineStr">
        <is>
          <t>$M</t>
        </is>
      </c>
      <c r="C41" s="19" t="n">
        <v>-1</v>
      </c>
      <c r="D41" s="19" t="n">
        <v>0</v>
      </c>
      <c r="E41" s="19" t="n">
        <v>13</v>
      </c>
      <c r="F41" s="19" t="n">
        <v>-3</v>
      </c>
    </row>
    <row r="42">
      <c r="A42" s="13" t="inlineStr">
        <is>
          <t>Change in deferred revenue</t>
        </is>
      </c>
      <c r="B42" s="25" t="inlineStr">
        <is>
          <t>$M</t>
        </is>
      </c>
      <c r="C42" s="19" t="n">
        <v>7</v>
      </c>
      <c r="D42" s="19" t="n">
        <v>21</v>
      </c>
      <c r="E42" s="19" t="n">
        <v>241</v>
      </c>
      <c r="F42" s="19" t="n">
        <v>1380</v>
      </c>
    </row>
    <row r="43">
      <c r="A43" s="15" t="inlineStr">
        <is>
          <t>Net cash from operating activities</t>
        </is>
      </c>
      <c r="B43" s="38" t="inlineStr">
        <is>
          <t>$M</t>
        </is>
      </c>
      <c r="C43" s="57" t="n">
        <v>-1627</v>
      </c>
      <c r="D43" s="57" t="n">
        <v>-5692</v>
      </c>
      <c r="E43" s="57" t="n">
        <v>-2637</v>
      </c>
      <c r="F43" s="57" t="n">
        <v>3929</v>
      </c>
      <c r="G43" s="48" t="n"/>
      <c r="H43" s="48" t="n"/>
      <c r="I43" s="48" t="n"/>
      <c r="J43" s="48" t="n"/>
      <c r="K43" s="48" t="n"/>
      <c r="L43" s="48" t="n"/>
    </row>
    <row r="44">
      <c r="A44" s="13" t="inlineStr">
        <is>
          <t>Purchases of property and equipment</t>
        </is>
      </c>
      <c r="B44" s="25" t="inlineStr">
        <is>
          <t>$M</t>
        </is>
      </c>
      <c r="C44" s="19" t="n">
        <v>-2</v>
      </c>
      <c r="D44" s="19" t="n">
        <v>-15</v>
      </c>
      <c r="E44" s="19" t="n">
        <v>-131</v>
      </c>
      <c r="F44" s="19" t="n">
        <v>-482</v>
      </c>
    </row>
    <row r="45">
      <c r="A45" s="13" t="inlineStr">
        <is>
          <t>Purchases of short-term investments, net of sales/maturities</t>
        </is>
      </c>
      <c r="B45" s="25" t="inlineStr">
        <is>
          <t>$M</t>
        </is>
      </c>
      <c r="C45" s="19" t="n">
        <v>0</v>
      </c>
      <c r="D45" s="19" t="n">
        <v>0</v>
      </c>
      <c r="E45" s="19" t="n">
        <v>-2869</v>
      </c>
      <c r="F45" s="19" t="n">
        <v>-16362</v>
      </c>
    </row>
    <row r="46">
      <c r="A46" s="13" t="inlineStr">
        <is>
          <t>Other investing activities</t>
        </is>
      </c>
      <c r="B46" s="25" t="inlineStr">
        <is>
          <t>$M</t>
        </is>
      </c>
      <c r="C46" s="19" t="n">
        <v>0</v>
      </c>
      <c r="D46" s="19" t="n">
        <v>-7</v>
      </c>
      <c r="E46" s="19" t="n">
        <v>-77</v>
      </c>
      <c r="F46" s="19" t="n">
        <v>-337</v>
      </c>
    </row>
    <row r="47">
      <c r="A47" s="15" t="inlineStr">
        <is>
          <t>Net cash used in investing activities</t>
        </is>
      </c>
      <c r="B47" s="38" t="inlineStr">
        <is>
          <t>$M</t>
        </is>
      </c>
      <c r="C47" s="57" t="n">
        <v>-2</v>
      </c>
      <c r="D47" s="57" t="n">
        <v>-22</v>
      </c>
      <c r="E47" s="57" t="n">
        <v>-3077</v>
      </c>
      <c r="F47" s="57" t="n">
        <v>-17181</v>
      </c>
      <c r="G47" s="48" t="n"/>
      <c r="H47" s="48" t="n"/>
      <c r="I47" s="48" t="n"/>
      <c r="J47" s="48" t="n"/>
      <c r="K47" s="48" t="n"/>
      <c r="L47" s="48" t="n"/>
    </row>
    <row r="48">
      <c r="A48" s="13" t="inlineStr">
        <is>
          <t>Proceeds from redeemable convertible preferred stock, net</t>
        </is>
      </c>
      <c r="B48" s="25" t="inlineStr">
        <is>
          <t>$M</t>
        </is>
      </c>
      <c r="C48" s="19" t="n">
        <v>445</v>
      </c>
      <c r="D48" s="19" t="n">
        <v>1188</v>
      </c>
      <c r="E48" s="19" t="n">
        <v>16548</v>
      </c>
      <c r="F48" s="19" t="n">
        <v>110432</v>
      </c>
    </row>
    <row r="49">
      <c r="A49" s="13" t="inlineStr">
        <is>
          <t>Issuance of convertible notes for cash</t>
        </is>
      </c>
      <c r="B49" s="25" t="inlineStr">
        <is>
          <t>$M</t>
        </is>
      </c>
      <c r="C49" s="19" t="n">
        <v>1750</v>
      </c>
      <c r="D49" s="19" t="n">
        <v>6050</v>
      </c>
      <c r="E49" s="19" t="n">
        <v>3450</v>
      </c>
      <c r="F49" s="19" t="n">
        <v>0</v>
      </c>
    </row>
    <row r="50">
      <c r="A50" s="13" t="inlineStr">
        <is>
          <t>Proceeds from issuance of common stock</t>
        </is>
      </c>
      <c r="B50" s="25" t="inlineStr">
        <is>
          <t>$M</t>
        </is>
      </c>
      <c r="C50" s="19" t="n">
        <v>3</v>
      </c>
      <c r="D50" s="19" t="n">
        <v>10</v>
      </c>
      <c r="E50" s="19" t="n">
        <v>111</v>
      </c>
      <c r="F50" s="19" t="n">
        <v>355</v>
      </c>
    </row>
    <row r="51">
      <c r="A51" s="13" t="inlineStr">
        <is>
          <t>Other financing (SAFEs, repurchases, offering costs, finance-lease principal)</t>
        </is>
      </c>
      <c r="B51" s="25" t="inlineStr">
        <is>
          <t>$M</t>
        </is>
      </c>
      <c r="C51" s="19" t="n">
        <v>122</v>
      </c>
      <c r="D51" s="19" t="n">
        <v>0</v>
      </c>
      <c r="E51" s="19" t="n">
        <v>-149</v>
      </c>
      <c r="F51" s="19" t="n">
        <v>-13</v>
      </c>
    </row>
    <row r="52">
      <c r="A52" s="15" t="inlineStr">
        <is>
          <t>Net cash from financing activities</t>
        </is>
      </c>
      <c r="B52" s="38" t="inlineStr">
        <is>
          <t>$M</t>
        </is>
      </c>
      <c r="C52" s="57" t="n">
        <v>2320</v>
      </c>
      <c r="D52" s="57" t="n">
        <v>7248</v>
      </c>
      <c r="E52" s="57" t="n">
        <v>19960</v>
      </c>
      <c r="F52" s="57" t="n">
        <v>110774</v>
      </c>
      <c r="G52" s="48" t="n"/>
      <c r="H52" s="48" t="n"/>
      <c r="I52" s="48" t="n"/>
      <c r="J52" s="48" t="n"/>
      <c r="K52" s="48" t="n"/>
      <c r="L52" s="48" t="n"/>
    </row>
    <row r="53">
      <c r="A53" s="13" t="inlineStr">
        <is>
          <t>Effect of exchange rates</t>
        </is>
      </c>
      <c r="B53" s="25" t="inlineStr">
        <is>
          <t>$M</t>
        </is>
      </c>
      <c r="C53" s="19" t="n">
        <v>0</v>
      </c>
      <c r="D53" s="19" t="n">
        <v>0</v>
      </c>
      <c r="E53" s="19" t="n">
        <v>1</v>
      </c>
      <c r="F53" s="19" t="n">
        <v>-5</v>
      </c>
    </row>
    <row r="54">
      <c r="A54" s="5" t="inlineStr">
        <is>
          <t>Net increase in cash, cash equivalents and restricted cash</t>
        </is>
      </c>
      <c r="B54" s="25" t="inlineStr">
        <is>
          <t>$M</t>
        </is>
      </c>
      <c r="C54" s="56" t="n">
        <v>691</v>
      </c>
      <c r="D54" s="56" t="n">
        <v>1534</v>
      </c>
      <c r="E54" s="56" t="n">
        <v>14247</v>
      </c>
      <c r="F54" s="56" t="n">
        <v>97517</v>
      </c>
    </row>
    <row r="55">
      <c r="A55" s="13" t="inlineStr">
        <is>
          <t>Cash, cash equivalents and restricted cash – end of period</t>
        </is>
      </c>
      <c r="B55" s="25" t="inlineStr">
        <is>
          <t>$M</t>
        </is>
      </c>
      <c r="C55" s="19" t="n">
        <v>1620</v>
      </c>
      <c r="D55" s="19" t="n">
        <v>3154</v>
      </c>
      <c r="E55" s="19" t="n">
        <v>17401</v>
      </c>
      <c r="F55" s="19" t="n">
        <v>114918</v>
      </c>
    </row>
    <row r="57">
      <c r="A57" s="10" t="inlineStr">
        <is>
          <t>Balance sheet (as filed) – column aligns with period end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13" t="inlineStr">
        <is>
          <t>Cash and cash equivalents</t>
        </is>
      </c>
      <c r="B58" s="25" t="inlineStr">
        <is>
          <t>$M</t>
        </is>
      </c>
      <c r="D58" s="19" t="n">
        <v>3141</v>
      </c>
      <c r="E58" s="19" t="n">
        <v>17388</v>
      </c>
      <c r="F58" s="19" t="n">
        <v>112389</v>
      </c>
    </row>
    <row r="59">
      <c r="A59" s="13" t="inlineStr">
        <is>
          <t>Short-term investments</t>
        </is>
      </c>
      <c r="B59" s="25" t="inlineStr">
        <is>
          <t>$M</t>
        </is>
      </c>
      <c r="D59" s="19" t="n">
        <v>0</v>
      </c>
      <c r="E59" s="19" t="n">
        <v>2889</v>
      </c>
      <c r="F59" s="19" t="n">
        <v>19262</v>
      </c>
    </row>
    <row r="60">
      <c r="A60" s="13" t="inlineStr">
        <is>
          <t>Accounts receivable, net</t>
        </is>
      </c>
      <c r="B60" s="25" t="inlineStr">
        <is>
          <t>$M</t>
        </is>
      </c>
      <c r="D60" s="19" t="n">
        <v>95</v>
      </c>
      <c r="E60" s="19" t="n">
        <v>909</v>
      </c>
      <c r="F60" s="19" t="n">
        <v>5833</v>
      </c>
    </row>
    <row r="61">
      <c r="A61" s="13" t="inlineStr">
        <is>
          <t>Prepaid expenses and other current assets</t>
        </is>
      </c>
      <c r="B61" s="25" t="inlineStr">
        <is>
          <t>$M</t>
        </is>
      </c>
      <c r="D61" s="19" t="n">
        <v>2076</v>
      </c>
      <c r="E61" s="19" t="n">
        <v>2560</v>
      </c>
      <c r="F61" s="19" t="n">
        <v>496</v>
      </c>
    </row>
    <row r="62">
      <c r="A62" s="13" t="inlineStr">
        <is>
          <t>Restricted cash</t>
        </is>
      </c>
      <c r="B62" s="25" t="inlineStr">
        <is>
          <t>$M</t>
        </is>
      </c>
      <c r="D62" s="19" t="n">
        <v>13</v>
      </c>
      <c r="E62" s="19" t="n">
        <v>13</v>
      </c>
      <c r="F62" s="19" t="n">
        <v>2529</v>
      </c>
    </row>
    <row r="63">
      <c r="A63" s="13" t="inlineStr">
        <is>
          <t>Property and equipment, net</t>
        </is>
      </c>
      <c r="B63" s="25" t="inlineStr">
        <is>
          <t>$M</t>
        </is>
      </c>
      <c r="D63" s="19" t="n">
        <v>19</v>
      </c>
      <c r="E63" s="19" t="n">
        <v>146</v>
      </c>
      <c r="F63" s="19" t="n">
        <v>1187</v>
      </c>
    </row>
    <row r="64">
      <c r="A64" s="13" t="inlineStr">
        <is>
          <t>Operating lease right-of-use assets</t>
        </is>
      </c>
      <c r="B64" s="25" t="inlineStr">
        <is>
          <t>$M</t>
        </is>
      </c>
      <c r="D64" s="19" t="n">
        <v>35</v>
      </c>
      <c r="E64" s="19" t="n">
        <v>126</v>
      </c>
      <c r="F64" s="19" t="n">
        <v>1157</v>
      </c>
    </row>
    <row r="65">
      <c r="A65" s="13" t="inlineStr">
        <is>
          <t>Goodwill</t>
        </is>
      </c>
      <c r="B65" s="25" t="inlineStr">
        <is>
          <t>$M</t>
        </is>
      </c>
      <c r="D65" s="19" t="n">
        <v>0</v>
      </c>
      <c r="E65" s="19" t="n">
        <v>154</v>
      </c>
      <c r="F65" s="19" t="n">
        <v>576</v>
      </c>
    </row>
    <row r="66">
      <c r="A66" s="13" t="inlineStr">
        <is>
          <t>Other assets, noncurrent</t>
        </is>
      </c>
      <c r="B66" s="25" t="inlineStr">
        <is>
          <t>$M</t>
        </is>
      </c>
      <c r="D66" s="19" t="n">
        <v>2373</v>
      </c>
      <c r="E66" s="19" t="n">
        <v>476</v>
      </c>
      <c r="F66" s="19" t="n">
        <v>3929</v>
      </c>
    </row>
    <row r="67">
      <c r="A67" s="15" t="inlineStr">
        <is>
          <t>Total assets</t>
        </is>
      </c>
      <c r="B67" s="38" t="inlineStr">
        <is>
          <t>$M</t>
        </is>
      </c>
      <c r="C67" s="48" t="n"/>
      <c r="D67" s="57" t="n">
        <v>7752</v>
      </c>
      <c r="E67" s="57" t="n">
        <v>24661</v>
      </c>
      <c r="F67" s="57" t="n">
        <v>147358</v>
      </c>
      <c r="G67" s="48" t="n"/>
      <c r="H67" s="48" t="n"/>
      <c r="I67" s="48" t="n"/>
      <c r="J67" s="48" t="n"/>
      <c r="K67" s="48" t="n"/>
      <c r="L67" s="48" t="n"/>
    </row>
    <row r="68">
      <c r="A68" s="13" t="inlineStr">
        <is>
          <t>Accounts payable, accrued expenses and other current liabilities</t>
        </is>
      </c>
      <c r="B68" s="25" t="inlineStr">
        <is>
          <t>$M</t>
        </is>
      </c>
      <c r="D68" s="19" t="n">
        <v>333</v>
      </c>
      <c r="E68" s="19" t="n">
        <v>2511</v>
      </c>
      <c r="F68" s="19" t="n">
        <v>5422</v>
      </c>
    </row>
    <row r="69">
      <c r="A69" s="13" t="inlineStr">
        <is>
          <t>Operating lease liabilities (current + noncurrent)</t>
        </is>
      </c>
      <c r="B69" s="25" t="inlineStr">
        <is>
          <t>$M</t>
        </is>
      </c>
      <c r="D69" s="19" t="n">
        <v>52</v>
      </c>
      <c r="E69" s="19" t="n">
        <v>117</v>
      </c>
      <c r="F69" s="19" t="n">
        <v>1079</v>
      </c>
    </row>
    <row r="70">
      <c r="A70" s="13" t="inlineStr">
        <is>
          <t>Deferred revenue</t>
        </is>
      </c>
      <c r="B70" s="25" t="inlineStr">
        <is>
          <t>$M</t>
        </is>
      </c>
      <c r="D70" s="19" t="n">
        <v>28</v>
      </c>
      <c r="E70" s="19" t="n">
        <v>269</v>
      </c>
      <c r="F70" s="19" t="n">
        <v>1650</v>
      </c>
    </row>
    <row r="71">
      <c r="A71" s="13" t="inlineStr">
        <is>
          <t>Convertible notes payable (at fair value)</t>
        </is>
      </c>
      <c r="B71" s="25" t="inlineStr">
        <is>
          <t>$M</t>
        </is>
      </c>
      <c r="D71" s="19" t="n">
        <v>14116</v>
      </c>
      <c r="E71" s="19" t="n">
        <v>41677</v>
      </c>
      <c r="F71" s="19" t="n">
        <v>108566</v>
      </c>
    </row>
    <row r="72">
      <c r="A72" s="13" t="inlineStr">
        <is>
          <t>Other noncurrent liabilities</t>
        </is>
      </c>
      <c r="B72" s="25" t="inlineStr">
        <is>
          <t>$M</t>
        </is>
      </c>
      <c r="D72" s="19" t="n">
        <v>150</v>
      </c>
      <c r="E72" s="19" t="n">
        <v>823</v>
      </c>
      <c r="F72" s="19" t="n">
        <v>750</v>
      </c>
    </row>
    <row r="73">
      <c r="A73" s="15" t="inlineStr">
        <is>
          <t>Total liabilities</t>
        </is>
      </c>
      <c r="B73" s="38" t="inlineStr">
        <is>
          <t>$M</t>
        </is>
      </c>
      <c r="C73" s="48" t="n"/>
      <c r="D73" s="57" t="n">
        <v>14679</v>
      </c>
      <c r="E73" s="57" t="n">
        <v>45397</v>
      </c>
      <c r="F73" s="57" t="n">
        <v>117467</v>
      </c>
      <c r="G73" s="48" t="n"/>
      <c r="H73" s="48" t="n"/>
      <c r="I73" s="48" t="n"/>
      <c r="J73" s="48" t="n"/>
      <c r="K73" s="48" t="n"/>
      <c r="L73" s="48" t="n"/>
    </row>
    <row r="74">
      <c r="A74" s="13" t="inlineStr">
        <is>
          <t>Redeemable convertible preferred stock (mezzanine)</t>
        </is>
      </c>
      <c r="B74" s="25" t="inlineStr">
        <is>
          <t>$M</t>
        </is>
      </c>
      <c r="D74" s="19" t="n">
        <v>2874</v>
      </c>
      <c r="E74" s="19" t="n">
        <v>29769</v>
      </c>
      <c r="F74" s="19" t="n">
        <v>157510</v>
      </c>
    </row>
    <row r="75">
      <c r="A75" s="13" t="inlineStr">
        <is>
          <t>Additional paid-in capital (incl. common stock at par)</t>
        </is>
      </c>
      <c r="B75" s="25" t="inlineStr">
        <is>
          <t>$M</t>
        </is>
      </c>
      <c r="D75" s="19" t="n">
        <v>239</v>
      </c>
      <c r="E75" s="19" t="n">
        <v>1644</v>
      </c>
      <c r="F75" s="19" t="n">
        <v>5336</v>
      </c>
    </row>
    <row r="76">
      <c r="A76" s="13" t="inlineStr">
        <is>
          <t>Accumulated other comprehensive income (loss)</t>
        </is>
      </c>
      <c r="B76" s="25" t="inlineStr">
        <is>
          <t>$M</t>
        </is>
      </c>
      <c r="D76" s="19" t="n">
        <v>0</v>
      </c>
      <c r="E76" s="19" t="n">
        <v>5</v>
      </c>
      <c r="F76" s="19" t="n">
        <v>-53</v>
      </c>
    </row>
    <row r="77">
      <c r="A77" s="13" t="inlineStr">
        <is>
          <t>Accumulated deficit</t>
        </is>
      </c>
      <c r="B77" s="25" t="inlineStr">
        <is>
          <t>$M</t>
        </is>
      </c>
      <c r="D77" s="19" t="n">
        <v>-10040</v>
      </c>
      <c r="E77" s="19" t="n">
        <v>-52154</v>
      </c>
      <c r="F77" s="19" t="n">
        <v>-132902</v>
      </c>
    </row>
    <row r="78">
      <c r="A78" s="15" t="inlineStr">
        <is>
          <t>Total stockholders' equity (deficit)</t>
        </is>
      </c>
      <c r="B78" s="38" t="inlineStr">
        <is>
          <t>$M</t>
        </is>
      </c>
      <c r="C78" s="48" t="n"/>
      <c r="D78" s="57" t="n">
        <v>-9801</v>
      </c>
      <c r="E78" s="57" t="n">
        <v>-50505</v>
      </c>
      <c r="F78" s="57" t="n">
        <v>-127619</v>
      </c>
      <c r="G78" s="48" t="n"/>
      <c r="H78" s="48" t="n"/>
      <c r="I78" s="48" t="n"/>
      <c r="J78" s="48" t="n"/>
      <c r="K78" s="48" t="n"/>
      <c r="L78" s="48" t="n"/>
    </row>
    <row r="79">
      <c r="A79" s="20" t="inlineStr">
        <is>
          <t>Balance-sheet columns: D = Dec-24A, E = Dec-25A, F = Jun-26A. Dec-23 balance sheet not presented in the S-1 in full.</t>
        </is>
      </c>
    </row>
    <row r="81">
      <c r="A81" s="10" t="inlineStr">
        <is>
          <t>Quarterly revenue and compute (S-1 narrative; Q3'26 from 14 Oct 2026 investor day)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5" t="inlineStr">
        <is>
          <t>Quarter</t>
        </is>
      </c>
      <c r="C82" s="59" t="inlineStr">
        <is>
          <t>Q4'24A</t>
        </is>
      </c>
      <c r="D82" s="59" t="inlineStr">
        <is>
          <t>Q1'25A</t>
        </is>
      </c>
      <c r="E82" s="59" t="inlineStr">
        <is>
          <t>Q2'25A</t>
        </is>
      </c>
      <c r="F82" s="59" t="inlineStr">
        <is>
          <t>Q3'25A</t>
        </is>
      </c>
      <c r="G82" s="59" t="inlineStr">
        <is>
          <t>Q4'25A</t>
        </is>
      </c>
      <c r="H82" s="59" t="inlineStr">
        <is>
          <t>Q1'26A</t>
        </is>
      </c>
      <c r="I82" s="59" t="inlineStr">
        <is>
          <t>Q2'26A</t>
        </is>
      </c>
      <c r="J82" s="59" t="inlineStr">
        <is>
          <t>Q3'26</t>
        </is>
      </c>
    </row>
    <row r="83">
      <c r="A83" s="13" t="inlineStr">
        <is>
          <t>Revenue</t>
        </is>
      </c>
      <c r="B83" s="25" t="inlineStr">
        <is>
          <t>$M</t>
        </is>
      </c>
      <c r="C83" s="19" t="n">
        <v>197</v>
      </c>
      <c r="D83" s="19" t="n">
        <v>376</v>
      </c>
      <c r="E83" s="19" t="n">
        <v>787</v>
      </c>
      <c r="F83" s="19" t="n">
        <v>1382</v>
      </c>
      <c r="G83" s="19" t="n">
        <v>2040</v>
      </c>
      <c r="H83" s="19" t="n">
        <v>4731</v>
      </c>
      <c r="I83" s="19" t="n">
        <v>11555</v>
      </c>
      <c r="J83" s="19" t="n">
        <v>16800</v>
      </c>
      <c r="M83" s="20" t="inlineStr">
        <is>
          <t>Q3'26 $16.8B disclosed to investors (S-1 states it as 86× Q4'24 revenue ≈ $16.9B).</t>
        </is>
      </c>
    </row>
    <row r="84">
      <c r="A84" s="13" t="inlineStr">
        <is>
          <t>Compute and infrastructure</t>
        </is>
      </c>
      <c r="B84" s="25" t="inlineStr">
        <is>
          <t>$M</t>
        </is>
      </c>
      <c r="D84" s="19" t="n">
        <v>944</v>
      </c>
      <c r="E84" s="19" t="n">
        <v>1390</v>
      </c>
      <c r="F84" s="19" t="n">
        <v>2047</v>
      </c>
      <c r="G84" s="19" t="n">
        <v>2945</v>
      </c>
      <c r="H84" s="19" t="n">
        <v>3387</v>
      </c>
      <c r="I84" s="19" t="n">
        <v>5558</v>
      </c>
      <c r="J84" s="35">
        <f>J83/J85</f>
        <v/>
      </c>
      <c r="M84" s="20" t="inlineStr">
        <is>
          <t>Q3'26 compute derived from the disclosed $1.70 of revenue per $1 of compute.</t>
        </is>
      </c>
    </row>
    <row r="85">
      <c r="A85" s="13" t="inlineStr">
        <is>
          <t>Revenue per $1 of compute</t>
        </is>
      </c>
      <c r="B85" s="25" t="inlineStr">
        <is>
          <t>x</t>
        </is>
      </c>
      <c r="D85" s="55">
        <f>D83/D84</f>
        <v/>
      </c>
      <c r="E85" s="55">
        <f>E83/E84</f>
        <v/>
      </c>
      <c r="F85" s="55">
        <f>F83/F84</f>
        <v/>
      </c>
      <c r="G85" s="55">
        <f>G83/G84</f>
        <v/>
      </c>
      <c r="H85" s="55">
        <f>H83/H84</f>
        <v/>
      </c>
      <c r="I85" s="55">
        <f>I83/I84</f>
        <v/>
      </c>
      <c r="J85" s="34" t="n">
        <v>1.7</v>
      </c>
    </row>
    <row r="87">
      <c r="A87" s="10" t="inlineStr">
        <is>
          <t>Other disclosed data points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13" t="inlineStr">
        <is>
          <t>Revenue, six months ended 30 Jun 2025 (unaudited)</t>
        </is>
      </c>
      <c r="B88" s="25" t="inlineStr">
        <is>
          <t>$M</t>
        </is>
      </c>
      <c r="C88" s="19" t="n">
        <v>1163</v>
      </c>
      <c r="M88" s="20" t="inlineStr">
        <is>
          <t>Implies H2'25 revenue of $3,422M – the comparison base for H2'26E growth.</t>
        </is>
      </c>
    </row>
    <row r="89">
      <c r="A89" s="13" t="inlineStr">
        <is>
          <t>Run-rate revenue, end-July 2026 (company to investors)</t>
        </is>
      </c>
      <c r="B89" s="25" t="inlineStr">
        <is>
          <t>$M</t>
        </is>
      </c>
      <c r="C89" s="19" t="n">
        <v>65000</v>
      </c>
      <c r="M89" s="20" t="inlineStr">
        <is>
          <t>Run-rate = trailing 28-day consumption fees × 13 + monthly subscription fees × 12.</t>
        </is>
      </c>
    </row>
    <row r="90">
      <c r="A90" s="13" t="inlineStr">
        <is>
          <t>Run-rate revenue, end-2025</t>
        </is>
      </c>
      <c r="B90" s="25" t="inlineStr">
        <is>
          <t>$M</t>
        </is>
      </c>
      <c r="C90" s="19" t="n">
        <v>9000</v>
      </c>
    </row>
    <row r="91">
      <c r="A91" s="13" t="inlineStr">
        <is>
          <t>Adjusted operating margin, Q3'26 (company to investors)</t>
        </is>
      </c>
      <c r="B91" s="25" t="inlineStr">
        <is>
          <t>%</t>
        </is>
      </c>
      <c r="C91" s="27" t="n">
        <v>0.11</v>
      </c>
    </row>
    <row r="92">
      <c r="A92" s="13" t="inlineStr">
        <is>
          <t>Fixed / minimum compute purchase commitments at Jun-26A</t>
        </is>
      </c>
      <c r="B92" s="25" t="inlineStr">
        <is>
          <t>$M</t>
        </is>
      </c>
      <c r="C92" s="19" t="n">
        <v>265600</v>
      </c>
      <c r="M92" s="20" t="inlineStr">
        <is>
          <t>Terms 1–20 years; up from $54.6B at Dec-25.</t>
        </is>
      </c>
    </row>
    <row r="93">
      <c r="A93" s="13" t="inlineStr">
        <is>
          <t>Leases signed but not yet commenced (undiscounted) at Jun-26A</t>
        </is>
      </c>
      <c r="B93" s="25" t="inlineStr">
        <is>
          <t>$M</t>
        </is>
      </c>
      <c r="C93" s="19" t="n">
        <v>321400</v>
      </c>
      <c r="M93" s="20" t="inlineStr">
        <is>
          <t>Primarily compute; commencement 2026–2028.</t>
        </is>
      </c>
    </row>
    <row r="94">
      <c r="A94" s="13" t="inlineStr">
        <is>
          <t>Aggregate capital raised through Jun-26A</t>
        </is>
      </c>
      <c r="B94" s="25" t="inlineStr">
        <is>
          <t>$M</t>
        </is>
      </c>
      <c r="C94" s="19" t="n">
        <v>141100</v>
      </c>
    </row>
    <row r="95">
      <c r="A95" s="13" t="inlineStr">
        <is>
          <t>Unrecognised SBC on unvested RSUs at Jun-26A</t>
        </is>
      </c>
      <c r="B95" s="25" t="inlineStr">
        <is>
          <t>$M</t>
        </is>
      </c>
      <c r="C95" s="19" t="n">
        <v>26600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70" customWidth="1" min="13" max="13"/>
  </cols>
  <sheetData>
    <row r="1">
      <c r="A1" s="1" t="inlineStr">
        <is>
          <t>Model Integrity Checks</t>
        </is>
      </c>
    </row>
    <row r="2">
      <c r="A2" s="2" t="inlineStr">
        <is>
          <t>All rows should read 0 (or TRUE). Overall status at the top.</t>
        </is>
      </c>
    </row>
    <row r="4">
      <c r="A4" s="8" t="inlineStr">
        <is>
          <t>$M unless noted</t>
        </is>
      </c>
      <c r="B4" s="9" t="inlineStr">
        <is>
          <t>Unit</t>
        </is>
      </c>
      <c r="C4" s="9" t="inlineStr">
        <is>
          <t>FY2023A</t>
        </is>
      </c>
      <c r="D4" s="9" t="inlineStr">
        <is>
          <t>FY2024A</t>
        </is>
      </c>
      <c r="E4" s="9" t="inlineStr">
        <is>
          <t>FY2025A</t>
        </is>
      </c>
      <c r="F4" s="9" t="inlineStr">
        <is>
          <t>H1'26A</t>
        </is>
      </c>
      <c r="G4" s="9" t="inlineStr">
        <is>
          <t>H2'26E</t>
        </is>
      </c>
      <c r="H4" s="9" t="inlineStr">
        <is>
          <t>FY2026E</t>
        </is>
      </c>
      <c r="I4" s="9" t="inlineStr">
        <is>
          <t>FY2027E</t>
        </is>
      </c>
      <c r="J4" s="9" t="inlineStr">
        <is>
          <t>FY2028E</t>
        </is>
      </c>
      <c r="K4" s="9" t="inlineStr">
        <is>
          <t>FY2029E</t>
        </is>
      </c>
      <c r="L4" s="9" t="inlineStr">
        <is>
          <t>FY2030E</t>
        </is>
      </c>
      <c r="M4" s="8" t="inlineStr">
        <is>
          <t>Notes / source</t>
        </is>
      </c>
    </row>
    <row r="5">
      <c r="C5" s="23" t="inlineStr">
        <is>
          <t>Actual</t>
        </is>
      </c>
      <c r="D5" s="23" t="inlineStr">
        <is>
          <t>Actual</t>
        </is>
      </c>
      <c r="E5" s="23" t="inlineStr">
        <is>
          <t>Actual</t>
        </is>
      </c>
      <c r="F5" s="23" t="inlineStr">
        <is>
          <t>Actual</t>
        </is>
      </c>
      <c r="G5" s="24" t="inlineStr">
        <is>
          <t>Forecast</t>
        </is>
      </c>
      <c r="H5" s="24" t="inlineStr">
        <is>
          <t>H1A + H2E</t>
        </is>
      </c>
      <c r="I5" s="24" t="inlineStr">
        <is>
          <t>Forecast</t>
        </is>
      </c>
      <c r="J5" s="24" t="inlineStr">
        <is>
          <t>Forecast</t>
        </is>
      </c>
      <c r="K5" s="24" t="inlineStr">
        <is>
          <t>Forecast</t>
        </is>
      </c>
      <c r="L5" s="24" t="inlineStr">
        <is>
          <t>Forecast</t>
        </is>
      </c>
    </row>
    <row r="6">
      <c r="A6" s="13" t="inlineStr">
        <is>
          <t>Balance sheet balances (assets – liabilities – equity)</t>
        </is>
      </c>
      <c r="B6" s="25" t="inlineStr">
        <is>
          <t>$M</t>
        </is>
      </c>
      <c r="D6" s="6">
        <f>'Balance Sheet'!D35</f>
        <v/>
      </c>
      <c r="E6" s="6">
        <f>'Balance Sheet'!E35</f>
        <v/>
      </c>
      <c r="F6" s="6">
        <f>'Balance Sheet'!F35</f>
        <v/>
      </c>
      <c r="G6" s="6">
        <f>'Balance Sheet'!G35</f>
        <v/>
      </c>
      <c r="H6" s="6">
        <f>'Balance Sheet'!H35</f>
        <v/>
      </c>
      <c r="I6" s="6">
        <f>'Balance Sheet'!I35</f>
        <v/>
      </c>
      <c r="J6" s="6">
        <f>'Balance Sheet'!J35</f>
        <v/>
      </c>
      <c r="K6" s="6">
        <f>'Balance Sheet'!K35</f>
        <v/>
      </c>
      <c r="L6" s="6">
        <f>'Balance Sheet'!L35</f>
        <v/>
      </c>
    </row>
    <row r="7">
      <c r="A7" s="13" t="inlineStr">
        <is>
          <t>Cash flow ending cash ties to balance sheet</t>
        </is>
      </c>
      <c r="B7" s="25" t="inlineStr">
        <is>
          <t>$M</t>
        </is>
      </c>
      <c r="G7" s="6">
        <f>ROUND('Cash Flow'!G41-'Balance Sheet'!G8,3)</f>
        <v/>
      </c>
      <c r="H7" s="6">
        <f>ROUND('Cash Flow'!H41-'Balance Sheet'!H8,3)</f>
        <v/>
      </c>
      <c r="I7" s="6">
        <f>ROUND('Cash Flow'!I41-'Balance Sheet'!I8,3)</f>
        <v/>
      </c>
      <c r="J7" s="6">
        <f>ROUND('Cash Flow'!J41-'Balance Sheet'!J8,3)</f>
        <v/>
      </c>
      <c r="K7" s="6">
        <f>ROUND('Cash Flow'!K41-'Balance Sheet'!K8,3)</f>
        <v/>
      </c>
      <c r="L7" s="6">
        <f>ROUND('Cash Flow'!L41-'Balance Sheet'!L8,3)</f>
        <v/>
      </c>
    </row>
    <row r="8">
      <c r="A8" s="13" t="inlineStr">
        <is>
          <t>Opex by nature ties to functional presentation</t>
        </is>
      </c>
      <c r="B8" s="25" t="inlineStr">
        <is>
          <t>$M</t>
        </is>
      </c>
      <c r="C8" s="6">
        <f>ROUND('Income Statement'!C40,3)</f>
        <v/>
      </c>
      <c r="D8" s="6">
        <f>ROUND('Income Statement'!D40,3)</f>
        <v/>
      </c>
      <c r="E8" s="6">
        <f>ROUND('Income Statement'!E40,3)</f>
        <v/>
      </c>
      <c r="F8" s="6">
        <f>ROUND('Income Statement'!F40,3)</f>
        <v/>
      </c>
      <c r="G8" s="6">
        <f>ROUND('Income Statement'!G40,3)</f>
        <v/>
      </c>
      <c r="H8" s="6">
        <f>ROUND('Income Statement'!H40,3)</f>
        <v/>
      </c>
      <c r="I8" s="6">
        <f>ROUND('Income Statement'!I40,3)</f>
        <v/>
      </c>
      <c r="J8" s="6">
        <f>ROUND('Income Statement'!J40,3)</f>
        <v/>
      </c>
      <c r="K8" s="6">
        <f>ROUND('Income Statement'!K40,3)</f>
        <v/>
      </c>
      <c r="L8" s="6">
        <f>ROUND('Income Statement'!L40,3)</f>
        <v/>
      </c>
    </row>
    <row r="9">
      <c r="A9" s="13" t="inlineStr">
        <is>
          <t>Net income ties to filed figures (historical)</t>
        </is>
      </c>
      <c r="B9" s="25" t="inlineStr">
        <is>
          <t>$M</t>
        </is>
      </c>
      <c r="C9" s="6">
        <f>ROUND('Income Statement'!C28,3)</f>
        <v/>
      </c>
      <c r="D9" s="6">
        <f>ROUND('Income Statement'!D28,3)</f>
        <v/>
      </c>
      <c r="E9" s="6">
        <f>ROUND('Income Statement'!E28,3)</f>
        <v/>
      </c>
      <c r="F9" s="6">
        <f>ROUND('Income Statement'!F28,3)</f>
        <v/>
      </c>
    </row>
    <row r="10">
      <c r="A10" s="13" t="inlineStr">
        <is>
          <t>Operating cash flow ties to filed figures (historical)</t>
        </is>
      </c>
      <c r="B10" s="25" t="inlineStr">
        <is>
          <t>$M</t>
        </is>
      </c>
      <c r="C10" s="6">
        <f>ROUND('Cash Flow'!C20,3)</f>
        <v/>
      </c>
      <c r="D10" s="6">
        <f>ROUND('Cash Flow'!D20,3)</f>
        <v/>
      </c>
      <c r="E10" s="6">
        <f>ROUND('Cash Flow'!E20,3)</f>
        <v/>
      </c>
      <c r="F10" s="6">
        <f>ROUND('Cash Flow'!F20,3)</f>
        <v/>
      </c>
    </row>
    <row r="11">
      <c r="A11" s="13" t="inlineStr">
        <is>
          <t>Expense allocation percentages sum to 100%</t>
        </is>
      </c>
      <c r="B11" s="25" t="inlineStr">
        <is>
          <t>$M</t>
        </is>
      </c>
      <c r="G11" s="6">
        <f>ROUND('Assumptions'!$C$50+'Assumptions'!$C$51+'Assumptions'!$C$52+'Assumptions'!$C$53-1,6)+ROUND('Assumptions'!$C$63+'Assumptions'!$C$64+'Assumptions'!$C$65+'Assumptions'!$C$66-1,6)</f>
        <v/>
      </c>
    </row>
    <row r="12">
      <c r="A12" s="13" t="inlineStr">
        <is>
          <t>Accumulated deficit rolls with net income (Jun-26A → Dec-26E)</t>
        </is>
      </c>
      <c r="B12" s="25" t="inlineStr">
        <is>
          <t>$M</t>
        </is>
      </c>
      <c r="G12" s="6">
        <f>ROUND('Balance Sheet'!G32-'Balance Sheet'!F32-'Income Statement'!G26,3)</f>
        <v/>
      </c>
    </row>
    <row r="14">
      <c r="A14" s="5" t="inlineStr">
        <is>
          <t>OVERALL MODEL STATUS</t>
        </is>
      </c>
      <c r="C14" s="50">
        <f>IF(SUMPRODUCT(ABS(C6:L12))&lt;0.01,"OK – all checks pass","ERROR – review checks")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2026-11-01T18:06:07Z</dcterms:created>
  <dcterms:modified xsi:type="dcterms:W3CDTF">2026-11-01T18:06:07Z</dcterms:modified>
</cp:coreProperties>
</file>