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ffs Summary" sheetId="1" state="visible" r:id="rId1"/>
    <sheet name="Layoff Details by Dept" sheetId="2" state="visible" r:id="rId2"/>
    <sheet name="OpEx Analysis" sheetId="3" state="visible" r:id="rId3"/>
    <sheet name="OpEx Cut Focus" sheetId="4" state="visible" r:id="rId4"/>
    <sheet name="Company OpEx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&quot;$&quot;#,##0.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F5496"/>
      <sz val="11"/>
    </font>
    <font>
      <name val="Calibri"/>
      <b val="1"/>
      <color rgb="00C00000"/>
      <sz val="11"/>
    </font>
    <font>
      <name val="Calibri"/>
      <b val="1"/>
      <color rgb="002F5496"/>
      <sz val="12"/>
    </font>
    <font>
      <name val="Calibri"/>
      <i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EC"/>
        <bgColor rgb="00FCE4E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3" fontId="5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0" borderId="1" pivotButton="0" quotePrefix="0" xfId="0"/>
    <xf numFmtId="3" fontId="7" fillId="0" borderId="1" applyAlignment="1" pivotButton="0" quotePrefix="0" xfId="0">
      <alignment horizontal="center"/>
    </xf>
    <xf numFmtId="0" fontId="8" fillId="0" borderId="0" pivotButton="0" quotePrefix="0" xfId="0"/>
    <xf numFmtId="164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5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Mag 7 Layoffs by Company &amp;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'Layoffs Summary'!B4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Summary'!$B$5:$B$11</f>
            </numRef>
          </val>
        </ser>
        <ser>
          <idx val="1"/>
          <order val="1"/>
          <tx>
            <strRef>
              <f>'Layoffs Summary'!C4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Summary'!$C$5:$C$11</f>
            </numRef>
          </val>
        </ser>
        <ser>
          <idx val="2"/>
          <order val="2"/>
          <tx>
            <strRef>
              <f>'Layoffs Summary'!D4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Summary'!$D$5:$D$11</f>
            </numRef>
          </val>
        </ser>
        <ser>
          <idx val="3"/>
          <order val="3"/>
          <tx>
            <strRef>
              <f>'Layoffs Summary'!E4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Summary'!$E$5:$E$11</f>
            </numRef>
          </val>
        </ser>
        <ser>
          <idx val="4"/>
          <order val="4"/>
          <tx>
            <strRef>
              <f>'Layoffs Summary'!F4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Summary'!$F$5:$F$11</f>
            </numRef>
          </val>
        </ser>
        <ser>
          <idx val="5"/>
          <order val="5"/>
          <tx>
            <strRef>
              <f>'Layoffs Summary'!G4</f>
            </strRef>
          </tx>
          <spPr>
            <a:ln>
              <a:prstDash val="solid"/>
            </a:ln>
          </spPr>
          <cat>
            <numRef>
              <f>'Layoffs Summary'!$A$5:$A$11</f>
            </numRef>
          </cat>
          <val>
            <numRef>
              <f>'Layoffs Summary'!$G$5:$G$11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Employees Laid Off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Magnificent Seven — Layoffs Summary (2021-2026)</t>
        </is>
      </c>
    </row>
    <row r="2" ht="30" customHeight="1">
      <c r="A2" s="2" t="inlineStr">
        <is>
          <t>Sources: layoffs.fyi, company press releases, SEC filings (10-K headcount), news reports. 2026 data through Mar 2026. Figures are estimates based on best available public data.</t>
        </is>
      </c>
    </row>
    <row r="3"/>
    <row r="4">
      <c r="A4" s="3" t="inlineStr">
        <is>
          <t>Company</t>
        </is>
      </c>
      <c r="B4" s="3" t="n">
        <v>2021</v>
      </c>
      <c r="C4" s="3" t="n">
        <v>2022</v>
      </c>
      <c r="D4" s="3" t="n">
        <v>2023</v>
      </c>
      <c r="E4" s="3" t="n">
        <v>2024</v>
      </c>
      <c r="F4" s="3" t="n">
        <v>2025</v>
      </c>
      <c r="G4" s="3" t="inlineStr">
        <is>
          <t>2026 YTD</t>
        </is>
      </c>
      <c r="H4" s="3" t="inlineStr">
        <is>
          <t>Total (5yr)</t>
        </is>
      </c>
    </row>
    <row r="5">
      <c r="A5" s="4" t="inlineStr">
        <is>
          <t>Apple</t>
        </is>
      </c>
      <c r="B5" s="5" t="n">
        <v>0</v>
      </c>
      <c r="C5" s="5" t="n">
        <v>0</v>
      </c>
      <c r="D5" s="5" t="n">
        <v>100</v>
      </c>
      <c r="E5" s="5" t="n">
        <v>600</v>
      </c>
      <c r="F5" s="5" t="n">
        <v>200</v>
      </c>
      <c r="G5" s="5" t="n">
        <v>0</v>
      </c>
      <c r="H5" s="6" t="n">
        <v>900</v>
      </c>
    </row>
    <row r="6">
      <c r="A6" s="4" t="inlineStr">
        <is>
          <t>Microsoft</t>
        </is>
      </c>
      <c r="B6" s="5" t="n">
        <v>0</v>
      </c>
      <c r="C6" s="5" t="n">
        <v>1000</v>
      </c>
      <c r="D6" s="7" t="n">
        <v>10000</v>
      </c>
      <c r="E6" s="5" t="n">
        <v>2550</v>
      </c>
      <c r="F6" s="7" t="n">
        <v>6000</v>
      </c>
      <c r="G6" s="5" t="n">
        <v>1500</v>
      </c>
      <c r="H6" s="6" t="n">
        <v>21050</v>
      </c>
    </row>
    <row r="7">
      <c r="A7" s="4" t="inlineStr">
        <is>
          <t>Alphabet (Google)</t>
        </is>
      </c>
      <c r="B7" s="5" t="n">
        <v>0</v>
      </c>
      <c r="C7" s="5" t="n">
        <v>0</v>
      </c>
      <c r="D7" s="7" t="n">
        <v>12000</v>
      </c>
      <c r="E7" s="5" t="n">
        <v>2500</v>
      </c>
      <c r="F7" s="5" t="n">
        <v>2000</v>
      </c>
      <c r="G7" s="5" t="n">
        <v>1000</v>
      </c>
      <c r="H7" s="6" t="n">
        <v>17500</v>
      </c>
    </row>
    <row r="8">
      <c r="A8" s="4" t="inlineStr">
        <is>
          <t>Amazon</t>
        </is>
      </c>
      <c r="B8" s="5" t="n">
        <v>0</v>
      </c>
      <c r="C8" s="7" t="n">
        <v>10000</v>
      </c>
      <c r="D8" s="7" t="n">
        <v>27000</v>
      </c>
      <c r="E8" s="5" t="n">
        <v>2000</v>
      </c>
      <c r="F8" s="5" t="n">
        <v>3000</v>
      </c>
      <c r="G8" s="7" t="n">
        <v>16000</v>
      </c>
      <c r="H8" s="6" t="n">
        <v>58000</v>
      </c>
    </row>
    <row r="9">
      <c r="A9" s="4" t="inlineStr">
        <is>
          <t>Meta</t>
        </is>
      </c>
      <c r="B9" s="5" t="n">
        <v>0</v>
      </c>
      <c r="C9" s="7" t="n">
        <v>11000</v>
      </c>
      <c r="D9" s="7" t="n">
        <v>10000</v>
      </c>
      <c r="E9" s="5" t="n">
        <v>700</v>
      </c>
      <c r="F9" s="5" t="n">
        <v>3600</v>
      </c>
      <c r="G9" s="7" t="n">
        <v>5100</v>
      </c>
      <c r="H9" s="6" t="n">
        <v>30400</v>
      </c>
    </row>
    <row r="10">
      <c r="A10" s="4" t="inlineStr">
        <is>
          <t>Tesla</t>
        </is>
      </c>
      <c r="B10" s="5" t="n">
        <v>0</v>
      </c>
      <c r="C10" s="5" t="n">
        <v>200</v>
      </c>
      <c r="D10" s="5" t="n">
        <v>500</v>
      </c>
      <c r="E10" s="7" t="n">
        <v>14000</v>
      </c>
      <c r="F10" s="5" t="n">
        <v>2500</v>
      </c>
      <c r="G10" s="5" t="n">
        <v>500</v>
      </c>
      <c r="H10" s="6" t="n">
        <v>17700</v>
      </c>
    </row>
    <row r="11">
      <c r="A11" s="4" t="inlineStr">
        <is>
          <t>Nvidia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6" t="n">
        <v>0</v>
      </c>
    </row>
    <row r="12">
      <c r="A12" s="8" t="inlineStr">
        <is>
          <t>TOTAL (Mag 7)</t>
        </is>
      </c>
      <c r="B12" s="6" t="n">
        <v>0</v>
      </c>
      <c r="C12" s="6" t="n">
        <v>22200</v>
      </c>
      <c r="D12" s="6" t="n">
        <v>59600</v>
      </c>
      <c r="E12" s="6" t="n">
        <v>22350</v>
      </c>
      <c r="F12" s="6" t="n">
        <v>17300</v>
      </c>
      <c r="G12" s="6" t="n">
        <v>24100</v>
      </c>
      <c r="H12" s="9" t="n">
        <v>145550</v>
      </c>
    </row>
    <row r="13"/>
    <row r="14"/>
    <row r="15">
      <c r="A15" s="10" t="inlineStr">
        <is>
          <t>Year-End Headcount (thousands)</t>
        </is>
      </c>
    </row>
    <row r="16">
      <c r="A16" s="3" t="inlineStr">
        <is>
          <t>Company</t>
        </is>
      </c>
      <c r="B16" s="3" t="n">
        <v>2021</v>
      </c>
      <c r="C16" s="3" t="n">
        <v>2022</v>
      </c>
      <c r="D16" s="3" t="n">
        <v>2023</v>
      </c>
      <c r="E16" s="3" t="n">
        <v>2024</v>
      </c>
      <c r="F16" s="3" t="n">
        <v>2025</v>
      </c>
      <c r="G16" s="3" t="inlineStr">
        <is>
          <t>2026 YTD</t>
        </is>
      </c>
    </row>
    <row r="17">
      <c r="A17" s="4" t="inlineStr">
        <is>
          <t>Apple</t>
        </is>
      </c>
      <c r="B17" s="11" t="n">
        <v>154</v>
      </c>
      <c r="C17" s="11" t="n">
        <v>164</v>
      </c>
      <c r="D17" s="11" t="n">
        <v>161</v>
      </c>
      <c r="E17" s="11" t="n">
        <v>164</v>
      </c>
      <c r="F17" s="11" t="n">
        <v>164</v>
      </c>
      <c r="G17" s="12" t="inlineStr">
        <is>
          <t>N/A</t>
        </is>
      </c>
    </row>
    <row r="18">
      <c r="A18" s="4" t="inlineStr">
        <is>
          <t>Microsoft</t>
        </is>
      </c>
      <c r="B18" s="11" t="n">
        <v>181</v>
      </c>
      <c r="C18" s="11" t="n">
        <v>221</v>
      </c>
      <c r="D18" s="11" t="n">
        <v>228</v>
      </c>
      <c r="E18" s="11" t="n">
        <v>228</v>
      </c>
      <c r="F18" s="11" t="n">
        <v>228</v>
      </c>
      <c r="G18" s="12" t="inlineStr">
        <is>
          <t>N/A</t>
        </is>
      </c>
    </row>
    <row r="19">
      <c r="A19" s="4" t="inlineStr">
        <is>
          <t>Alphabet (Google)</t>
        </is>
      </c>
      <c r="B19" s="11" t="n">
        <v>156.5</v>
      </c>
      <c r="C19" s="11" t="n">
        <v>190.2</v>
      </c>
      <c r="D19" s="11" t="n">
        <v>182.5</v>
      </c>
      <c r="E19" s="11" t="n">
        <v>183.3</v>
      </c>
      <c r="F19" s="11" t="n">
        <v>185</v>
      </c>
      <c r="G19" s="12" t="inlineStr">
        <is>
          <t>N/A</t>
        </is>
      </c>
    </row>
    <row r="20">
      <c r="A20" s="4" t="inlineStr">
        <is>
          <t>Amazon</t>
        </is>
      </c>
      <c r="B20" s="11" t="n">
        <v>1608</v>
      </c>
      <c r="C20" s="11" t="n">
        <v>1541</v>
      </c>
      <c r="D20" s="11" t="n">
        <v>1525</v>
      </c>
      <c r="E20" s="11" t="n">
        <v>1556</v>
      </c>
      <c r="F20" s="11" t="n">
        <v>1576</v>
      </c>
      <c r="G20" s="12" t="inlineStr">
        <is>
          <t>N/A</t>
        </is>
      </c>
    </row>
    <row r="21">
      <c r="A21" s="4" t="inlineStr">
        <is>
          <t>Meta</t>
        </is>
      </c>
      <c r="B21" s="11" t="n">
        <v>72</v>
      </c>
      <c r="C21" s="11" t="n">
        <v>86.5</v>
      </c>
      <c r="D21" s="11" t="n">
        <v>67.3</v>
      </c>
      <c r="E21" s="11" t="n">
        <v>74.09999999999999</v>
      </c>
      <c r="F21" s="11" t="n">
        <v>77</v>
      </c>
      <c r="G21" s="12" t="inlineStr">
        <is>
          <t>N/A</t>
        </is>
      </c>
    </row>
    <row r="22">
      <c r="A22" s="4" t="inlineStr">
        <is>
          <t>Tesla</t>
        </is>
      </c>
      <c r="B22" s="11" t="n">
        <v>99.3</v>
      </c>
      <c r="C22" s="11" t="n">
        <v>127.9</v>
      </c>
      <c r="D22" s="11" t="n">
        <v>140.5</v>
      </c>
      <c r="E22" s="11" t="n">
        <v>125.7</v>
      </c>
      <c r="F22" s="11" t="n">
        <v>128</v>
      </c>
      <c r="G22" s="12" t="inlineStr">
        <is>
          <t>N/A</t>
        </is>
      </c>
    </row>
    <row r="23">
      <c r="A23" s="4" t="inlineStr">
        <is>
          <t>Nvidia</t>
        </is>
      </c>
      <c r="B23" s="11" t="n">
        <v>22.5</v>
      </c>
      <c r="C23" s="11" t="n">
        <v>26.2</v>
      </c>
      <c r="D23" s="11" t="n">
        <v>29.6</v>
      </c>
      <c r="E23" s="11" t="n">
        <v>32.3</v>
      </c>
      <c r="F23" s="11" t="n">
        <v>36</v>
      </c>
      <c r="G23" s="12" t="inlineStr">
        <is>
          <t>N/A</t>
        </is>
      </c>
    </row>
  </sheetData>
  <mergeCells count="3">
    <mergeCell ref="A15:H15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0" customWidth="1" min="3" max="3"/>
  </cols>
  <sheetData>
    <row r="1">
      <c r="A1" s="1" t="inlineStr">
        <is>
          <t>Layoff Details — Departments &amp; Divisions Affected</t>
        </is>
      </c>
    </row>
    <row r="3">
      <c r="A3" s="3" t="inlineStr">
        <is>
          <t>Company</t>
        </is>
      </c>
      <c r="B3" s="3" t="inlineStr">
        <is>
          <t>Year</t>
        </is>
      </c>
      <c r="C3" s="3" t="inlineStr">
        <is>
          <t>Details / Departments Affected</t>
        </is>
      </c>
    </row>
    <row r="4" ht="32" customHeight="1">
      <c r="A4" s="4" t="inlineStr">
        <is>
          <t>Apple</t>
        </is>
      </c>
      <c r="B4" s="13" t="n">
        <v>2023</v>
      </c>
      <c r="C4" s="14" t="inlineStr">
        <is>
          <t>Retail corporate (~100 roles)</t>
        </is>
      </c>
    </row>
    <row r="5" ht="32" customHeight="1">
      <c r="A5" s="15" t="inlineStr"/>
      <c r="B5" s="13" t="n">
        <v>2024</v>
      </c>
      <c r="C5" s="14" t="inlineStr">
        <is>
          <t>Project Titan (self-driving car) cancelled: ~600 employees; some services roles</t>
        </is>
      </c>
    </row>
    <row r="6" ht="32" customHeight="1">
      <c r="A6" s="15" t="inlineStr"/>
      <c r="B6" s="13" t="n">
        <v>2025</v>
      </c>
      <c r="C6" s="14" t="inlineStr">
        <is>
          <t>Small cuts in digital services, corporate functions</t>
        </is>
      </c>
    </row>
    <row r="8" ht="32" customHeight="1">
      <c r="A8" s="4" t="inlineStr">
        <is>
          <t>Microsoft</t>
        </is>
      </c>
      <c r="B8" s="13" t="n">
        <v>2022</v>
      </c>
      <c r="C8" s="14" t="inlineStr">
        <is>
          <t>Various divisions (~1,000 across consulting, HR, edge cases)</t>
        </is>
      </c>
    </row>
    <row r="9" ht="32" customHeight="1">
      <c r="A9" s="15" t="inlineStr"/>
      <c r="B9" s="13" t="n">
        <v>2023</v>
      </c>
      <c r="C9" s="14" t="inlineStr">
        <is>
          <t>10,000 across HoloLens, Xbox, HR, engineering, advertising (Jan 2023)</t>
        </is>
      </c>
    </row>
    <row r="10" ht="32" customHeight="1">
      <c r="A10" s="15" t="inlineStr"/>
      <c r="B10" s="13" t="n">
        <v>2024</v>
      </c>
      <c r="C10" s="14" t="inlineStr">
        <is>
          <t>1,900 in Gaming (Activision Blizzard / Xbox); ~650 in Azure &amp; corporate</t>
        </is>
      </c>
    </row>
    <row r="11" ht="32" customHeight="1">
      <c r="A11" s="15" t="inlineStr"/>
      <c r="B11" s="13" t="n">
        <v>2025</v>
      </c>
      <c r="C11" s="14" t="inlineStr">
        <is>
          <t>~6,000 across Azure, sales &amp; marketing, LinkedIn, security, and management layers</t>
        </is>
      </c>
    </row>
    <row r="12" ht="32" customHeight="1">
      <c r="A12" s="15" t="inlineStr"/>
      <c r="B12" s="13" t="inlineStr">
        <is>
          <t>2026 YTD</t>
        </is>
      </c>
      <c r="C12" s="14" t="inlineStr">
        <is>
          <t>~1,000-1,500 across various divisions in Q1</t>
        </is>
      </c>
    </row>
    <row r="14" ht="32" customHeight="1">
      <c r="A14" s="4" t="inlineStr">
        <is>
          <t>Alphabet (Google)</t>
        </is>
      </c>
      <c r="B14" s="13" t="n">
        <v>2023</v>
      </c>
      <c r="C14" s="14" t="inlineStr">
        <is>
          <t>12,000 cut (6% of workforce): engineering, product, recruiting, corporate functions (Jan 2023)</t>
        </is>
      </c>
    </row>
    <row r="15" ht="32" customHeight="1">
      <c r="A15" s="15" t="inlineStr"/>
      <c r="B15" s="13" t="n">
        <v>2024</v>
      </c>
      <c r="C15" s="14" t="inlineStr">
        <is>
          <t>~2,500 across Pixel, Android, Cloud, and central engineering teams</t>
        </is>
      </c>
    </row>
    <row r="16" ht="32" customHeight="1">
      <c r="A16" s="15" t="inlineStr"/>
      <c r="B16" s="13" t="n">
        <v>2025</v>
      </c>
      <c r="C16" s="14" t="inlineStr">
        <is>
          <t>~2,000+: Android/Pixel, Cloud design/UX, AI contractors, 35% of small-team managers eliminated</t>
        </is>
      </c>
    </row>
    <row r="17" ht="32" customHeight="1">
      <c r="A17" s="15" t="inlineStr"/>
      <c r="B17" s="13" t="inlineStr">
        <is>
          <t>2026 YTD</t>
        </is>
      </c>
      <c r="C17" s="14" t="inlineStr">
        <is>
          <t>Ongoing restructuring across multiple divisions in Q1</t>
        </is>
      </c>
    </row>
    <row r="19" ht="32" customHeight="1">
      <c r="A19" s="4" t="inlineStr">
        <is>
          <t>Amazon</t>
        </is>
      </c>
      <c r="B19" s="13" t="n">
        <v>2022</v>
      </c>
      <c r="C19" s="14" t="inlineStr">
        <is>
          <t>~10,000 announced Nov-Dec 2022: devices (Alexa), retail corporate, HR</t>
        </is>
      </c>
    </row>
    <row r="20" ht="32" customHeight="1">
      <c r="A20" s="15" t="inlineStr"/>
      <c r="B20" s="13" t="n">
        <v>2023</v>
      </c>
      <c r="C20" s="14" t="inlineStr">
        <is>
          <t>27,000 total (18K Jan + 9K Mar): HR, PXT, retail stores, AWS, Twitch, advertising</t>
        </is>
      </c>
    </row>
    <row r="21" ht="32" customHeight="1">
      <c r="A21" s="15" t="inlineStr"/>
      <c r="B21" s="13" t="n">
        <v>2024</v>
      </c>
      <c r="C21" s="14" t="inlineStr">
        <is>
          <t>~2,000 across AWS, Prime Video, Alexa/devices (Buy with Prime, One Medical)</t>
        </is>
      </c>
    </row>
    <row r="22" ht="32" customHeight="1">
      <c r="A22" s="15" t="inlineStr"/>
      <c r="B22" s="13" t="n">
        <v>2025</v>
      </c>
      <c r="C22" s="14" t="inlineStr">
        <is>
          <t>~3,000 across corporate, comms, sustainability, and various divisions</t>
        </is>
      </c>
    </row>
    <row r="23" ht="32" customHeight="1">
      <c r="A23" s="15" t="inlineStr"/>
      <c r="B23" s="13" t="inlineStr">
        <is>
          <t>2026 YTD</t>
        </is>
      </c>
      <c r="C23" s="14" t="inlineStr">
        <is>
          <t>~16,000: largest single-year tech layoff in 2026, across retail, corporate, AWS</t>
        </is>
      </c>
    </row>
    <row r="25" ht="32" customHeight="1">
      <c r="A25" s="4" t="inlineStr">
        <is>
          <t>Meta</t>
        </is>
      </c>
      <c r="B25" s="13" t="n">
        <v>2022</v>
      </c>
      <c r="C25" s="14" t="inlineStr">
        <is>
          <t>11,000 (13% of workforce, Nov 2022): recruiting, business/corporate, engineering</t>
        </is>
      </c>
    </row>
    <row r="26" ht="32" customHeight="1">
      <c r="A26" s="15" t="inlineStr"/>
      <c r="B26" s="13" t="n">
        <v>2023</v>
      </c>
      <c r="C26" s="14" t="inlineStr">
        <is>
          <t>10,000 ('Year of Efficiency'): tech teams, recruiting, business roles, management flattening</t>
        </is>
      </c>
    </row>
    <row r="27" ht="32" customHeight="1">
      <c r="A27" s="15" t="inlineStr"/>
      <c r="B27" s="13" t="n">
        <v>2024</v>
      </c>
      <c r="C27" s="14" t="inlineStr">
        <is>
          <t>~700: selective performance-based cuts across product teams</t>
        </is>
      </c>
    </row>
    <row r="28" ht="32" customHeight="1">
      <c r="A28" s="15" t="inlineStr"/>
      <c r="B28" s="13" t="n">
        <v>2025</v>
      </c>
      <c r="C28" s="14" t="inlineStr">
        <is>
          <t>~3,600: 'low performers' across all divisions (Feb 2025)</t>
        </is>
      </c>
    </row>
    <row r="29" ht="32" customHeight="1">
      <c r="A29" s="15" t="inlineStr"/>
      <c r="B29" s="13" t="inlineStr">
        <is>
          <t>2026 YTD</t>
        </is>
      </c>
      <c r="C29" s="14" t="inlineStr">
        <is>
          <t>~5,100: 1,500 from Reality Labs (Jan) + 3,600 across divisions (Feb)</t>
        </is>
      </c>
    </row>
    <row r="31" ht="32" customHeight="1">
      <c r="A31" s="4" t="inlineStr">
        <is>
          <t>Tesla</t>
        </is>
      </c>
      <c r="B31" s="13" t="n">
        <v>2022</v>
      </c>
      <c r="C31" s="14" t="inlineStr">
        <is>
          <t>~200: Autopilot data labeling team (San Mateo office closure)</t>
        </is>
      </c>
    </row>
    <row r="32" ht="32" customHeight="1">
      <c r="A32" s="15" t="inlineStr"/>
      <c r="B32" s="13" t="n">
        <v>2023</v>
      </c>
      <c r="C32" s="14" t="inlineStr">
        <is>
          <t>~500: minor trims across operations</t>
        </is>
      </c>
    </row>
    <row r="33" ht="32" customHeight="1">
      <c r="A33" s="15" t="inlineStr"/>
      <c r="B33" s="13" t="n">
        <v>2024</v>
      </c>
      <c r="C33" s="14" t="inlineStr">
        <is>
          <t>~14,000 (10%+ of workforce, Apr 2024): Supercharger team, engineering, manufacturing, sales</t>
        </is>
      </c>
    </row>
    <row r="34" ht="32" customHeight="1">
      <c r="A34" s="15" t="inlineStr"/>
      <c r="B34" s="13" t="n">
        <v>2025</v>
      </c>
      <c r="C34" s="14" t="inlineStr">
        <is>
          <t>~2,500: ongoing restructuring in energy, manufacturing, and operations</t>
        </is>
      </c>
    </row>
    <row r="36">
      <c r="A36" s="4" t="inlineStr">
        <is>
          <t>Nvidia</t>
        </is>
      </c>
      <c r="B36" s="16" t="inlineStr">
        <is>
          <t>2021-2026</t>
        </is>
      </c>
      <c r="C36" s="14" t="inlineStr">
        <is>
          <t>No significant layoffs — headcount grew every year driven by AI/GPU demand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14" customWidth="1" min="9" max="9"/>
  </cols>
  <sheetData>
    <row r="1">
      <c r="A1" s="1" t="inlineStr">
        <is>
          <t>Mag 7 — Operating Expense Breakdown ($B)</t>
        </is>
      </c>
    </row>
    <row r="2" ht="30" customHeight="1">
      <c r="A2" s="2" t="inlineStr">
        <is>
          <t>Sources: 10-K annual filings. MSFT FY ends Jun 30; NVDA FY ends Jan; AAPL FY ends Sep. 2025 figures include estimates where full-year filings not yet available. 2026 YTD omitted.</t>
        </is>
      </c>
    </row>
    <row r="3"/>
    <row r="4">
      <c r="A4" s="17" t="inlineStr">
        <is>
          <t>Research &amp; Development (R&amp;D)</t>
        </is>
      </c>
    </row>
    <row r="5">
      <c r="A5" s="3" t="inlineStr">
        <is>
          <t>Company</t>
        </is>
      </c>
      <c r="B5" s="3" t="n">
        <v>2021</v>
      </c>
      <c r="C5" s="3" t="n">
        <v>2022</v>
      </c>
      <c r="D5" s="3" t="n">
        <v>2023</v>
      </c>
      <c r="E5" s="3" t="n">
        <v>2024</v>
      </c>
      <c r="F5" s="3" t="n">
        <v>2025</v>
      </c>
      <c r="G5" s="3" t="inlineStr">
        <is>
          <t>2022→2023 Δ%</t>
        </is>
      </c>
      <c r="H5" s="3" t="inlineStr">
        <is>
          <t>2023→2024 Δ%</t>
        </is>
      </c>
    </row>
    <row r="6">
      <c r="A6" s="4" t="inlineStr">
        <is>
          <t>Apple</t>
        </is>
      </c>
      <c r="B6" s="18" t="n">
        <v>21.9</v>
      </c>
      <c r="C6" s="18" t="n">
        <v>26.3</v>
      </c>
      <c r="D6" s="18" t="n">
        <v>29.9</v>
      </c>
      <c r="E6" s="18" t="n">
        <v>31.4</v>
      </c>
      <c r="F6" s="18" t="n">
        <v>33</v>
      </c>
      <c r="G6" s="19" t="n">
        <v>0.1368821292775665</v>
      </c>
      <c r="H6" s="19" t="n">
        <v>0.05016722408026756</v>
      </c>
    </row>
    <row r="7">
      <c r="A7" s="4" t="inlineStr">
        <is>
          <t>Microsoft</t>
        </is>
      </c>
      <c r="B7" s="18" t="n">
        <v>20.7</v>
      </c>
      <c r="C7" s="18" t="n">
        <v>24.5</v>
      </c>
      <c r="D7" s="18" t="n">
        <v>27.2</v>
      </c>
      <c r="E7" s="18" t="n">
        <v>29.5</v>
      </c>
      <c r="F7" s="18" t="n">
        <v>32</v>
      </c>
      <c r="G7" s="19" t="n">
        <v>0.110204081632653</v>
      </c>
      <c r="H7" s="19" t="n">
        <v>0.0845588235294118</v>
      </c>
    </row>
    <row r="8">
      <c r="A8" s="4" t="inlineStr">
        <is>
          <t>Alphabet (Google)</t>
        </is>
      </c>
      <c r="B8" s="18" t="n">
        <v>31.6</v>
      </c>
      <c r="C8" s="18" t="n">
        <v>39.5</v>
      </c>
      <c r="D8" s="18" t="n">
        <v>45.4</v>
      </c>
      <c r="E8" s="18" t="n">
        <v>45</v>
      </c>
      <c r="F8" s="18" t="n">
        <v>48</v>
      </c>
      <c r="G8" s="19" t="n">
        <v>0.1493670886075949</v>
      </c>
      <c r="H8" s="19" t="n">
        <v>-0.008810572687224639</v>
      </c>
    </row>
    <row r="9">
      <c r="A9" s="4" t="inlineStr">
        <is>
          <t>Amazon</t>
        </is>
      </c>
      <c r="B9" s="18" t="n">
        <v>56.1</v>
      </c>
      <c r="C9" s="18" t="n">
        <v>73.2</v>
      </c>
      <c r="D9" s="18" t="n">
        <v>85.59999999999999</v>
      </c>
      <c r="E9" s="18" t="n">
        <v>88</v>
      </c>
      <c r="F9" s="18" t="n">
        <v>92</v>
      </c>
      <c r="G9" s="19" t="n">
        <v>0.169398907103825</v>
      </c>
      <c r="H9" s="19" t="n">
        <v>0.02803738317757016</v>
      </c>
    </row>
    <row r="10">
      <c r="A10" s="4" t="inlineStr">
        <is>
          <t>Meta</t>
        </is>
      </c>
      <c r="B10" s="18" t="n">
        <v>24.7</v>
      </c>
      <c r="C10" s="18" t="n">
        <v>35.3</v>
      </c>
      <c r="D10" s="18" t="n">
        <v>38.5</v>
      </c>
      <c r="E10" s="18" t="n">
        <v>42.1</v>
      </c>
      <c r="F10" s="18" t="n">
        <v>46</v>
      </c>
      <c r="G10" s="19" t="n">
        <v>0.09065155807365448</v>
      </c>
      <c r="H10" s="19" t="n">
        <v>0.09350649350649354</v>
      </c>
    </row>
    <row r="11">
      <c r="A11" s="4" t="inlineStr">
        <is>
          <t>Tesla</t>
        </is>
      </c>
      <c r="B11" s="18" t="n">
        <v>2.6</v>
      </c>
      <c r="C11" s="18" t="n">
        <v>3.1</v>
      </c>
      <c r="D11" s="18" t="n">
        <v>3.97</v>
      </c>
      <c r="E11" s="18" t="n">
        <v>4.6</v>
      </c>
      <c r="F11" s="18" t="n">
        <v>5.2</v>
      </c>
      <c r="G11" s="19" t="n">
        <v>0.2806451612903226</v>
      </c>
      <c r="H11" s="19" t="n">
        <v>0.158690176322418</v>
      </c>
    </row>
    <row r="12">
      <c r="A12" s="4" t="inlineStr">
        <is>
          <t>Nvidia</t>
        </is>
      </c>
      <c r="B12" s="18" t="n">
        <v>5.3</v>
      </c>
      <c r="C12" s="18" t="n">
        <v>7.3</v>
      </c>
      <c r="D12" s="18" t="n">
        <v>8.699999999999999</v>
      </c>
      <c r="E12" s="18" t="n">
        <v>12.9</v>
      </c>
      <c r="F12" s="18" t="n">
        <v>17.5</v>
      </c>
      <c r="G12" s="19" t="n">
        <v>0.1917808219178082</v>
      </c>
      <c r="H12" s="19" t="n">
        <v>0.4827586206896554</v>
      </c>
    </row>
    <row r="13"/>
    <row r="14"/>
    <row r="15">
      <c r="A15" s="17" t="inlineStr">
        <is>
          <t>Selling, General &amp; Administrative (SG&amp;A)</t>
        </is>
      </c>
    </row>
    <row r="16">
      <c r="A16" s="3" t="inlineStr">
        <is>
          <t>Company</t>
        </is>
      </c>
      <c r="B16" s="3" t="n">
        <v>2021</v>
      </c>
      <c r="C16" s="3" t="n">
        <v>2022</v>
      </c>
      <c r="D16" s="3" t="n">
        <v>2023</v>
      </c>
      <c r="E16" s="3" t="n">
        <v>2024</v>
      </c>
      <c r="F16" s="3" t="n">
        <v>2025</v>
      </c>
      <c r="G16" s="3" t="inlineStr">
        <is>
          <t>2022→2023 Δ%</t>
        </is>
      </c>
      <c r="H16" s="3" t="inlineStr">
        <is>
          <t>2023→2024 Δ%</t>
        </is>
      </c>
    </row>
    <row r="17">
      <c r="A17" s="4" t="inlineStr">
        <is>
          <t>Apple</t>
        </is>
      </c>
      <c r="B17" s="18" t="n">
        <v>21.9</v>
      </c>
      <c r="C17" s="18" t="n">
        <v>25.1</v>
      </c>
      <c r="D17" s="18" t="n">
        <v>24.9</v>
      </c>
      <c r="E17" s="18" t="n">
        <v>26.1</v>
      </c>
      <c r="F17" s="18" t="n">
        <v>27</v>
      </c>
      <c r="G17" s="19" t="n">
        <v>-0.007968127490039953</v>
      </c>
      <c r="H17" s="19" t="n">
        <v>0.04819277108433746</v>
      </c>
    </row>
    <row r="18">
      <c r="A18" s="4" t="inlineStr">
        <is>
          <t>Microsoft</t>
        </is>
      </c>
      <c r="B18" s="18" t="n">
        <v>20.1</v>
      </c>
      <c r="C18" s="18" t="n">
        <v>21.8</v>
      </c>
      <c r="D18" s="18" t="n">
        <v>22.8</v>
      </c>
      <c r="E18" s="18" t="n">
        <v>24</v>
      </c>
      <c r="F18" s="18" t="n">
        <v>25.5</v>
      </c>
      <c r="G18" s="19" t="n">
        <v>0.04587155963302752</v>
      </c>
      <c r="H18" s="19" t="n">
        <v>0.05263157894736839</v>
      </c>
    </row>
    <row r="19">
      <c r="A19" s="4" t="inlineStr">
        <is>
          <t>Alphabet (Google)</t>
        </is>
      </c>
      <c r="B19" s="18" t="n">
        <v>17.9</v>
      </c>
      <c r="C19" s="18" t="n">
        <v>21</v>
      </c>
      <c r="D19" s="18" t="n">
        <v>20.1</v>
      </c>
      <c r="E19" s="18" t="n">
        <v>19.5</v>
      </c>
      <c r="F19" s="18" t="n">
        <v>20</v>
      </c>
      <c r="G19" s="19" t="n">
        <v>-0.04285714285714279</v>
      </c>
      <c r="H19" s="19" t="n">
        <v>-0.02985074626865679</v>
      </c>
    </row>
    <row r="20">
      <c r="A20" s="4" t="inlineStr">
        <is>
          <t>Amazon</t>
        </is>
      </c>
      <c r="B20" s="18" t="n">
        <v>41.4</v>
      </c>
      <c r="C20" s="18" t="n">
        <v>43.7</v>
      </c>
      <c r="D20" s="18" t="n">
        <v>34.5</v>
      </c>
      <c r="E20" s="18" t="n">
        <v>36</v>
      </c>
      <c r="F20" s="18" t="n">
        <v>38</v>
      </c>
      <c r="G20" s="20" t="n">
        <v>-0.2105263157894737</v>
      </c>
      <c r="H20" s="19" t="n">
        <v>0.04347826086956522</v>
      </c>
    </row>
    <row r="21">
      <c r="A21" s="4" t="inlineStr">
        <is>
          <t>Meta</t>
        </is>
      </c>
      <c r="B21" s="18" t="n">
        <v>12.1</v>
      </c>
      <c r="C21" s="18" t="n">
        <v>15.7</v>
      </c>
      <c r="D21" s="18" t="n">
        <v>11.2</v>
      </c>
      <c r="E21" s="18" t="n">
        <v>12.3</v>
      </c>
      <c r="F21" s="18" t="n">
        <v>13</v>
      </c>
      <c r="G21" s="20" t="n">
        <v>-0.286624203821656</v>
      </c>
      <c r="H21" s="19" t="n">
        <v>0.09821428571428585</v>
      </c>
    </row>
    <row r="22">
      <c r="A22" s="4" t="inlineStr">
        <is>
          <t>Tesla</t>
        </is>
      </c>
      <c r="B22" s="18" t="n">
        <v>4.5</v>
      </c>
      <c r="C22" s="18" t="n">
        <v>3.9</v>
      </c>
      <c r="D22" s="18" t="n">
        <v>4.8</v>
      </c>
      <c r="E22" s="18" t="n">
        <v>4.6</v>
      </c>
      <c r="F22" s="18" t="n">
        <v>4.8</v>
      </c>
      <c r="G22" s="19" t="n">
        <v>0.2307692307692308</v>
      </c>
      <c r="H22" s="19" t="n">
        <v>-0.04166666666666671</v>
      </c>
    </row>
    <row r="23">
      <c r="A23" s="4" t="inlineStr">
        <is>
          <t>Nvidia</t>
        </is>
      </c>
      <c r="B23" s="18" t="n">
        <v>2.2</v>
      </c>
      <c r="C23" s="18" t="n">
        <v>2.4</v>
      </c>
      <c r="D23" s="18" t="n">
        <v>2.7</v>
      </c>
      <c r="E23" s="18" t="n">
        <v>3.4</v>
      </c>
      <c r="F23" s="18" t="n">
        <v>4.4</v>
      </c>
      <c r="G23" s="19" t="n">
        <v>0.1250000000000001</v>
      </c>
      <c r="H23" s="19" t="n">
        <v>0.2592592592592591</v>
      </c>
    </row>
    <row r="24"/>
    <row r="25"/>
    <row r="26">
      <c r="A26" s="17" t="inlineStr">
        <is>
          <t>Cost of Revenue / COGS</t>
        </is>
      </c>
    </row>
    <row r="27">
      <c r="A27" s="3" t="inlineStr">
        <is>
          <t>Company</t>
        </is>
      </c>
      <c r="B27" s="3" t="n">
        <v>2021</v>
      </c>
      <c r="C27" s="3" t="n">
        <v>2022</v>
      </c>
      <c r="D27" s="3" t="n">
        <v>2023</v>
      </c>
      <c r="E27" s="3" t="n">
        <v>2024</v>
      </c>
      <c r="F27" s="3" t="n">
        <v>2025</v>
      </c>
      <c r="G27" s="3" t="inlineStr">
        <is>
          <t>2022→2023 Δ%</t>
        </is>
      </c>
      <c r="H27" s="3" t="inlineStr">
        <is>
          <t>2023→2024 Δ%</t>
        </is>
      </c>
    </row>
    <row r="28">
      <c r="A28" s="4" t="inlineStr">
        <is>
          <t>Apple</t>
        </is>
      </c>
      <c r="B28" s="18" t="n">
        <v>212.9</v>
      </c>
      <c r="C28" s="18" t="n">
        <v>223.5</v>
      </c>
      <c r="D28" s="18" t="n">
        <v>214.1</v>
      </c>
      <c r="E28" s="18" t="n">
        <v>210.4</v>
      </c>
      <c r="F28" s="18" t="n">
        <v>220</v>
      </c>
      <c r="G28" s="19" t="n">
        <v>-0.04205816554809846</v>
      </c>
      <c r="H28" s="19" t="n">
        <v>-0.01728164409154595</v>
      </c>
    </row>
    <row r="29">
      <c r="A29" s="4" t="inlineStr">
        <is>
          <t>Microsoft</t>
        </is>
      </c>
      <c r="B29" s="18" t="n">
        <v>64.09999999999999</v>
      </c>
      <c r="C29" s="18" t="n">
        <v>74.09999999999999</v>
      </c>
      <c r="D29" s="18" t="n">
        <v>79.09999999999999</v>
      </c>
      <c r="E29" s="18" t="n">
        <v>83</v>
      </c>
      <c r="F29" s="18" t="n">
        <v>89</v>
      </c>
      <c r="G29" s="19" t="n">
        <v>0.06747638326585695</v>
      </c>
      <c r="H29" s="19" t="n">
        <v>0.04930467762326177</v>
      </c>
    </row>
    <row r="30">
      <c r="A30" s="4" t="inlineStr">
        <is>
          <t>Alphabet (Google)</t>
        </is>
      </c>
      <c r="B30" s="18" t="n">
        <v>110.9</v>
      </c>
      <c r="C30" s="18" t="n">
        <v>126.2</v>
      </c>
      <c r="D30" s="18" t="n">
        <v>133.3</v>
      </c>
      <c r="E30" s="18" t="n">
        <v>138.9</v>
      </c>
      <c r="F30" s="18" t="n">
        <v>148</v>
      </c>
      <c r="G30" s="19" t="n">
        <v>0.05625990491283683</v>
      </c>
      <c r="H30" s="19" t="n">
        <v>0.04201050262565637</v>
      </c>
    </row>
    <row r="31">
      <c r="A31" s="4" t="inlineStr">
        <is>
          <t>Amazon</t>
        </is>
      </c>
      <c r="B31" s="18" t="n">
        <v>272.3</v>
      </c>
      <c r="C31" s="18" t="n">
        <v>288.8</v>
      </c>
      <c r="D31" s="18" t="n">
        <v>304.7</v>
      </c>
      <c r="E31" s="18" t="n">
        <v>315</v>
      </c>
      <c r="F31" s="18" t="n">
        <v>335</v>
      </c>
      <c r="G31" s="19" t="n">
        <v>0.05505540166204978</v>
      </c>
      <c r="H31" s="19" t="n">
        <v>0.03380374138496886</v>
      </c>
    </row>
    <row r="32">
      <c r="A32" s="4" t="inlineStr">
        <is>
          <t>Meta</t>
        </is>
      </c>
      <c r="B32" s="18" t="n">
        <v>16.7</v>
      </c>
      <c r="C32" s="18" t="n">
        <v>25.2</v>
      </c>
      <c r="D32" s="18" t="n">
        <v>23.9</v>
      </c>
      <c r="E32" s="18" t="n">
        <v>26.3</v>
      </c>
      <c r="F32" s="18" t="n">
        <v>29</v>
      </c>
      <c r="G32" s="20" t="n">
        <v>-0.05158730158730162</v>
      </c>
      <c r="H32" s="19" t="n">
        <v>0.1004184100418411</v>
      </c>
    </row>
    <row r="33">
      <c r="A33" s="4" t="inlineStr">
        <is>
          <t>Tesla</t>
        </is>
      </c>
      <c r="B33" s="18" t="n">
        <v>40.2</v>
      </c>
      <c r="C33" s="18" t="n">
        <v>60.6</v>
      </c>
      <c r="D33" s="18" t="n">
        <v>79.09999999999999</v>
      </c>
      <c r="E33" s="18" t="n">
        <v>72</v>
      </c>
      <c r="F33" s="18" t="n">
        <v>76</v>
      </c>
      <c r="G33" s="19" t="n">
        <v>0.3052805280528051</v>
      </c>
      <c r="H33" s="20" t="n">
        <v>-0.08975979772439943</v>
      </c>
    </row>
    <row r="34">
      <c r="A34" s="4" t="inlineStr">
        <is>
          <t>Nvidia</t>
        </is>
      </c>
      <c r="B34" s="18" t="n">
        <v>6.3</v>
      </c>
      <c r="C34" s="18" t="n">
        <v>11.6</v>
      </c>
      <c r="D34" s="18" t="n">
        <v>16.6</v>
      </c>
      <c r="E34" s="18" t="n">
        <v>29</v>
      </c>
      <c r="F34" s="18" t="n">
        <v>42</v>
      </c>
      <c r="G34" s="19" t="n">
        <v>0.4310344827586208</v>
      </c>
      <c r="H34" s="19" t="n">
        <v>0.7469879518072288</v>
      </c>
    </row>
    <row r="35"/>
    <row r="36"/>
    <row r="37">
      <c r="A37" s="17" t="inlineStr">
        <is>
          <t>Total OpEx (R&amp;D + SG&amp;A)</t>
        </is>
      </c>
    </row>
    <row r="38">
      <c r="A38" s="3" t="inlineStr">
        <is>
          <t>Company</t>
        </is>
      </c>
      <c r="B38" s="3" t="n">
        <v>2021</v>
      </c>
      <c r="C38" s="3" t="n">
        <v>2022</v>
      </c>
      <c r="D38" s="3" t="n">
        <v>2023</v>
      </c>
      <c r="E38" s="3" t="n">
        <v>2024</v>
      </c>
      <c r="F38" s="3" t="n">
        <v>2025</v>
      </c>
      <c r="G38" s="3" t="inlineStr">
        <is>
          <t>2022→2023 Δ%</t>
        </is>
      </c>
      <c r="H38" s="3" t="inlineStr">
        <is>
          <t>2023→2024 Δ%</t>
        </is>
      </c>
    </row>
    <row r="39">
      <c r="A39" s="4" t="inlineStr">
        <is>
          <t>Apple</t>
        </is>
      </c>
      <c r="B39" s="18" t="n">
        <v>43.8</v>
      </c>
      <c r="C39" s="18" t="n">
        <v>51.4</v>
      </c>
      <c r="D39" s="18" t="n">
        <v>54.8</v>
      </c>
      <c r="E39" s="18" t="n">
        <v>57.5</v>
      </c>
      <c r="F39" s="18" t="n">
        <v>60</v>
      </c>
      <c r="G39" s="19" t="n">
        <v>0.06614785992217896</v>
      </c>
      <c r="H39" s="19" t="n">
        <v>0.04927007299270079</v>
      </c>
    </row>
    <row r="40">
      <c r="A40" s="4" t="inlineStr">
        <is>
          <t>Microsoft</t>
        </is>
      </c>
      <c r="B40" s="18" t="n">
        <v>40.8</v>
      </c>
      <c r="C40" s="18" t="n">
        <v>46.3</v>
      </c>
      <c r="D40" s="18" t="n">
        <v>50</v>
      </c>
      <c r="E40" s="18" t="n">
        <v>53.5</v>
      </c>
      <c r="F40" s="18" t="n">
        <v>57.5</v>
      </c>
      <c r="G40" s="19" t="n">
        <v>0.07991360691144715</v>
      </c>
      <c r="H40" s="19" t="n">
        <v>0.07000000000000001</v>
      </c>
    </row>
    <row r="41">
      <c r="A41" s="4" t="inlineStr">
        <is>
          <t>Alphabet (Google)</t>
        </is>
      </c>
      <c r="B41" s="18" t="n">
        <v>49.5</v>
      </c>
      <c r="C41" s="18" t="n">
        <v>60.5</v>
      </c>
      <c r="D41" s="18" t="n">
        <v>65.5</v>
      </c>
      <c r="E41" s="18" t="n">
        <v>64.5</v>
      </c>
      <c r="F41" s="18" t="n">
        <v>68</v>
      </c>
      <c r="G41" s="19" t="n">
        <v>0.08264462809917356</v>
      </c>
      <c r="H41" s="19" t="n">
        <v>-0.01526717557251908</v>
      </c>
    </row>
    <row r="42">
      <c r="A42" s="4" t="inlineStr">
        <is>
          <t>Amazon</t>
        </is>
      </c>
      <c r="B42" s="18" t="n">
        <v>97.5</v>
      </c>
      <c r="C42" s="18" t="n">
        <v>116.9</v>
      </c>
      <c r="D42" s="18" t="n">
        <v>120.1</v>
      </c>
      <c r="E42" s="18" t="n">
        <v>124</v>
      </c>
      <c r="F42" s="18" t="n">
        <v>130</v>
      </c>
      <c r="G42" s="19" t="n">
        <v>0.02737382378100931</v>
      </c>
      <c r="H42" s="19" t="n">
        <v>0.03247293921731895</v>
      </c>
    </row>
    <row r="43">
      <c r="A43" s="4" t="inlineStr">
        <is>
          <t>Meta</t>
        </is>
      </c>
      <c r="B43" s="18" t="n">
        <v>36.8</v>
      </c>
      <c r="C43" s="18" t="n">
        <v>51</v>
      </c>
      <c r="D43" s="18" t="n">
        <v>49.7</v>
      </c>
      <c r="E43" s="18" t="n">
        <v>54.4</v>
      </c>
      <c r="F43" s="18" t="n">
        <v>59</v>
      </c>
      <c r="G43" s="19" t="n">
        <v>-0.02549019607843132</v>
      </c>
      <c r="H43" s="19" t="n">
        <v>0.09456740442655927</v>
      </c>
    </row>
    <row r="44">
      <c r="A44" s="4" t="inlineStr">
        <is>
          <t>Tesla</t>
        </is>
      </c>
      <c r="B44" s="18" t="n">
        <v>7.1</v>
      </c>
      <c r="C44" s="18" t="n">
        <v>7</v>
      </c>
      <c r="D44" s="18" t="n">
        <v>8.800000000000001</v>
      </c>
      <c r="E44" s="18" t="n">
        <v>9.199999999999999</v>
      </c>
      <c r="F44" s="18" t="n">
        <v>10</v>
      </c>
      <c r="G44" s="19" t="n">
        <v>0.2571428571428572</v>
      </c>
      <c r="H44" s="19" t="n">
        <v>0.04545454545454529</v>
      </c>
    </row>
    <row r="45">
      <c r="A45" s="4" t="inlineStr">
        <is>
          <t>Nvidia</t>
        </is>
      </c>
      <c r="B45" s="18" t="n">
        <v>7.5</v>
      </c>
      <c r="C45" s="18" t="n">
        <v>9.699999999999999</v>
      </c>
      <c r="D45" s="18" t="n">
        <v>11.4</v>
      </c>
      <c r="E45" s="18" t="n">
        <v>16.3</v>
      </c>
      <c r="F45" s="18" t="n">
        <v>21.9</v>
      </c>
      <c r="G45" s="19" t="n">
        <v>0.175257731958763</v>
      </c>
      <c r="H45" s="19" t="n">
        <v>0.4298245614035088</v>
      </c>
    </row>
  </sheetData>
  <mergeCells count="6">
    <mergeCell ref="A2:I2"/>
    <mergeCell ref="A37:F37"/>
    <mergeCell ref="A1:I1"/>
    <mergeCell ref="A4:F4"/>
    <mergeCell ref="A26:F26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0" customWidth="1" min="3" max="3"/>
    <col width="30" customWidth="1" min="4" max="4"/>
  </cols>
  <sheetData>
    <row r="1">
      <c r="A1" s="1" t="inlineStr">
        <is>
          <t>Where Have the OpEx Cuts Been Focused?</t>
        </is>
      </c>
    </row>
    <row r="2" ht="30" customHeight="1">
      <c r="A2" s="2" t="inlineStr">
        <is>
          <t>Analysis of which operating expense lines absorbed the majority of layoff-driven cost reductions. Based on 10-K data, earnings commentary, and restructuring charge disclosures.</t>
        </is>
      </c>
    </row>
    <row r="4">
      <c r="A4" s="3" t="inlineStr">
        <is>
          <t>OpEx Category</t>
        </is>
      </c>
      <c r="B4" s="3" t="inlineStr">
        <is>
          <t>Cut Intensity (2022-2025)</t>
        </is>
      </c>
      <c r="C4" s="3" t="inlineStr">
        <is>
          <t>Key Observations</t>
        </is>
      </c>
      <c r="D4" s="3" t="inlineStr">
        <is>
          <t>Primary Companies Affected</t>
        </is>
      </c>
    </row>
    <row r="5" ht="60" customHeight="1">
      <c r="A5" s="4" t="inlineStr">
        <is>
          <t>SG&amp;A — Recruiting / HR</t>
        </is>
      </c>
      <c r="B5" s="21" t="inlineStr">
        <is>
          <t>Very High</t>
        </is>
      </c>
      <c r="C5" s="14" t="inlineStr">
        <is>
          <t>Largest and earliest cuts. Meta, Google, Amazon, and Microsoft all made deep cuts to recruiting and HR teams in 2022-2023 as hiring froze post-pandemic. Recruiting headcount at Meta fell &gt;50%.</t>
        </is>
      </c>
      <c r="D5" s="14" t="inlineStr">
        <is>
          <t>Meta, Amazon, Google, Microsoft</t>
        </is>
      </c>
    </row>
    <row r="6" ht="60" customHeight="1">
      <c r="A6" s="4" t="inlineStr">
        <is>
          <t>SG&amp;A — Sales &amp; Marketing</t>
        </is>
      </c>
      <c r="B6" s="21" t="inlineStr">
        <is>
          <t>High</t>
        </is>
      </c>
      <c r="C6" s="14" t="inlineStr">
        <is>
          <t>Go-to-market teams significantly trimmed. Amazon SG&amp;A fell from $43.7B (2022) to $34.5B (2023), a 21% drop. Google and Microsoft cut sales/marketing roles in 2024-2025. AI-driven sales tools replaced headcount.</t>
        </is>
      </c>
      <c r="D6" s="14" t="inlineStr">
        <is>
          <t>Amazon, Google, Microsoft, Meta</t>
        </is>
      </c>
    </row>
    <row r="7" ht="60" customHeight="1">
      <c r="A7" s="4" t="inlineStr">
        <is>
          <t>SG&amp;A — General &amp; Admin</t>
        </is>
      </c>
      <c r="B7" s="13" t="inlineStr">
        <is>
          <t>Moderate-High</t>
        </is>
      </c>
      <c r="C7" s="14" t="inlineStr">
        <is>
          <t>Management layers flattened ('delayering'). Google cut 35% of small-team managers in 2025. Meta flattened management in 'Year of Efficiency'. Corporate overhead reduced across the board.</t>
        </is>
      </c>
      <c r="D7" s="14" t="inlineStr">
        <is>
          <t>Google, Meta, Microsoft, Amazon</t>
        </is>
      </c>
    </row>
    <row r="8" ht="60" customHeight="1">
      <c r="A8" s="4" t="inlineStr">
        <is>
          <t>SG&amp;A — Real Estate / Facilities</t>
        </is>
      </c>
      <c r="B8" s="13" t="inlineStr">
        <is>
          <t>Moderate</t>
        </is>
      </c>
      <c r="C8" s="14" t="inlineStr">
        <is>
          <t>Office space consolidation and lease terminations. Meta took $4.2B in facilities charges in 2022-2023. Amazon abandoned or subleased office space. All companies reduced real estate footprint.</t>
        </is>
      </c>
      <c r="D8" s="14" t="inlineStr">
        <is>
          <t>Meta, Amazon, Google, Microsoft</t>
        </is>
      </c>
    </row>
    <row r="9" ht="60" customHeight="1">
      <c r="A9" s="4" t="inlineStr">
        <is>
          <t>R&amp;D — Non-Core Projects</t>
        </is>
      </c>
      <c r="B9" s="13" t="inlineStr">
        <is>
          <t>Moderate</t>
        </is>
      </c>
      <c r="C9" s="14" t="inlineStr">
        <is>
          <t>Selective R&amp;D cuts in non-core areas while total R&amp;D spend actually GREW for most companies. Apple cancelled Project Titan ($600 layoffs). Meta trimmed Reality Labs. Microsoft cut HoloLens R&amp;D. But overall R&amp;D budgets increased to fund AI.</t>
        </is>
      </c>
      <c r="D9" s="14" t="inlineStr">
        <is>
          <t>Apple, Meta, Microsoft</t>
        </is>
      </c>
    </row>
    <row r="10" ht="60" customHeight="1">
      <c r="A10" s="4" t="inlineStr">
        <is>
          <t>R&amp;D — Core Engineering</t>
        </is>
      </c>
      <c r="B10" s="13" t="inlineStr">
        <is>
          <t>Low-Moderate</t>
        </is>
      </c>
      <c r="C10" s="14" t="inlineStr">
        <is>
          <t>Some engineering role eliminations but largely redeployed to AI. Google and Microsoft restructured engineering teams rather than net-reducing. R&amp;D spending grew 15-30% at most Mag 7 companies from 2022 to 2024 despite layoffs.</t>
        </is>
      </c>
      <c r="D10" s="14" t="inlineStr">
        <is>
          <t>Google, Amazon, Microsoft</t>
        </is>
      </c>
    </row>
    <row r="11" ht="60" customHeight="1">
      <c r="A11" s="4" t="inlineStr">
        <is>
          <t>COGS / Cost of Revenue</t>
        </is>
      </c>
      <c r="B11" s="13" t="inlineStr">
        <is>
          <t>Low</t>
        </is>
      </c>
      <c r="C11" s="14" t="inlineStr">
        <is>
          <t>Least affected category. COGS is mostly driven by infrastructure, data centers, and supply chain — areas where spending INCREASED due to AI capex. Amazon and Google's COGS grew steadily. Tesla saw some COGS reduction from manufacturing efficiencies.</t>
        </is>
      </c>
      <c r="D11" s="14" t="inlineStr">
        <is>
          <t>Tesla (slight reduction)</t>
        </is>
      </c>
    </row>
    <row r="14">
      <c r="A14" s="10" t="inlineStr">
        <is>
          <t>Key Takeaways</t>
        </is>
      </c>
    </row>
    <row r="15" ht="40" customHeight="1">
      <c r="A15" s="22" t="inlineStr">
        <is>
          <t>1. SG&amp;A bore the brunt of cuts — especially recruiting/HR, sales &amp; marketing, and corporate overhead. Amazon's SG&amp;A fell 21% YoY in 2023; Meta's fell 29% YoY in 2023.</t>
        </is>
      </c>
    </row>
    <row r="16" ht="40" customHeight="1">
      <c r="A16" s="22" t="inlineStr">
        <is>
          <t>2. R&amp;D spending paradoxically INCREASED at most Mag 7 companies despite layoffs. Cuts targeted non-core R&amp;D (HoloLens, Project Titan, Reality Labs) while AI R&amp;D surged.</t>
        </is>
      </c>
    </row>
    <row r="17" ht="40" customHeight="1">
      <c r="A17" s="22" t="inlineStr">
        <is>
          <t>3. COGS/Cost of Revenue was largely untouched — in fact it grew as companies invested heavily in AI data center infrastructure, GPU procurement, and cloud capacity.</t>
        </is>
      </c>
    </row>
    <row r="18" ht="40" customHeight="1">
      <c r="A18" s="22" t="inlineStr">
        <is>
          <t>4. The 'Year of Efficiency' model (coined by Meta's Zuckerberg in 2023) became the playbook: flatten management, cut SG&amp;A, redirect savings to AI/R&amp;D.</t>
        </is>
      </c>
    </row>
    <row r="19" ht="40" customHeight="1">
      <c r="A19" s="22" t="inlineStr">
        <is>
          <t>5. Nvidia stands alone with ZERO layoffs across the entire period — benefiting from being the primary supplier of AI infrastructure that drove the others' restructuring.</t>
        </is>
      </c>
    </row>
    <row r="20" ht="40" customHeight="1">
      <c r="A20" s="22" t="inlineStr">
        <is>
          <t>6. Total Mag 7 layoffs exceeded 150,000 employees from 2021-2026, with Amazon (~58K), Meta (~30K), Microsoft (~21K), and Google (~17.5K) accounting for the vast majority.</t>
        </is>
      </c>
    </row>
  </sheetData>
  <mergeCells count="9">
    <mergeCell ref="A1:D1"/>
    <mergeCell ref="A17:D17"/>
    <mergeCell ref="A18:D18"/>
    <mergeCell ref="A20:D20"/>
    <mergeCell ref="A15:D15"/>
    <mergeCell ref="A16:D16"/>
    <mergeCell ref="A2:D2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1" customWidth="1" min="3" max="3"/>
    <col width="22" customWidth="1" min="4" max="4"/>
    <col width="21" customWidth="1" min="5" max="5"/>
    <col width="22" customWidth="1" min="6" max="6"/>
    <col width="23" customWidth="1" min="7" max="7"/>
    <col width="23" customWidth="1" min="8" max="8"/>
  </cols>
  <sheetData>
    <row r="1">
      <c r="A1" s="1" t="inlineStr">
        <is>
          <t>Company-by-Company: OpEx Line Changes During Layoff Periods</t>
        </is>
      </c>
    </row>
    <row r="2"/>
    <row r="3">
      <c r="A3" s="3" t="inlineStr">
        <is>
          <t>Company</t>
        </is>
      </c>
      <c r="B3" s="3" t="inlineStr">
        <is>
          <t>Peak Layoff Year</t>
        </is>
      </c>
      <c r="C3" s="3" t="inlineStr">
        <is>
          <t>R&amp;D ($B) Pre-Layoff</t>
        </is>
      </c>
      <c r="D3" s="3" t="inlineStr">
        <is>
          <t>R&amp;D ($B) Post-Layoff</t>
        </is>
      </c>
      <c r="E3" s="3" t="inlineStr">
        <is>
          <t>R&amp;D Δ%</t>
        </is>
      </c>
      <c r="F3" s="3" t="inlineStr">
        <is>
          <t>SG&amp;A ($B) Pre-Layoff</t>
        </is>
      </c>
      <c r="G3" s="3" t="inlineStr">
        <is>
          <t>SG&amp;A ($B) Post-Layoff</t>
        </is>
      </c>
      <c r="H3" s="3" t="inlineStr">
        <is>
          <t>SG&amp;A Δ%</t>
        </is>
      </c>
    </row>
    <row r="4">
      <c r="A4" s="4" t="inlineStr">
        <is>
          <t>Apple</t>
        </is>
      </c>
      <c r="B4" s="12" t="inlineStr">
        <is>
          <t>2024</t>
        </is>
      </c>
      <c r="C4" s="18" t="n">
        <v>29.9</v>
      </c>
      <c r="D4" s="18" t="n">
        <v>31.4</v>
      </c>
      <c r="E4" s="19" t="n">
        <v>0.05016722408026756</v>
      </c>
      <c r="F4" s="18" t="n">
        <v>24.9</v>
      </c>
      <c r="G4" s="18" t="n">
        <v>26.1</v>
      </c>
      <c r="H4" s="19" t="n">
        <v>0.04819277108433746</v>
      </c>
    </row>
    <row r="5">
      <c r="A5" s="4" t="inlineStr">
        <is>
          <t>Microsoft</t>
        </is>
      </c>
      <c r="B5" s="12" t="inlineStr">
        <is>
          <t>2023</t>
        </is>
      </c>
      <c r="C5" s="18" t="n">
        <v>24.5</v>
      </c>
      <c r="D5" s="18" t="n">
        <v>27.2</v>
      </c>
      <c r="E5" s="19" t="n">
        <v>0.110204081632653</v>
      </c>
      <c r="F5" s="18" t="n">
        <v>21.8</v>
      </c>
      <c r="G5" s="18" t="n">
        <v>22.8</v>
      </c>
      <c r="H5" s="19" t="n">
        <v>0.04587155963302752</v>
      </c>
    </row>
    <row r="6">
      <c r="A6" s="4" t="inlineStr">
        <is>
          <t>Alphabet (Google)</t>
        </is>
      </c>
      <c r="B6" s="12" t="inlineStr">
        <is>
          <t>2023</t>
        </is>
      </c>
      <c r="C6" s="18" t="n">
        <v>39.5</v>
      </c>
      <c r="D6" s="18" t="n">
        <v>45.4</v>
      </c>
      <c r="E6" s="19" t="n">
        <v>0.1493670886075949</v>
      </c>
      <c r="F6" s="18" t="n">
        <v>21</v>
      </c>
      <c r="G6" s="18" t="n">
        <v>20.1</v>
      </c>
      <c r="H6" s="19" t="n">
        <v>-0.04285714285714279</v>
      </c>
    </row>
    <row r="7">
      <c r="A7" s="4" t="inlineStr">
        <is>
          <t>Amazon</t>
        </is>
      </c>
      <c r="B7" s="12" t="inlineStr">
        <is>
          <t>2023</t>
        </is>
      </c>
      <c r="C7" s="18" t="n">
        <v>73.2</v>
      </c>
      <c r="D7" s="18" t="n">
        <v>85.59999999999999</v>
      </c>
      <c r="E7" s="19" t="n">
        <v>0.169398907103825</v>
      </c>
      <c r="F7" s="18" t="n">
        <v>43.7</v>
      </c>
      <c r="G7" s="18" t="n">
        <v>34.5</v>
      </c>
      <c r="H7" s="20" t="n">
        <v>-0.2105263157894737</v>
      </c>
    </row>
    <row r="8">
      <c r="A8" s="4" t="inlineStr">
        <is>
          <t>Meta</t>
        </is>
      </c>
      <c r="B8" s="12" t="inlineStr">
        <is>
          <t>2022-23</t>
        </is>
      </c>
      <c r="C8" s="18" t="n">
        <v>35.3</v>
      </c>
      <c r="D8" s="18" t="n">
        <v>38.5</v>
      </c>
      <c r="E8" s="19" t="n">
        <v>0.09065155807365448</v>
      </c>
      <c r="F8" s="18" t="n">
        <v>15.7</v>
      </c>
      <c r="G8" s="18" t="n">
        <v>11.2</v>
      </c>
      <c r="H8" s="20" t="n">
        <v>-0.286624203821656</v>
      </c>
    </row>
    <row r="9">
      <c r="A9" s="4" t="inlineStr">
        <is>
          <t>Tesla</t>
        </is>
      </c>
      <c r="B9" s="12" t="inlineStr">
        <is>
          <t>2024</t>
        </is>
      </c>
      <c r="C9" s="18" t="n">
        <v>3.97</v>
      </c>
      <c r="D9" s="18" t="n">
        <v>4.6</v>
      </c>
      <c r="E9" s="19" t="n">
        <v>0.158690176322418</v>
      </c>
      <c r="F9" s="18" t="n">
        <v>4.8</v>
      </c>
      <c r="G9" s="18" t="n">
        <v>4.6</v>
      </c>
      <c r="H9" s="19" t="n">
        <v>-0.04166666666666671</v>
      </c>
    </row>
    <row r="10">
      <c r="A10" s="4" t="inlineStr">
        <is>
          <t>Nvidia</t>
        </is>
      </c>
      <c r="B10" s="12" t="inlineStr">
        <is>
          <t>N/A</t>
        </is>
      </c>
      <c r="C10" s="18" t="n">
        <v>8.699999999999999</v>
      </c>
      <c r="D10" s="18" t="n">
        <v>12.9</v>
      </c>
      <c r="E10" s="19" t="n">
        <v>0.4827586206896554</v>
      </c>
      <c r="F10" s="18" t="n">
        <v>2.7</v>
      </c>
      <c r="G10" s="18" t="n">
        <v>3.4</v>
      </c>
      <c r="H10" s="19" t="n">
        <v>0.2592592592592591</v>
      </c>
    </row>
    <row r="11"/>
    <row r="12" ht="50" customHeight="1">
      <c r="A12" s="23" t="inlineStr">
        <is>
          <t>Key insight: Despite massive layoffs, R&amp;D spending INCREASED at every single Mag 7 company. The cuts overwhelmingly targeted SG&amp;A — particularly at Amazon (-21%), Meta (-29%), and Google (-4%). This confirms layoffs were concentrated in go-to-market, recruiting, and corporate overhead functions, while engineering/R&amp;D headcount was redirected toward AI initiatives.</t>
        </is>
      </c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2026-03-16T12:28:00Z</dcterms:created>
  <dcterms:modified xsi:type="dcterms:W3CDTF">2026-03-16T12:28:01Z</dcterms:modified>
</cp:coreProperties>
</file>