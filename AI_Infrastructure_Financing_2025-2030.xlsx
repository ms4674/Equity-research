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 &amp; Methodology" sheetId="1" state="visible" r:id="rId1"/>
    <sheet name="Summary (by Company)" sheetId="2" state="visible" r:id="rId2"/>
    <sheet name="Debt by Type" sheetId="3" state="visible" r:id="rId3"/>
    <sheet name="Capex Projections" sheetId="4" state="visible" r:id="rId4"/>
    <sheet name="Key Deals &amp; Sources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b val="1"/>
      <color rgb="001F2A44"/>
      <sz val="18"/>
    </font>
    <font>
      <i val="1"/>
      <color rgb="005A5A5A"/>
      <sz val="12"/>
    </font>
    <font>
      <color rgb="005A5A5A"/>
      <sz val="10"/>
    </font>
    <font>
      <b val="1"/>
      <color rgb="00FFFFFF"/>
      <sz val="12"/>
    </font>
    <font>
      <color rgb="00333333"/>
      <sz val="10"/>
    </font>
    <font>
      <i val="1"/>
      <color rgb="00999999"/>
      <sz val="9"/>
    </font>
    <font>
      <b val="1"/>
      <color rgb="001F2A44"/>
      <sz val="14"/>
    </font>
    <font>
      <i val="1"/>
      <color rgb="005A5A5A"/>
      <sz val="9"/>
    </font>
    <font>
      <b val="1"/>
      <color rgb="00FFFFFF"/>
      <sz val="10"/>
    </font>
    <font>
      <sz val="10"/>
    </font>
    <font>
      <b val="1"/>
      <color rgb="001F2A44"/>
      <sz val="10"/>
    </font>
    <font>
      <b val="1"/>
      <color rgb="001F2A44"/>
    </font>
    <font>
      <b val="1"/>
      <color rgb="00FFFFFF"/>
      <sz val="11"/>
    </font>
    <font>
      <b val="1"/>
      <color rgb="00FFFFFF"/>
    </font>
    <font>
      <b val="1"/>
      <color rgb="005A5A5A"/>
      <sz val="9"/>
    </font>
    <font>
      <color rgb="00BBBBBB"/>
      <sz val="8"/>
    </font>
    <font>
      <color rgb="005A5A5A"/>
      <sz val="9"/>
    </font>
    <font>
      <b val="1"/>
    </font>
    <font>
      <i val="1"/>
      <color rgb="005A5A5A"/>
    </font>
    <font>
      <color rgb="001B6E6E"/>
    </font>
    <font>
      <b val="1"/>
      <i val="1"/>
      <color rgb="00B5760A"/>
    </font>
    <font>
      <i val="1"/>
      <color rgb="00B5760A"/>
    </font>
    <font>
      <b val="1"/>
      <sz val="9"/>
    </font>
    <font>
      <sz val="9"/>
    </font>
    <font>
      <color rgb="002E5A9C"/>
      <sz val="9"/>
    </font>
    <font>
      <color rgb="00444444"/>
      <sz val="9"/>
    </font>
  </fonts>
  <fills count="11">
    <fill>
      <patternFill/>
    </fill>
    <fill>
      <patternFill patternType="gray125"/>
    </fill>
    <fill>
      <patternFill patternType="solid">
        <fgColor rgb="002E5A9C"/>
      </patternFill>
    </fill>
    <fill>
      <patternFill patternType="solid">
        <fgColor rgb="001B6E6E"/>
      </patternFill>
    </fill>
    <fill>
      <patternFill patternType="solid">
        <fgColor rgb="00B5760A"/>
      </patternFill>
    </fill>
    <fill>
      <patternFill patternType="solid">
        <fgColor rgb="005A5A5A"/>
      </patternFill>
    </fill>
    <fill>
      <patternFill patternType="solid">
        <fgColor rgb="001F2A44"/>
      </patternFill>
    </fill>
    <fill>
      <patternFill patternType="solid">
        <fgColor rgb="00E8EEF7"/>
      </patternFill>
    </fill>
    <fill>
      <patternFill patternType="solid">
        <fgColor rgb="00EEEEEE"/>
      </patternFill>
    </fill>
    <fill>
      <patternFill patternType="solid">
        <fgColor rgb="00E6F2EF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applyAlignment="1" pivotButton="0" quotePrefix="0" xfId="0">
      <alignment indent="1"/>
    </xf>
    <xf numFmtId="0" fontId="4" fillId="3" borderId="0" applyAlignment="1" pivotButton="0" quotePrefix="0" xfId="0">
      <alignment vertical="center" indent="1"/>
    </xf>
    <xf numFmtId="0" fontId="4" fillId="4" borderId="0" applyAlignment="1" pivotButton="0" quotePrefix="0" xfId="0">
      <alignment vertical="center" indent="1"/>
    </xf>
    <xf numFmtId="0" fontId="4" fillId="5" borderId="0" applyAlignment="1" pivotButton="0" quotePrefix="0" xfId="0">
      <alignment vertical="center" indent="1"/>
    </xf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0" fontId="16" fillId="0" borderId="0" pivotButton="0" quotePrefix="0" xfId="0"/>
    <xf numFmtId="3" fontId="16" fillId="0" borderId="0" pivotButton="0" quotePrefix="0" xfId="0"/>
    <xf numFmtId="0" fontId="10" fillId="7" borderId="1" pivotButton="0" quotePrefix="0" xfId="0"/>
    <xf numFmtId="0" fontId="0" fillId="7" borderId="1" pivotButton="0" quotePrefix="0" xfId="0"/>
    <xf numFmtId="3" fontId="0" fillId="7" borderId="1" applyAlignment="1" pivotButton="0" quotePrefix="0" xfId="0">
      <alignment horizontal="right"/>
    </xf>
    <xf numFmtId="9" fontId="0" fillId="7" borderId="1" applyAlignment="1" pivotButton="0" quotePrefix="0" xfId="0">
      <alignment horizontal="right"/>
    </xf>
    <xf numFmtId="0" fontId="11" fillId="8" borderId="1" pivotButton="0" quotePrefix="0" xfId="0"/>
    <xf numFmtId="0" fontId="0" fillId="8" borderId="1" pivotButton="0" quotePrefix="0" xfId="0"/>
    <xf numFmtId="3" fontId="12" fillId="8" borderId="1" applyAlignment="1" pivotButton="0" quotePrefix="0" xfId="0">
      <alignment horizontal="right"/>
    </xf>
    <xf numFmtId="9" fontId="12" fillId="8" borderId="1" applyAlignment="1" pivotButton="0" quotePrefix="0" xfId="0">
      <alignment horizontal="right"/>
    </xf>
    <xf numFmtId="0" fontId="10" fillId="9" borderId="1" pivotButton="0" quotePrefix="0" xfId="0"/>
    <xf numFmtId="0" fontId="0" fillId="9" borderId="1" pivotButton="0" quotePrefix="0" xfId="0"/>
    <xf numFmtId="3" fontId="0" fillId="9" borderId="1" applyAlignment="1" pivotButton="0" quotePrefix="0" xfId="0">
      <alignment horizontal="right"/>
    </xf>
    <xf numFmtId="9" fontId="0" fillId="9" borderId="1" applyAlignment="1" pivotButton="0" quotePrefix="0" xfId="0">
      <alignment horizontal="right"/>
    </xf>
    <xf numFmtId="0" fontId="13" fillId="2" borderId="1" pivotButton="0" quotePrefix="0" xfId="0"/>
    <xf numFmtId="0" fontId="0" fillId="2" borderId="1" pivotButton="0" quotePrefix="0" xfId="0"/>
    <xf numFmtId="3" fontId="14" fillId="2" borderId="1" applyAlignment="1" pivotButton="0" quotePrefix="0" xfId="0">
      <alignment horizontal="right"/>
    </xf>
    <xf numFmtId="9" fontId="14" fillId="2" borderId="1" applyAlignment="1" pivotButton="0" quotePrefix="0" xfId="0">
      <alignment horizontal="right"/>
    </xf>
    <xf numFmtId="0" fontId="17" fillId="7" borderId="1" pivotButton="0" quotePrefix="0" xfId="0"/>
    <xf numFmtId="3" fontId="18" fillId="7" borderId="1" applyAlignment="1" pivotButton="0" quotePrefix="0" xfId="0">
      <alignment horizontal="right"/>
    </xf>
    <xf numFmtId="3" fontId="19" fillId="7" borderId="1" applyAlignment="1" pivotButton="0" quotePrefix="0" xfId="0">
      <alignment horizontal="right"/>
    </xf>
    <xf numFmtId="3" fontId="20" fillId="7" borderId="1" applyAlignment="1" pivotButton="0" quotePrefix="0" xfId="0">
      <alignment horizontal="right"/>
    </xf>
    <xf numFmtId="0" fontId="12" fillId="8" borderId="1" pivotButton="0" quotePrefix="0" xfId="0"/>
    <xf numFmtId="0" fontId="17" fillId="9" borderId="1" pivotButton="0" quotePrefix="0" xfId="0"/>
    <xf numFmtId="3" fontId="18" fillId="9" borderId="1" applyAlignment="1" pivotButton="0" quotePrefix="0" xfId="0">
      <alignment horizontal="right"/>
    </xf>
    <xf numFmtId="3" fontId="19" fillId="9" borderId="1" applyAlignment="1" pivotButton="0" quotePrefix="0" xfId="0">
      <alignment horizontal="right"/>
    </xf>
    <xf numFmtId="3" fontId="20" fillId="9" borderId="1" applyAlignment="1" pivotButton="0" quotePrefix="0" xfId="0">
      <alignment horizontal="right"/>
    </xf>
    <xf numFmtId="0" fontId="21" fillId="0" borderId="0" pivotButton="0" quotePrefix="0" xfId="0"/>
    <xf numFmtId="9" fontId="22" fillId="0" borderId="0" applyAlignment="1" pivotButton="0" quotePrefix="0" xfId="0">
      <alignment horizontal="right"/>
    </xf>
    <xf numFmtId="9" fontId="21" fillId="0" borderId="0" applyAlignment="1" pivotButton="0" quotePrefix="0" xfId="0">
      <alignment horizontal="right"/>
    </xf>
    <xf numFmtId="0" fontId="14" fillId="2" borderId="1" pivotButton="0" quotePrefix="0" xfId="0"/>
    <xf numFmtId="0" fontId="23" fillId="10" borderId="1" applyAlignment="1" pivotButton="0" quotePrefix="0" xfId="0">
      <alignment vertical="top" wrapText="1"/>
    </xf>
    <xf numFmtId="0" fontId="24" fillId="10" borderId="1" applyAlignment="1" pivotButton="0" quotePrefix="0" xfId="0">
      <alignment vertical="top" wrapText="1"/>
    </xf>
    <xf numFmtId="0" fontId="25" fillId="10" borderId="1" applyAlignment="1" pivotButton="0" quotePrefix="0" xfId="0">
      <alignment vertical="top" wrapText="1"/>
    </xf>
    <xf numFmtId="0" fontId="23" fillId="8" borderId="1" applyAlignment="1" pivotButton="0" quotePrefix="0" xfId="0">
      <alignment vertical="top" wrapText="1"/>
    </xf>
    <xf numFmtId="0" fontId="24" fillId="8" borderId="1" applyAlignment="1" pivotButton="0" quotePrefix="0" xfId="0">
      <alignment vertical="top" wrapText="1"/>
    </xf>
    <xf numFmtId="0" fontId="25" fillId="8" borderId="1" applyAlignment="1" pivotButton="0" quotePrefix="0" xfId="0">
      <alignment vertical="top" wrapText="1"/>
    </xf>
    <xf numFmtId="0" fontId="11" fillId="0" borderId="0" pivotButton="0" quotePrefix="0" xfId="0"/>
    <xf numFmtId="0" fontId="2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vs. Debt Financing by Company (2025-2030, 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 (by Company)'!J4</f>
            </strRef>
          </tx>
          <spPr>
            <a:ln>
              <a:prstDash val="solid"/>
            </a:ln>
          </spPr>
          <cat>
            <numRef>
              <f>'Summary (by Company)'!$I$5:$I$18</f>
            </numRef>
          </cat>
          <val>
            <numRef>
              <f>'Summary (by Company)'!$J$5:$J$18</f>
            </numRef>
          </val>
        </ser>
        <ser>
          <idx val="1"/>
          <order val="1"/>
          <tx>
            <strRef>
              <f>'Summary (by Company)'!K4</f>
            </strRef>
          </tx>
          <spPr>
            <a:ln>
              <a:prstDash val="solid"/>
            </a:ln>
          </spPr>
          <cat>
            <numRef>
              <f>'Summary (by Company)'!$I$5:$I$18</f>
            </numRef>
          </cat>
          <val>
            <numRef>
              <f>'Summary (by Company)'!$K$5:$K$18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Aggregate Debt Mix by Instrument (2025-2030, $bn)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'Debt by Type'!$C$4:$I$4</f>
            </numRef>
          </cat>
          <val>
            <numRef>
              <f>'Debt by Type'!$C$23:$I$23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AI-Infrastructure Capex by Company ($bn)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'Capex Projections'!A5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Projections'!$B$5:$G$5</f>
            </numRef>
          </val>
        </ser>
        <ser>
          <idx val="1"/>
          <order val="1"/>
          <tx>
            <strRef>
              <f>'Capex Projections'!A6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Projections'!$B$6:$G$6</f>
            </numRef>
          </val>
        </ser>
        <ser>
          <idx val="2"/>
          <order val="2"/>
          <tx>
            <strRef>
              <f>'Capex Projections'!A7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Projections'!$B$7:$G$7</f>
            </numRef>
          </val>
        </ser>
        <ser>
          <idx val="3"/>
          <order val="3"/>
          <tx>
            <strRef>
              <f>'Capex Projections'!A8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Projections'!$B$8:$G$8</f>
            </numRef>
          </val>
        </ser>
        <ser>
          <idx val="4"/>
          <order val="4"/>
          <tx>
            <strRef>
              <f>'Capex Projections'!A9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Projections'!$B$9:$G$9</f>
            </numRef>
          </val>
        </ser>
        <ser>
          <idx val="5"/>
          <order val="5"/>
          <tx>
            <strRef>
              <f>'Capex Projections'!A10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Projections'!$B$10:$G$10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AI Infrastructure Financing — Hyperscalers &amp; Neoclouds</t>
        </is>
      </c>
    </row>
    <row r="3">
      <c r="B3" s="2" t="inlineStr">
        <is>
          <t>Equity &amp; debt funding to build AI infrastructure, cumulative 2025-2030</t>
        </is>
      </c>
    </row>
    <row r="4">
      <c r="B4" s="3" t="inlineStr">
        <is>
          <t>All figures in US$ billions unless noted.</t>
        </is>
      </c>
    </row>
    <row r="6" ht="20" customHeight="1">
      <c r="B6" s="4" t="inlineStr">
        <is>
          <t>What this workbook contains</t>
        </is>
      </c>
    </row>
    <row r="7">
      <c r="B7" s="5" t="inlineStr">
        <is>
          <t>• Summary (by Company): equity / internal funding vs. total debt, with % debt-funded.</t>
        </is>
      </c>
    </row>
    <row r="8">
      <c r="B8" s="5" t="inlineStr">
        <is>
          <t>• Debt by Type: total debt split into mutually-exclusive instrument buckets.</t>
        </is>
      </c>
    </row>
    <row r="9">
      <c r="B9" s="5" t="inlineStr">
        <is>
          <t>• Capex Projections: annual AI-infrastructure capex 2025-2030 by company.</t>
        </is>
      </c>
    </row>
    <row r="10">
      <c r="B10" s="5" t="inlineStr">
        <is>
          <t>• Key Deals &amp; Sources: notable disclosed transactions underpinning the estimates.</t>
        </is>
      </c>
    </row>
    <row r="12" ht="20" customHeight="1">
      <c r="B12" s="6" t="inlineStr">
        <is>
          <t>Scope &amp; definitions</t>
        </is>
      </c>
    </row>
    <row r="13">
      <c r="B13" s="5" t="inlineStr">
        <is>
          <t>• Hyperscalers: Microsoft, Amazon (AWS), Alphabet (Google), Meta, Oracle (OCI).</t>
        </is>
      </c>
    </row>
    <row r="14">
      <c r="B14" s="5" t="inlineStr">
        <is>
          <t>• Neoclouds / AI-native infra: GPU-cloud &amp; AI-native data-center builders (CoreWeave, xAI,</t>
        </is>
      </c>
    </row>
    <row r="15">
      <c r="B15" s="5" t="inlineStr">
        <is>
          <t xml:space="preserve">   Nebius, IREN, Crusoe, Lambda, Fluidstack, Nscale, + an 'Other' aggregate).</t>
        </is>
      </c>
    </row>
    <row r="16">
      <c r="B16" s="5" t="inlineStr">
        <is>
          <t>• 'Equity / internal funding' = operating cash flow / free cash flow allocated to AI capex</t>
        </is>
      </c>
    </row>
    <row r="17">
      <c r="B17" s="5" t="inlineStr">
        <is>
          <t xml:space="preserve">   PLUS external equity (IPOs, strategic stakes e.g. NVIDIA, ATM programs, mandatory</t>
        </is>
      </c>
    </row>
    <row r="18">
      <c r="B18" s="5" t="inlineStr">
        <is>
          <t xml:space="preserve">   convertible PREFERRED treated as equity). Hyperscalers self-fund the majority via FCF.</t>
        </is>
      </c>
    </row>
    <row r="19">
      <c r="B19" s="5" t="inlineStr">
        <is>
          <t>• 'Debt financing' = external borrowing, split by instrument (see below).</t>
        </is>
      </c>
    </row>
    <row r="21" ht="20" customHeight="1">
      <c r="B21" s="7" t="inlineStr">
        <is>
          <t>Debt instrument buckets (mutually exclusive — they sum to total debt)</t>
        </is>
      </c>
    </row>
    <row r="22">
      <c r="B22" s="5" t="inlineStr">
        <is>
          <t>1. Corporate bonds (public IG/HY) — on-balance-sheet senior notes sold in public markets.</t>
        </is>
      </c>
    </row>
    <row r="23">
      <c r="B23" s="5" t="inlineStr">
        <is>
          <t>2. Bank &amp; syndicated loans — term loans, revolvers, delayed-draw term loans (incl. GPU-backed DDTLs).</t>
        </is>
      </c>
    </row>
    <row r="24">
      <c r="B24" s="5" t="inlineStr">
        <is>
          <t>3. Alternate private credit — direct lending / private placements by credit funds (Blackstone,</t>
        </is>
      </c>
    </row>
    <row r="25">
      <c r="B25" s="5" t="inlineStr">
        <is>
          <t xml:space="preserve">   Apollo, Blue Owl, PIMCO, Magnetar, etc.), including privately-placed SPV/project debt.</t>
        </is>
      </c>
    </row>
    <row r="26">
      <c r="B26" s="5" t="inlineStr">
        <is>
          <t>4. Insurance-linked lending — debt funded off insurer/annuity balance sheets (Athene/Apollo,</t>
        </is>
      </c>
    </row>
    <row r="27">
      <c r="B27" s="5" t="inlineStr">
        <is>
          <t xml:space="preserve">   Global Atlantic/KKR, MetLife, Brookfield, etc.). NOTE: large overlap with private credit &amp;</t>
        </is>
      </c>
    </row>
    <row r="28">
      <c r="B28" s="5" t="inlineStr">
        <is>
          <t xml:space="preserve">   bonds; shown separately to size the insurance channel — see double-counting note below.</t>
        </is>
      </c>
    </row>
    <row r="29">
      <c r="B29" s="5" t="inlineStr">
        <is>
          <t>5. Securitization / ABS / CMBS — secured data-center bonds &amp; GPU-backed asset-backed securities.</t>
        </is>
      </c>
    </row>
    <row r="30">
      <c r="B30" s="5" t="inlineStr">
        <is>
          <t>6. Convertibles / equity-linked debt — convertible notes (excludes mandatory convert. PREFERRED).</t>
        </is>
      </c>
    </row>
    <row r="31">
      <c r="B31" s="5" t="inlineStr">
        <is>
          <t>7. Vendor &amp; equipment-lease financing — chip/equipment leases &amp; sale-leasebacks (e.g. NVIDIA</t>
        </is>
      </c>
    </row>
    <row r="32">
      <c r="B32" s="5" t="inlineStr">
        <is>
          <t xml:space="preserve">   chip-lease SPVs, finance leases). Microsoft's large finance-lease book sits largely here.</t>
        </is>
      </c>
    </row>
    <row r="33">
      <c r="B33" s="5" t="inlineStr">
        <is>
          <t>Memo: 'Off-B/S SPV / JV (memo)' flags the portion routed through special-purpose vehicles /</t>
        </is>
      </c>
    </row>
    <row r="34">
      <c r="B34" s="5" t="inlineStr">
        <is>
          <t xml:space="preserve">   joint ventures (e.g. Meta-Hyperion, xAI Colossus 2, Oracle project SPVs). It OVERLAPS the</t>
        </is>
      </c>
    </row>
    <row r="35">
      <c r="B35" s="5" t="inlineStr">
        <is>
          <t xml:space="preserve">   buckets above and is therefore NOT added into the debt total.</t>
        </is>
      </c>
    </row>
    <row r="37" ht="20" customHeight="1">
      <c r="B37" s="8" t="inlineStr">
        <is>
          <t>Methodology &amp; caveats</t>
        </is>
      </c>
    </row>
    <row r="38">
      <c r="B38" s="5" t="inlineStr">
        <is>
          <t>• Figures are RESEARCH ESTIMATES for the cumulative 2025-2030 buildout. They blend disclosed</t>
        </is>
      </c>
    </row>
    <row r="39">
      <c r="B39" s="5" t="inlineStr">
        <is>
          <t xml:space="preserve">  transactions (2023-early 2026) with forward projections; they are illustrative, not audited.</t>
        </is>
      </c>
    </row>
    <row r="40">
      <c r="B40" s="5" t="inlineStr">
        <is>
          <t>• Aggregate cross-check: total financing ≈ $5.25tn, consistent with Goldman Sachs' ~$5.3tn</t>
        </is>
      </c>
    </row>
    <row r="41">
      <c r="B41" s="5" t="inlineStr">
        <is>
          <t xml:space="preserve">  2025-2030 AI + data-center capex estimate; aggregate debt ≈ $1.8tn, consistent with Morgan</t>
        </is>
      </c>
    </row>
    <row r="42">
      <c r="B42" s="5" t="inlineStr">
        <is>
          <t xml:space="preserve">  Stanley / BofA projections of $1-2tn of debt financing for the buildout.</t>
        </is>
      </c>
    </row>
    <row r="43">
      <c r="B43" s="5" t="inlineStr">
        <is>
          <t>• Insurance-linked lending double counts with private credit/bonds at the capital-source level;</t>
        </is>
      </c>
    </row>
    <row r="44">
      <c r="B44" s="5" t="inlineStr">
        <is>
          <t xml:space="preserve">  to avoid inflating totals, each dollar of debt is classified ONCE by its primary instrument and</t>
        </is>
      </c>
    </row>
    <row r="45">
      <c r="B45" s="5" t="inlineStr">
        <is>
          <t xml:space="preserve">  the insurance bucket captures only directly insurer-originated / insurance-balance-sheet debt.</t>
        </is>
      </c>
    </row>
    <row r="46">
      <c r="B46" s="5" t="inlineStr">
        <is>
          <t>• Company splits reflect observed behavior: Microsoft/Alphabet/Amazon are FCF-heavy with</t>
        </is>
      </c>
    </row>
    <row r="47">
      <c r="B47" s="5" t="inlineStr">
        <is>
          <t xml:space="preserve">  selective bonds; Meta &amp; Oracle lean more on debt &amp; SPVs; neoclouds are debt-heavy (asset-backed).</t>
        </is>
      </c>
    </row>
    <row r="48">
      <c r="B48" s="5" t="inlineStr">
        <is>
          <t>• Built with openpyxl. See Key Deals &amp; Sources sheet for citations.</t>
        </is>
      </c>
    </row>
    <row r="51" ht="30" customHeight="1">
      <c r="B51" s="9" t="inlineStr">
        <is>
          <t>Disclaimer: For analytical/illustrative purposes only. Not investment advice and not a representation of any company's actual financing. Verify against primary filings before use.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  <col width="13" customWidth="1" min="4" max="4"/>
    <col width="14" customWidth="1" min="5" max="5"/>
    <col width="11" customWidth="1" min="6" max="6"/>
    <col width="15" customWidth="1" min="7" max="7"/>
  </cols>
  <sheetData>
    <row r="1">
      <c r="A1" s="10" t="inlineStr">
        <is>
          <t>Summary — Equity vs. Debt Financing, Cumulative 2025-2030 (US$bn)</t>
        </is>
      </c>
    </row>
    <row r="2">
      <c r="A2" s="11" t="inlineStr">
        <is>
          <t>Sorted within segment by total financing. % Debt = total debt / total financing.</t>
        </is>
      </c>
    </row>
    <row r="4" ht="30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Equity / internal
funding</t>
        </is>
      </c>
      <c r="D4" s="12" t="inlineStr">
        <is>
          <t>Total debt
financing</t>
        </is>
      </c>
      <c r="E4" s="12" t="inlineStr">
        <is>
          <t>Total financing</t>
        </is>
      </c>
      <c r="F4" s="12" t="inlineStr">
        <is>
          <t>% Debt-
funded</t>
        </is>
      </c>
      <c r="G4" s="12" t="inlineStr">
        <is>
          <t>Off-B/S SPV/JV
(memo)</t>
        </is>
      </c>
      <c r="I4" s="13" t="inlineStr">
        <is>
          <t>Company</t>
        </is>
      </c>
      <c r="J4" s="13" t="inlineStr">
        <is>
          <t>Equity</t>
        </is>
      </c>
      <c r="K4" s="13" t="inlineStr">
        <is>
          <t>Debt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I5" s="16" t="inlineStr">
        <is>
          <t>Microsoft</t>
        </is>
      </c>
      <c r="J5" s="17" t="n">
        <v>750</v>
      </c>
      <c r="K5" s="17" t="n">
        <v>250</v>
      </c>
    </row>
    <row r="6">
      <c r="A6" s="18" t="inlineStr">
        <is>
          <t>Amazon (AWS)</t>
        </is>
      </c>
      <c r="B6" s="19" t="inlineStr">
        <is>
          <t>Hyperscaler</t>
        </is>
      </c>
      <c r="C6" s="20" t="n">
        <v>950</v>
      </c>
      <c r="D6" s="20" t="n">
        <v>320</v>
      </c>
      <c r="E6" s="20" t="n">
        <v>1270</v>
      </c>
      <c r="F6" s="21" t="n">
        <v>0.2519685039370079</v>
      </c>
      <c r="G6" s="20" t="n">
        <v>50</v>
      </c>
      <c r="I6" s="16" t="inlineStr">
        <is>
          <t>Amazon (AWS)</t>
        </is>
      </c>
      <c r="J6" s="17" t="n">
        <v>950</v>
      </c>
      <c r="K6" s="17" t="n">
        <v>320</v>
      </c>
    </row>
    <row r="7">
      <c r="A7" s="18" t="inlineStr">
        <is>
          <t>Alphabet (Google)</t>
        </is>
      </c>
      <c r="B7" s="19" t="inlineStr">
        <is>
          <t>Hyperscaler</t>
        </is>
      </c>
      <c r="C7" s="20" t="n">
        <v>931</v>
      </c>
      <c r="D7" s="20" t="n">
        <v>230</v>
      </c>
      <c r="E7" s="20" t="n">
        <v>1161</v>
      </c>
      <c r="F7" s="21" t="n">
        <v>0.1981050818260121</v>
      </c>
      <c r="G7" s="20" t="n">
        <v>30</v>
      </c>
      <c r="I7" s="16" t="inlineStr">
        <is>
          <t>Alphabet (Google)</t>
        </is>
      </c>
      <c r="J7" s="17" t="n">
        <v>931</v>
      </c>
      <c r="K7" s="17" t="n">
        <v>230</v>
      </c>
    </row>
    <row r="8">
      <c r="A8" s="18" t="inlineStr">
        <is>
          <t>Microsoft</t>
        </is>
      </c>
      <c r="B8" s="19" t="inlineStr">
        <is>
          <t>Hyperscaler</t>
        </is>
      </c>
      <c r="C8" s="20" t="n">
        <v>750</v>
      </c>
      <c r="D8" s="20" t="n">
        <v>250</v>
      </c>
      <c r="E8" s="20" t="n">
        <v>1000</v>
      </c>
      <c r="F8" s="21" t="n">
        <v>0.25</v>
      </c>
      <c r="G8" s="20" t="n">
        <v>70</v>
      </c>
      <c r="I8" s="16" t="inlineStr">
        <is>
          <t>Meta Platforms</t>
        </is>
      </c>
      <c r="J8" s="17" t="n">
        <v>487</v>
      </c>
      <c r="K8" s="17" t="n">
        <v>400</v>
      </c>
    </row>
    <row r="9">
      <c r="A9" s="18" t="inlineStr">
        <is>
          <t>Meta Platforms</t>
        </is>
      </c>
      <c r="B9" s="19" t="inlineStr">
        <is>
          <t>Hyperscaler</t>
        </is>
      </c>
      <c r="C9" s="20" t="n">
        <v>487</v>
      </c>
      <c r="D9" s="20" t="n">
        <v>400</v>
      </c>
      <c r="E9" s="20" t="n">
        <v>887</v>
      </c>
      <c r="F9" s="21" t="n">
        <v>0.4509582863585118</v>
      </c>
      <c r="G9" s="20" t="n">
        <v>180</v>
      </c>
      <c r="I9" s="16" t="inlineStr">
        <is>
          <t>Oracle (OCI)</t>
        </is>
      </c>
      <c r="J9" s="17" t="n">
        <v>175</v>
      </c>
      <c r="K9" s="17" t="n">
        <v>215</v>
      </c>
    </row>
    <row r="10">
      <c r="A10" s="18" t="inlineStr">
        <is>
          <t>Oracle (OCI)</t>
        </is>
      </c>
      <c r="B10" s="19" t="inlineStr">
        <is>
          <t>Hyperscaler</t>
        </is>
      </c>
      <c r="C10" s="20" t="n">
        <v>175</v>
      </c>
      <c r="D10" s="20" t="n">
        <v>215</v>
      </c>
      <c r="E10" s="20" t="n">
        <v>390</v>
      </c>
      <c r="F10" s="21" t="n">
        <v>0.5512820512820513</v>
      </c>
      <c r="G10" s="20" t="n">
        <v>45</v>
      </c>
      <c r="I10" s="16" t="inlineStr">
        <is>
          <t>CoreWeave</t>
        </is>
      </c>
      <c r="J10" s="17" t="n">
        <v>25</v>
      </c>
      <c r="K10" s="17" t="n">
        <v>120</v>
      </c>
    </row>
    <row r="11">
      <c r="A11" s="22" t="inlineStr">
        <is>
          <t>Hyperscaler subtotal</t>
        </is>
      </c>
      <c r="B11" s="23" t="n"/>
      <c r="C11" s="24">
        <f>SUM(C6:C10)</f>
        <v/>
      </c>
      <c r="D11" s="24">
        <f>SUM(D6:D10)</f>
        <v/>
      </c>
      <c r="E11" s="24">
        <f>SUM(E6:E10)</f>
        <v/>
      </c>
      <c r="F11" s="25">
        <f>D11/E11</f>
        <v/>
      </c>
      <c r="G11" s="24">
        <f>SUM(G6:G10)</f>
        <v/>
      </c>
      <c r="I11" s="16" t="inlineStr">
        <is>
          <t>xAI (Colossus)</t>
        </is>
      </c>
      <c r="J11" s="17" t="n">
        <v>55</v>
      </c>
      <c r="K11" s="17" t="n">
        <v>70</v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I12" s="16" t="inlineStr">
        <is>
          <t>Nebius</t>
        </is>
      </c>
      <c r="J12" s="17" t="n">
        <v>18</v>
      </c>
      <c r="K12" s="17" t="n">
        <v>35</v>
      </c>
    </row>
    <row r="13">
      <c r="A13" s="26" t="inlineStr">
        <is>
          <t>CoreWeave</t>
        </is>
      </c>
      <c r="B13" s="27" t="inlineStr">
        <is>
          <t>Neocloud / AI-native</t>
        </is>
      </c>
      <c r="C13" s="28" t="n">
        <v>25</v>
      </c>
      <c r="D13" s="28" t="n">
        <v>120</v>
      </c>
      <c r="E13" s="28" t="n">
        <v>145</v>
      </c>
      <c r="F13" s="29" t="n">
        <v>0.8275862068965517</v>
      </c>
      <c r="G13" s="28" t="n">
        <v>95</v>
      </c>
      <c r="I13" s="16" t="inlineStr">
        <is>
          <t>IREN</t>
        </is>
      </c>
      <c r="J13" s="17" t="n">
        <v>10</v>
      </c>
      <c r="K13" s="17" t="n">
        <v>30</v>
      </c>
    </row>
    <row r="14">
      <c r="A14" s="26" t="inlineStr">
        <is>
          <t>xAI (Colossus)</t>
        </is>
      </c>
      <c r="B14" s="27" t="inlineStr">
        <is>
          <t>Neocloud / AI-native</t>
        </is>
      </c>
      <c r="C14" s="28" t="n">
        <v>55</v>
      </c>
      <c r="D14" s="28" t="n">
        <v>70</v>
      </c>
      <c r="E14" s="28" t="n">
        <v>125</v>
      </c>
      <c r="F14" s="29" t="n">
        <v>0.5600000000000001</v>
      </c>
      <c r="G14" s="28" t="n">
        <v>45</v>
      </c>
      <c r="I14" s="16" t="inlineStr">
        <is>
          <t>Crusoe</t>
        </is>
      </c>
      <c r="J14" s="17" t="n">
        <v>8</v>
      </c>
      <c r="K14" s="17" t="n">
        <v>25</v>
      </c>
    </row>
    <row r="15">
      <c r="A15" s="26" t="inlineStr">
        <is>
          <t>Other neoclouds &amp; AI-native DCs</t>
        </is>
      </c>
      <c r="B15" s="27" t="inlineStr">
        <is>
          <t>Neocloud / AI-native</t>
        </is>
      </c>
      <c r="C15" s="28" t="n">
        <v>20</v>
      </c>
      <c r="D15" s="28" t="n">
        <v>60</v>
      </c>
      <c r="E15" s="28" t="n">
        <v>80</v>
      </c>
      <c r="F15" s="29" t="n">
        <v>0.75</v>
      </c>
      <c r="G15" s="28" t="n">
        <v>25</v>
      </c>
      <c r="I15" s="16" t="inlineStr">
        <is>
          <t>Lambda</t>
        </is>
      </c>
      <c r="J15" s="17" t="n">
        <v>8</v>
      </c>
      <c r="K15" s="17" t="n">
        <v>18</v>
      </c>
    </row>
    <row r="16">
      <c r="A16" s="26" t="inlineStr">
        <is>
          <t>Nebius</t>
        </is>
      </c>
      <c r="B16" s="27" t="inlineStr">
        <is>
          <t>Neocloud / AI-native</t>
        </is>
      </c>
      <c r="C16" s="28" t="n">
        <v>18</v>
      </c>
      <c r="D16" s="28" t="n">
        <v>35</v>
      </c>
      <c r="E16" s="28" t="n">
        <v>53</v>
      </c>
      <c r="F16" s="29" t="n">
        <v>0.660377358490566</v>
      </c>
      <c r="G16" s="28" t="n">
        <v>10</v>
      </c>
      <c r="I16" s="16" t="inlineStr">
        <is>
          <t>Fluidstack</t>
        </is>
      </c>
      <c r="J16" s="17" t="n">
        <v>4</v>
      </c>
      <c r="K16" s="17" t="n">
        <v>20</v>
      </c>
    </row>
    <row r="17">
      <c r="A17" s="26" t="inlineStr">
        <is>
          <t>IREN</t>
        </is>
      </c>
      <c r="B17" s="27" t="inlineStr">
        <is>
          <t>Neocloud / AI-native</t>
        </is>
      </c>
      <c r="C17" s="28" t="n">
        <v>10</v>
      </c>
      <c r="D17" s="28" t="n">
        <v>30</v>
      </c>
      <c r="E17" s="28" t="n">
        <v>40</v>
      </c>
      <c r="F17" s="29" t="n">
        <v>0.75</v>
      </c>
      <c r="G17" s="28" t="n">
        <v>8</v>
      </c>
      <c r="I17" s="16" t="inlineStr">
        <is>
          <t>Nscale</t>
        </is>
      </c>
      <c r="J17" s="17" t="n">
        <v>5</v>
      </c>
      <c r="K17" s="17" t="n">
        <v>15</v>
      </c>
    </row>
    <row r="18">
      <c r="A18" s="26" t="inlineStr">
        <is>
          <t>Crusoe</t>
        </is>
      </c>
      <c r="B18" s="27" t="inlineStr">
        <is>
          <t>Neocloud / AI-native</t>
        </is>
      </c>
      <c r="C18" s="28" t="n">
        <v>8</v>
      </c>
      <c r="D18" s="28" t="n">
        <v>25</v>
      </c>
      <c r="E18" s="28" t="n">
        <v>33</v>
      </c>
      <c r="F18" s="29" t="n">
        <v>0.7575757575757576</v>
      </c>
      <c r="G18" s="28" t="n">
        <v>12</v>
      </c>
      <c r="I18" s="16" t="inlineStr">
        <is>
          <t>Other neoclouds &amp; AI-native DCs</t>
        </is>
      </c>
      <c r="J18" s="17" t="n">
        <v>20</v>
      </c>
      <c r="K18" s="17" t="n">
        <v>60</v>
      </c>
    </row>
    <row r="19">
      <c r="A19" s="26" t="inlineStr">
        <is>
          <t>Lambda</t>
        </is>
      </c>
      <c r="B19" s="27" t="inlineStr">
        <is>
          <t>Neocloud / AI-native</t>
        </is>
      </c>
      <c r="C19" s="28" t="n">
        <v>8</v>
      </c>
      <c r="D19" s="28" t="n">
        <v>18</v>
      </c>
      <c r="E19" s="28" t="n">
        <v>26</v>
      </c>
      <c r="F19" s="29" t="n">
        <v>0.6923076923076923</v>
      </c>
      <c r="G19" s="28" t="n">
        <v>10</v>
      </c>
    </row>
    <row r="20">
      <c r="A20" s="26" t="inlineStr">
        <is>
          <t>Fluidstack</t>
        </is>
      </c>
      <c r="B20" s="27" t="inlineStr">
        <is>
          <t>Neocloud / AI-native</t>
        </is>
      </c>
      <c r="C20" s="28" t="n">
        <v>4</v>
      </c>
      <c r="D20" s="28" t="n">
        <v>20</v>
      </c>
      <c r="E20" s="28" t="n">
        <v>24</v>
      </c>
      <c r="F20" s="29" t="n">
        <v>0.8333333333333334</v>
      </c>
      <c r="G20" s="28" t="n">
        <v>14</v>
      </c>
    </row>
    <row r="21">
      <c r="A21" s="26" t="inlineStr">
        <is>
          <t>Nscale</t>
        </is>
      </c>
      <c r="B21" s="27" t="inlineStr">
        <is>
          <t>Neocloud / AI-native</t>
        </is>
      </c>
      <c r="C21" s="28" t="n">
        <v>5</v>
      </c>
      <c r="D21" s="28" t="n">
        <v>15</v>
      </c>
      <c r="E21" s="28" t="n">
        <v>20</v>
      </c>
      <c r="F21" s="29" t="n">
        <v>0.75</v>
      </c>
      <c r="G21" s="28" t="n">
        <v>8</v>
      </c>
    </row>
    <row r="22">
      <c r="A22" s="22" t="inlineStr">
        <is>
          <t>Neocloud / AI-native subtotal</t>
        </is>
      </c>
      <c r="B22" s="23" t="n"/>
      <c r="C22" s="24">
        <f>SUM(C13:C21)</f>
        <v/>
      </c>
      <c r="D22" s="24">
        <f>SUM(D13:D21)</f>
        <v/>
      </c>
      <c r="E22" s="24">
        <f>SUM(E13:E21)</f>
        <v/>
      </c>
      <c r="F22" s="25">
        <f>D22/E22</f>
        <v/>
      </c>
      <c r="G22" s="24">
        <f>SUM(G13:G21)</f>
        <v/>
      </c>
    </row>
    <row r="23">
      <c r="A23" s="30" t="inlineStr">
        <is>
          <t>GRAND TOTAL — all companies</t>
        </is>
      </c>
      <c r="B23" s="31" t="n"/>
      <c r="C23" s="32">
        <f>SUM(C6,C7,C8,C9,C10,C13,C14,C15,C16,C17,C18,C19,C20,C21)</f>
        <v/>
      </c>
      <c r="D23" s="32">
        <f>SUM(D6,D7,D8,D9,D10,D13,D14,D15,D16,D17,D18,D19,D20,D21)</f>
        <v/>
      </c>
      <c r="E23" s="32">
        <f>SUM(E6,E7,E8,E9,E10,E13,E14,E15,E16,E17,E18,E19,E20,E21)</f>
        <v/>
      </c>
      <c r="F23" s="33">
        <f>D23/E23</f>
        <v/>
      </c>
      <c r="G23" s="32">
        <f>SUM(G6,G7,G8,G9,G10,G13,G14,G15,G16,G17,G18,G19,G20,G21)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9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1" customWidth="1" min="10" max="10"/>
    <col width="13" customWidth="1" min="11" max="11"/>
    <col width="11" customWidth="1" min="12" max="12"/>
  </cols>
  <sheetData>
    <row r="1">
      <c r="A1" s="10" t="inlineStr">
        <is>
          <t>Debt Financing by Instrument Type — Cumulative 2025-2030 (US$bn)</t>
        </is>
      </c>
    </row>
    <row r="2">
      <c r="A2" s="11" t="inlineStr">
        <is>
          <t>Instrument buckets are mutually exclusive and sum to 'Total debt'. 'Off-B/S SPV/JV' is a memo (overlaps the buckets; not added).</t>
        </is>
      </c>
    </row>
    <row r="4" ht="46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Corporate bonds (public IG/HY)</t>
        </is>
      </c>
      <c r="D4" s="12" t="inlineStr">
        <is>
          <t>Bank &amp; syndicated loans</t>
        </is>
      </c>
      <c r="E4" s="12" t="inlineStr">
        <is>
          <t>Alternate private credit</t>
        </is>
      </c>
      <c r="F4" s="12" t="inlineStr">
        <is>
          <t>Insurance-linked lending</t>
        </is>
      </c>
      <c r="G4" s="12" t="inlineStr">
        <is>
          <t>Securitization / ABS / CMBS</t>
        </is>
      </c>
      <c r="H4" s="12" t="inlineStr">
        <is>
          <t>Convertibles / equity-linked</t>
        </is>
      </c>
      <c r="I4" s="12" t="inlineStr">
        <is>
          <t>Vendor &amp; equipment-lease financing</t>
        </is>
      </c>
      <c r="J4" s="12" t="inlineStr">
        <is>
          <t>Total debt</t>
        </is>
      </c>
      <c r="K4" s="12" t="inlineStr">
        <is>
          <t>Off-B/S SPV/JV
(memo)</t>
        </is>
      </c>
      <c r="L4" s="12" t="inlineStr">
        <is>
          <t>Equity /
internal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8" t="inlineStr">
        <is>
          <t>Meta Platforms</t>
        </is>
      </c>
      <c r="B6" s="34" t="inlineStr">
        <is>
          <t>Hyperscaler</t>
        </is>
      </c>
      <c r="C6" s="20" t="n">
        <v>150</v>
      </c>
      <c r="D6" s="20" t="n">
        <v>15</v>
      </c>
      <c r="E6" s="20" t="n">
        <v>110</v>
      </c>
      <c r="F6" s="20" t="n">
        <v>70</v>
      </c>
      <c r="G6" s="20" t="n">
        <v>35</v>
      </c>
      <c r="H6" s="20" t="n">
        <v>0</v>
      </c>
      <c r="I6" s="20" t="n">
        <v>20</v>
      </c>
      <c r="J6" s="35">
        <f>SUM(C6:I6)</f>
        <v/>
      </c>
      <c r="K6" s="36" t="n">
        <v>180</v>
      </c>
      <c r="L6" s="37" t="n">
        <v>487</v>
      </c>
    </row>
    <row r="7">
      <c r="A7" s="18" t="inlineStr">
        <is>
          <t>Amazon (AWS)</t>
        </is>
      </c>
      <c r="B7" s="34" t="inlineStr">
        <is>
          <t>Hyperscaler</t>
        </is>
      </c>
      <c r="C7" s="20" t="n">
        <v>200</v>
      </c>
      <c r="D7" s="20" t="n">
        <v>25</v>
      </c>
      <c r="E7" s="20" t="n">
        <v>35</v>
      </c>
      <c r="F7" s="20" t="n">
        <v>20</v>
      </c>
      <c r="G7" s="20" t="n">
        <v>10</v>
      </c>
      <c r="H7" s="20" t="n">
        <v>0</v>
      </c>
      <c r="I7" s="20" t="n">
        <v>30</v>
      </c>
      <c r="J7" s="35">
        <f>SUM(C7:I7)</f>
        <v/>
      </c>
      <c r="K7" s="36" t="n">
        <v>50</v>
      </c>
      <c r="L7" s="37" t="n">
        <v>950</v>
      </c>
    </row>
    <row r="8">
      <c r="A8" s="18" t="inlineStr">
        <is>
          <t>Microsoft</t>
        </is>
      </c>
      <c r="B8" s="34" t="inlineStr">
        <is>
          <t>Hyperscaler</t>
        </is>
      </c>
      <c r="C8" s="20" t="n">
        <v>130</v>
      </c>
      <c r="D8" s="20" t="n">
        <v>25</v>
      </c>
      <c r="E8" s="20" t="n">
        <v>30</v>
      </c>
      <c r="F8" s="20" t="n">
        <v>20</v>
      </c>
      <c r="G8" s="20" t="n">
        <v>10</v>
      </c>
      <c r="H8" s="20" t="n">
        <v>0</v>
      </c>
      <c r="I8" s="20" t="n">
        <v>35</v>
      </c>
      <c r="J8" s="35">
        <f>SUM(C8:I8)</f>
        <v/>
      </c>
      <c r="K8" s="36" t="n">
        <v>70</v>
      </c>
      <c r="L8" s="37" t="n">
        <v>750</v>
      </c>
    </row>
    <row r="9">
      <c r="A9" s="18" t="inlineStr">
        <is>
          <t>Alphabet (Google)</t>
        </is>
      </c>
      <c r="B9" s="34" t="inlineStr">
        <is>
          <t>Hyperscaler</t>
        </is>
      </c>
      <c r="C9" s="20" t="n">
        <v>160</v>
      </c>
      <c r="D9" s="20" t="n">
        <v>15</v>
      </c>
      <c r="E9" s="20" t="n">
        <v>25</v>
      </c>
      <c r="F9" s="20" t="n">
        <v>12</v>
      </c>
      <c r="G9" s="20" t="n">
        <v>8</v>
      </c>
      <c r="H9" s="20" t="n">
        <v>0</v>
      </c>
      <c r="I9" s="20" t="n">
        <v>10</v>
      </c>
      <c r="J9" s="35">
        <f>SUM(C9:I9)</f>
        <v/>
      </c>
      <c r="K9" s="36" t="n">
        <v>30</v>
      </c>
      <c r="L9" s="37" t="n">
        <v>931</v>
      </c>
    </row>
    <row r="10">
      <c r="A10" s="18" t="inlineStr">
        <is>
          <t>Oracle (OCI)</t>
        </is>
      </c>
      <c r="B10" s="34" t="inlineStr">
        <is>
          <t>Hyperscaler</t>
        </is>
      </c>
      <c r="C10" s="20" t="n">
        <v>120</v>
      </c>
      <c r="D10" s="20" t="n">
        <v>30</v>
      </c>
      <c r="E10" s="20" t="n">
        <v>35</v>
      </c>
      <c r="F10" s="20" t="n">
        <v>15</v>
      </c>
      <c r="G10" s="20" t="n">
        <v>5</v>
      </c>
      <c r="H10" s="20" t="n">
        <v>0</v>
      </c>
      <c r="I10" s="20" t="n">
        <v>10</v>
      </c>
      <c r="J10" s="35">
        <f>SUM(C10:I10)</f>
        <v/>
      </c>
      <c r="K10" s="36" t="n">
        <v>45</v>
      </c>
      <c r="L10" s="37" t="n">
        <v>175</v>
      </c>
    </row>
    <row r="11">
      <c r="A11" s="38" t="inlineStr">
        <is>
          <t>Hyperscaler subtotal</t>
        </is>
      </c>
      <c r="B11" s="23" t="n"/>
      <c r="C11" s="24">
        <f>SUM(C6:C10)</f>
        <v/>
      </c>
      <c r="D11" s="24">
        <f>SUM(D6:D10)</f>
        <v/>
      </c>
      <c r="E11" s="24">
        <f>SUM(E6:E10)</f>
        <v/>
      </c>
      <c r="F11" s="24">
        <f>SUM(F6:F10)</f>
        <v/>
      </c>
      <c r="G11" s="24">
        <f>SUM(G6:G10)</f>
        <v/>
      </c>
      <c r="H11" s="24">
        <f>SUM(H6:H10)</f>
        <v/>
      </c>
      <c r="I11" s="24">
        <f>SUM(I6:I10)</f>
        <v/>
      </c>
      <c r="J11" s="24">
        <f>SUM(J6:J10)</f>
        <v/>
      </c>
      <c r="K11" s="24">
        <f>SUM(K6:K10)</f>
        <v/>
      </c>
      <c r="L11" s="24">
        <f>SUM(L6:L10)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26" t="inlineStr">
        <is>
          <t>CoreWeave</t>
        </is>
      </c>
      <c r="B13" s="39" t="inlineStr">
        <is>
          <t>Neocloud / AI-native</t>
        </is>
      </c>
      <c r="C13" s="28" t="n">
        <v>10</v>
      </c>
      <c r="D13" s="28" t="n">
        <v>50</v>
      </c>
      <c r="E13" s="28" t="n">
        <v>30</v>
      </c>
      <c r="F13" s="28" t="n">
        <v>12</v>
      </c>
      <c r="G13" s="28" t="n">
        <v>8</v>
      </c>
      <c r="H13" s="28" t="n">
        <v>10</v>
      </c>
      <c r="I13" s="28" t="n">
        <v>0</v>
      </c>
      <c r="J13" s="40">
        <f>SUM(C13:I13)</f>
        <v/>
      </c>
      <c r="K13" s="41" t="n">
        <v>95</v>
      </c>
      <c r="L13" s="42" t="n">
        <v>25</v>
      </c>
    </row>
    <row r="14">
      <c r="A14" s="26" t="inlineStr">
        <is>
          <t>xAI (Colossus)</t>
        </is>
      </c>
      <c r="B14" s="39" t="inlineStr">
        <is>
          <t>Neocloud / AI-native</t>
        </is>
      </c>
      <c r="C14" s="28" t="n">
        <v>12</v>
      </c>
      <c r="D14" s="28" t="n">
        <v>18</v>
      </c>
      <c r="E14" s="28" t="n">
        <v>20</v>
      </c>
      <c r="F14" s="28" t="n">
        <v>3</v>
      </c>
      <c r="G14" s="28" t="n">
        <v>2</v>
      </c>
      <c r="H14" s="28" t="n">
        <v>0</v>
      </c>
      <c r="I14" s="28" t="n">
        <v>15</v>
      </c>
      <c r="J14" s="40">
        <f>SUM(C14:I14)</f>
        <v/>
      </c>
      <c r="K14" s="41" t="n">
        <v>45</v>
      </c>
      <c r="L14" s="42" t="n">
        <v>55</v>
      </c>
    </row>
    <row r="15">
      <c r="A15" s="26" t="inlineStr">
        <is>
          <t>Other neoclouds &amp; AI-native DCs</t>
        </is>
      </c>
      <c r="B15" s="39" t="inlineStr">
        <is>
          <t>Neocloud / AI-native</t>
        </is>
      </c>
      <c r="C15" s="28" t="n">
        <v>8</v>
      </c>
      <c r="D15" s="28" t="n">
        <v>18</v>
      </c>
      <c r="E15" s="28" t="n">
        <v>18</v>
      </c>
      <c r="F15" s="28" t="n">
        <v>6</v>
      </c>
      <c r="G15" s="28" t="n">
        <v>6</v>
      </c>
      <c r="H15" s="28" t="n">
        <v>2</v>
      </c>
      <c r="I15" s="28" t="n">
        <v>2</v>
      </c>
      <c r="J15" s="40">
        <f>SUM(C15:I15)</f>
        <v/>
      </c>
      <c r="K15" s="41" t="n">
        <v>25</v>
      </c>
      <c r="L15" s="42" t="n">
        <v>20</v>
      </c>
    </row>
    <row r="16">
      <c r="A16" s="26" t="inlineStr">
        <is>
          <t>Nebius</t>
        </is>
      </c>
      <c r="B16" s="39" t="inlineStr">
        <is>
          <t>Neocloud / AI-native</t>
        </is>
      </c>
      <c r="C16" s="28" t="n">
        <v>2</v>
      </c>
      <c r="D16" s="28" t="n">
        <v>12</v>
      </c>
      <c r="E16" s="28" t="n">
        <v>8</v>
      </c>
      <c r="F16" s="28" t="n">
        <v>3</v>
      </c>
      <c r="G16" s="28" t="n">
        <v>2</v>
      </c>
      <c r="H16" s="28" t="n">
        <v>6</v>
      </c>
      <c r="I16" s="28" t="n">
        <v>2</v>
      </c>
      <c r="J16" s="40">
        <f>SUM(C16:I16)</f>
        <v/>
      </c>
      <c r="K16" s="41" t="n">
        <v>10</v>
      </c>
      <c r="L16" s="42" t="n">
        <v>18</v>
      </c>
    </row>
    <row r="17">
      <c r="A17" s="26" t="inlineStr">
        <is>
          <t>IREN</t>
        </is>
      </c>
      <c r="B17" s="39" t="inlineStr">
        <is>
          <t>Neocloud / AI-native</t>
        </is>
      </c>
      <c r="C17" s="28" t="n">
        <v>3</v>
      </c>
      <c r="D17" s="28" t="n">
        <v>8</v>
      </c>
      <c r="E17" s="28" t="n">
        <v>8</v>
      </c>
      <c r="F17" s="28" t="n">
        <v>3</v>
      </c>
      <c r="G17" s="28" t="n">
        <v>3</v>
      </c>
      <c r="H17" s="28" t="n">
        <v>5</v>
      </c>
      <c r="I17" s="28" t="n">
        <v>0</v>
      </c>
      <c r="J17" s="40">
        <f>SUM(C17:I17)</f>
        <v/>
      </c>
      <c r="K17" s="41" t="n">
        <v>8</v>
      </c>
      <c r="L17" s="42" t="n">
        <v>10</v>
      </c>
    </row>
    <row r="18">
      <c r="A18" s="26" t="inlineStr">
        <is>
          <t>Crusoe</t>
        </is>
      </c>
      <c r="B18" s="39" t="inlineStr">
        <is>
          <t>Neocloud / AI-native</t>
        </is>
      </c>
      <c r="C18" s="28" t="n">
        <v>2</v>
      </c>
      <c r="D18" s="28" t="n">
        <v>6</v>
      </c>
      <c r="E18" s="28" t="n">
        <v>9</v>
      </c>
      <c r="F18" s="28" t="n">
        <v>3</v>
      </c>
      <c r="G18" s="28" t="n">
        <v>2</v>
      </c>
      <c r="H18" s="28" t="n">
        <v>0</v>
      </c>
      <c r="I18" s="28" t="n">
        <v>3</v>
      </c>
      <c r="J18" s="40">
        <f>SUM(C18:I18)</f>
        <v/>
      </c>
      <c r="K18" s="41" t="n">
        <v>12</v>
      </c>
      <c r="L18" s="42" t="n">
        <v>8</v>
      </c>
    </row>
    <row r="19">
      <c r="A19" s="26" t="inlineStr">
        <is>
          <t>Fluidstack</t>
        </is>
      </c>
      <c r="B19" s="39" t="inlineStr">
        <is>
          <t>Neocloud / AI-native</t>
        </is>
      </c>
      <c r="C19" s="28" t="n">
        <v>1</v>
      </c>
      <c r="D19" s="28" t="n">
        <v>6</v>
      </c>
      <c r="E19" s="28" t="n">
        <v>8</v>
      </c>
      <c r="F19" s="28" t="n">
        <v>2</v>
      </c>
      <c r="G19" s="28" t="n">
        <v>1</v>
      </c>
      <c r="H19" s="28" t="n">
        <v>0</v>
      </c>
      <c r="I19" s="28" t="n">
        <v>2</v>
      </c>
      <c r="J19" s="40">
        <f>SUM(C19:I19)</f>
        <v/>
      </c>
      <c r="K19" s="41" t="n">
        <v>14</v>
      </c>
      <c r="L19" s="42" t="n">
        <v>4</v>
      </c>
    </row>
    <row r="20">
      <c r="A20" s="26" t="inlineStr">
        <is>
          <t>Lambda</t>
        </is>
      </c>
      <c r="B20" s="39" t="inlineStr">
        <is>
          <t>Neocloud / AI-native</t>
        </is>
      </c>
      <c r="C20" s="28" t="n">
        <v>1</v>
      </c>
      <c r="D20" s="28" t="n">
        <v>8</v>
      </c>
      <c r="E20" s="28" t="n">
        <v>5</v>
      </c>
      <c r="F20" s="28" t="n">
        <v>2</v>
      </c>
      <c r="G20" s="28" t="n">
        <v>1</v>
      </c>
      <c r="H20" s="28" t="n">
        <v>1</v>
      </c>
      <c r="I20" s="28" t="n">
        <v>0</v>
      </c>
      <c r="J20" s="40">
        <f>SUM(C20:I20)</f>
        <v/>
      </c>
      <c r="K20" s="41" t="n">
        <v>10</v>
      </c>
      <c r="L20" s="42" t="n">
        <v>8</v>
      </c>
    </row>
    <row r="21">
      <c r="A21" s="26" t="inlineStr">
        <is>
          <t>Nscale</t>
        </is>
      </c>
      <c r="B21" s="39" t="inlineStr">
        <is>
          <t>Neocloud / AI-native</t>
        </is>
      </c>
      <c r="C21" s="28" t="n">
        <v>1</v>
      </c>
      <c r="D21" s="28" t="n">
        <v>6</v>
      </c>
      <c r="E21" s="28" t="n">
        <v>5</v>
      </c>
      <c r="F21" s="28" t="n">
        <v>1</v>
      </c>
      <c r="G21" s="28" t="n">
        <v>1</v>
      </c>
      <c r="H21" s="28" t="n">
        <v>0</v>
      </c>
      <c r="I21" s="28" t="n">
        <v>1</v>
      </c>
      <c r="J21" s="40">
        <f>SUM(C21:I21)</f>
        <v/>
      </c>
      <c r="K21" s="41" t="n">
        <v>8</v>
      </c>
      <c r="L21" s="42" t="n">
        <v>5</v>
      </c>
    </row>
    <row r="22">
      <c r="A22" s="38" t="inlineStr">
        <is>
          <t>Neocloud / AI-native subtotal</t>
        </is>
      </c>
      <c r="B22" s="23" t="n"/>
      <c r="C22" s="24">
        <f>SUM(C13:C21)</f>
        <v/>
      </c>
      <c r="D22" s="24">
        <f>SUM(D13:D21)</f>
        <v/>
      </c>
      <c r="E22" s="24">
        <f>SUM(E13:E21)</f>
        <v/>
      </c>
      <c r="F22" s="24">
        <f>SUM(F13:F21)</f>
        <v/>
      </c>
      <c r="G22" s="24">
        <f>SUM(G13:G21)</f>
        <v/>
      </c>
      <c r="H22" s="24">
        <f>SUM(H13:H21)</f>
        <v/>
      </c>
      <c r="I22" s="24">
        <f>SUM(I13:I21)</f>
        <v/>
      </c>
      <c r="J22" s="24">
        <f>SUM(J13:J21)</f>
        <v/>
      </c>
      <c r="K22" s="24">
        <f>SUM(K13:K21)</f>
        <v/>
      </c>
      <c r="L22" s="24">
        <f>SUM(L13:L21)</f>
        <v/>
      </c>
    </row>
    <row r="23">
      <c r="A23" s="30" t="inlineStr">
        <is>
          <t>GRAND TOTAL</t>
        </is>
      </c>
      <c r="B23" s="31" t="n"/>
      <c r="C23" s="32">
        <f>SUM(C6,C7,C8,C9,C10,C13,C14,C15,C16,C17,C18,C19,C20,C21)</f>
        <v/>
      </c>
      <c r="D23" s="32">
        <f>SUM(D6,D7,D8,D9,D10,D13,D14,D15,D16,D17,D18,D19,D20,D21)</f>
        <v/>
      </c>
      <c r="E23" s="32">
        <f>SUM(E6,E7,E8,E9,E10,E13,E14,E15,E16,E17,E18,E19,E20,E21)</f>
        <v/>
      </c>
      <c r="F23" s="32">
        <f>SUM(F6,F7,F8,F9,F10,F13,F14,F15,F16,F17,F18,F19,F20,F21)</f>
        <v/>
      </c>
      <c r="G23" s="32">
        <f>SUM(G6,G7,G8,G9,G10,G13,G14,G15,G16,G17,G18,G19,G20,G21)</f>
        <v/>
      </c>
      <c r="H23" s="32">
        <f>SUM(H6,H7,H8,H9,H10,H13,H14,H15,H16,H17,H18,H19,H20,H21)</f>
        <v/>
      </c>
      <c r="I23" s="32">
        <f>SUM(I6,I7,I8,I9,I10,I13,I14,I15,I16,I17,I18,I19,I20,I21)</f>
        <v/>
      </c>
      <c r="J23" s="32">
        <f>SUM(J6,J7,J8,J9,J10,J13,J14,J15,J16,J17,J18,J19,J20,J21)</f>
        <v/>
      </c>
      <c r="K23" s="32">
        <f>SUM(K6,K7,K8,K9,K10,K13,K14,K15,K16,K17,K18,K19,K20,K21)</f>
        <v/>
      </c>
      <c r="L23" s="32">
        <f>SUM(L6,L7,L8,L9,L10,L13,L14,L15,L16,L17,L18,L19,L20,L21)</f>
        <v/>
      </c>
    </row>
    <row r="24">
      <c r="A24" s="43" t="inlineStr">
        <is>
          <t>% of total debt</t>
        </is>
      </c>
      <c r="C24" s="44">
        <f>C23/$J$23</f>
        <v/>
      </c>
      <c r="D24" s="44">
        <f>D23/$J$23</f>
        <v/>
      </c>
      <c r="E24" s="44">
        <f>E23/$J$23</f>
        <v/>
      </c>
      <c r="F24" s="44">
        <f>F23/$J$23</f>
        <v/>
      </c>
      <c r="G24" s="44">
        <f>G23/$J$23</f>
        <v/>
      </c>
      <c r="H24" s="44">
        <f>H23/$J$23</f>
        <v/>
      </c>
      <c r="I24" s="44">
        <f>I23/$J$23</f>
        <v/>
      </c>
      <c r="J24" s="45">
        <f>J23/J23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3" customWidth="1" min="8" max="8"/>
  </cols>
  <sheetData>
    <row r="1">
      <c r="A1" s="10" t="inlineStr">
        <is>
          <t>AI-Infrastructure Capex Projections, 2025-2030 (US$bn)</t>
        </is>
      </c>
    </row>
    <row r="2">
      <c r="A2" s="11" t="inlineStr">
        <is>
          <t>Estimated annual capital expenditure directed at AI infrastructure (data centers, GPUs, networking, power). Cumulative ≈ total financing on the Summary sheet.</t>
        </is>
      </c>
    </row>
    <row r="4" ht="28" customHeight="1">
      <c r="A4" s="12" t="inlineStr">
        <is>
          <t>Company</t>
        </is>
      </c>
      <c r="B4" s="12" t="inlineStr">
        <is>
          <t>2025</t>
        </is>
      </c>
      <c r="C4" s="12" t="inlineStr">
        <is>
          <t>2026</t>
        </is>
      </c>
      <c r="D4" s="12" t="inlineStr">
        <is>
          <t>2027</t>
        </is>
      </c>
      <c r="E4" s="12" t="inlineStr">
        <is>
          <t>2028</t>
        </is>
      </c>
      <c r="F4" s="12" t="inlineStr">
        <is>
          <t>2029</t>
        </is>
      </c>
      <c r="G4" s="12" t="inlineStr">
        <is>
          <t>2030</t>
        </is>
      </c>
      <c r="H4" s="12" t="inlineStr">
        <is>
          <t>Cumulative
2025-30</t>
        </is>
      </c>
    </row>
    <row r="5">
      <c r="A5" s="18" t="inlineStr">
        <is>
          <t>Microsoft</t>
        </is>
      </c>
      <c r="B5" s="20" t="n">
        <v>95</v>
      </c>
      <c r="C5" s="20" t="n">
        <v>140</v>
      </c>
      <c r="D5" s="20" t="n">
        <v>165</v>
      </c>
      <c r="E5" s="20" t="n">
        <v>185</v>
      </c>
      <c r="F5" s="20" t="n">
        <v>200</v>
      </c>
      <c r="G5" s="20" t="n">
        <v>215</v>
      </c>
      <c r="H5" s="35">
        <f>SUM(B5:G5)</f>
        <v/>
      </c>
    </row>
    <row r="6">
      <c r="A6" s="18" t="inlineStr">
        <is>
          <t>Amazon (AWS)</t>
        </is>
      </c>
      <c r="B6" s="20" t="n">
        <v>100</v>
      </c>
      <c r="C6" s="20" t="n">
        <v>200</v>
      </c>
      <c r="D6" s="20" t="n">
        <v>225</v>
      </c>
      <c r="E6" s="20" t="n">
        <v>240</v>
      </c>
      <c r="F6" s="20" t="n">
        <v>250</v>
      </c>
      <c r="G6" s="20" t="n">
        <v>255</v>
      </c>
      <c r="H6" s="35">
        <f>SUM(B6:G6)</f>
        <v/>
      </c>
    </row>
    <row r="7">
      <c r="A7" s="18" t="inlineStr">
        <is>
          <t>Alphabet (Google)</t>
        </is>
      </c>
      <c r="B7" s="20" t="n">
        <v>91</v>
      </c>
      <c r="C7" s="20" t="n">
        <v>180</v>
      </c>
      <c r="D7" s="20" t="n">
        <v>200</v>
      </c>
      <c r="E7" s="20" t="n">
        <v>215</v>
      </c>
      <c r="F7" s="20" t="n">
        <v>230</v>
      </c>
      <c r="G7" s="20" t="n">
        <v>245</v>
      </c>
      <c r="H7" s="35">
        <f>SUM(B7:G7)</f>
        <v/>
      </c>
    </row>
    <row r="8">
      <c r="A8" s="18" t="inlineStr">
        <is>
          <t>Meta Platforms</t>
        </is>
      </c>
      <c r="B8" s="20" t="n">
        <v>72</v>
      </c>
      <c r="C8" s="20" t="n">
        <v>125</v>
      </c>
      <c r="D8" s="20" t="n">
        <v>150</v>
      </c>
      <c r="E8" s="20" t="n">
        <v>165</v>
      </c>
      <c r="F8" s="20" t="n">
        <v>180</v>
      </c>
      <c r="G8" s="20" t="n">
        <v>195</v>
      </c>
      <c r="H8" s="35">
        <f>SUM(B8:G8)</f>
        <v/>
      </c>
    </row>
    <row r="9">
      <c r="A9" s="18" t="inlineStr">
        <is>
          <t>Oracle (OCI)</t>
        </is>
      </c>
      <c r="B9" s="20" t="n">
        <v>25</v>
      </c>
      <c r="C9" s="20" t="n">
        <v>50</v>
      </c>
      <c r="D9" s="20" t="n">
        <v>65</v>
      </c>
      <c r="E9" s="20" t="n">
        <v>75</v>
      </c>
      <c r="F9" s="20" t="n">
        <v>85</v>
      </c>
      <c r="G9" s="20" t="n">
        <v>90</v>
      </c>
      <c r="H9" s="35">
        <f>SUM(B9:G9)</f>
        <v/>
      </c>
    </row>
    <row r="10">
      <c r="A10" s="26" t="inlineStr">
        <is>
          <t>Neoclouds / AI-native (aggregate)</t>
        </is>
      </c>
      <c r="B10" s="28" t="n">
        <v>60</v>
      </c>
      <c r="C10" s="28" t="n">
        <v>95</v>
      </c>
      <c r="D10" s="28" t="n">
        <v>110</v>
      </c>
      <c r="E10" s="28" t="n">
        <v>95</v>
      </c>
      <c r="F10" s="28" t="n">
        <v>90</v>
      </c>
      <c r="G10" s="28" t="n">
        <v>96</v>
      </c>
      <c r="H10" s="40">
        <f>SUM(B10:G10)</f>
        <v/>
      </c>
    </row>
    <row r="11">
      <c r="A11" s="46" t="inlineStr">
        <is>
          <t>TOTAL</t>
        </is>
      </c>
      <c r="B11" s="32">
        <f>SUM(B5:B10)</f>
        <v/>
      </c>
      <c r="C11" s="32">
        <f>SUM(C5:C10)</f>
        <v/>
      </c>
      <c r="D11" s="32">
        <f>SUM(D5:D10)</f>
        <v/>
      </c>
      <c r="E11" s="32">
        <f>SUM(E5:E10)</f>
        <v/>
      </c>
      <c r="F11" s="32">
        <f>SUM(F5:F10)</f>
        <v/>
      </c>
      <c r="G11" s="32">
        <f>SUM(G5:G10)</f>
        <v/>
      </c>
      <c r="H11" s="32">
        <f>SUM(H5:H10)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64" customWidth="1" min="2" max="2"/>
    <col width="10" customWidth="1" min="3" max="3"/>
    <col width="14" customWidth="1" min="4" max="4"/>
    <col width="22" customWidth="1" min="5" max="5"/>
    <col width="22" customWidth="1" min="6" max="6"/>
  </cols>
  <sheetData>
    <row r="1">
      <c r="A1" s="10" t="inlineStr">
        <is>
          <t>Key Disclosed Transactions &amp; Sources</t>
        </is>
      </c>
    </row>
    <row r="2">
      <c r="A2" s="11" t="inlineStr">
        <is>
          <t>Representative deals underpinning the estimates. Amounts as reported; '~' denotes approximate/announced figures. Not exhaustive.</t>
        </is>
      </c>
    </row>
    <row r="4" ht="18" customHeight="1">
      <c r="A4" s="12" t="inlineStr">
        <is>
          <t>Company / Group</t>
        </is>
      </c>
      <c r="B4" s="12" t="inlineStr">
        <is>
          <t>Transaction</t>
        </is>
      </c>
      <c r="C4" s="12" t="inlineStr">
        <is>
          <t>Period</t>
        </is>
      </c>
      <c r="D4" s="12" t="inlineStr">
        <is>
          <t>Amount</t>
        </is>
      </c>
      <c r="E4" s="12" t="inlineStr">
        <is>
          <t>Primary instrument</t>
        </is>
      </c>
      <c r="F4" s="12" t="inlineStr">
        <is>
          <t>Source(s)</t>
        </is>
      </c>
    </row>
    <row r="5" ht="30" customHeight="1">
      <c r="A5" s="47" t="inlineStr">
        <is>
          <t>Meta Platforms</t>
        </is>
      </c>
      <c r="B5" s="48" t="inlineStr">
        <is>
          <t>Hyperion JV (Beignet Investor LLC) — Blue Owl 80% / Meta 20%; $27.3bn A+ private bond led by PIMCO (~$18bn) &amp; BlackRock; off-B/S SPV w/ residual-value guarantee</t>
        </is>
      </c>
      <c r="C5" s="48" t="inlineStr">
        <is>
          <t>2025</t>
        </is>
      </c>
      <c r="D5" s="48" t="inlineStr">
        <is>
          <t>$27.3bn debt</t>
        </is>
      </c>
      <c r="E5" s="48" t="inlineStr">
        <is>
          <t>SPV / private credit / insurance</t>
        </is>
      </c>
      <c r="F5" s="49" t="inlineStr">
        <is>
          <t>Meta IR; FT; S&amp;P</t>
        </is>
      </c>
    </row>
    <row r="6" ht="30" customHeight="1">
      <c r="A6" s="50" t="inlineStr">
        <is>
          <t>Meta Platforms</t>
        </is>
      </c>
      <c r="B6" s="51" t="inlineStr">
        <is>
          <t>$30bn multi-tranche IG corporate bond (largest 2025 IG deal), maturities to 2063</t>
        </is>
      </c>
      <c r="C6" s="51" t="inlineStr">
        <is>
          <t>2025</t>
        </is>
      </c>
      <c r="D6" s="51" t="inlineStr">
        <is>
          <t>$30bn</t>
        </is>
      </c>
      <c r="E6" s="51" t="inlineStr">
        <is>
          <t>Corporate bonds</t>
        </is>
      </c>
      <c r="F6" s="52" t="inlineStr">
        <is>
          <t>BofA; MUFG</t>
        </is>
      </c>
    </row>
    <row r="7" ht="30" customHeight="1">
      <c r="A7" s="47" t="inlineStr">
        <is>
          <t>Amazon (AWS)</t>
        </is>
      </c>
      <c r="B7" s="48" t="inlineStr">
        <is>
          <t>~$54bn USD + €14.5bn (~$16.8bn) IG bonds (near-record), ~4x oversubscribed</t>
        </is>
      </c>
      <c r="C7" s="48" t="inlineStr">
        <is>
          <t>2026</t>
        </is>
      </c>
      <c r="D7" s="48" t="inlineStr">
        <is>
          <t>~$71bn</t>
        </is>
      </c>
      <c r="E7" s="48" t="inlineStr">
        <is>
          <t>Corporate bonds</t>
        </is>
      </c>
      <c r="F7" s="49" t="inlineStr">
        <is>
          <t>CNA; Reuters</t>
        </is>
      </c>
    </row>
    <row r="8" ht="30" customHeight="1">
      <c r="A8" s="50" t="inlineStr">
        <is>
          <t>Amazon (AWS)</t>
        </is>
      </c>
      <c r="B8" s="51" t="inlineStr">
        <is>
          <t>$15bn IG bond</t>
        </is>
      </c>
      <c r="C8" s="51" t="inlineStr">
        <is>
          <t>2025</t>
        </is>
      </c>
      <c r="D8" s="51" t="inlineStr">
        <is>
          <t>$15bn</t>
        </is>
      </c>
      <c r="E8" s="51" t="inlineStr">
        <is>
          <t>Corporate bonds</t>
        </is>
      </c>
      <c r="F8" s="52" t="inlineStr">
        <is>
          <t>CNA</t>
        </is>
      </c>
    </row>
    <row r="9" ht="30" customHeight="1">
      <c r="A9" s="47" t="inlineStr">
        <is>
          <t>Alphabet (Google)</t>
        </is>
      </c>
      <c r="B9" s="48" t="inlineStr">
        <is>
          <t>~$32bn multi-currency bond incl. rare 100-yr tranche; plus $17.5bn Nov 2025</t>
        </is>
      </c>
      <c r="C9" s="48" t="inlineStr">
        <is>
          <t>2025-26</t>
        </is>
      </c>
      <c r="D9" s="48" t="inlineStr">
        <is>
          <t>~$50bn</t>
        </is>
      </c>
      <c r="E9" s="48" t="inlineStr">
        <is>
          <t>Corporate bonds</t>
        </is>
      </c>
      <c r="F9" s="49" t="inlineStr">
        <is>
          <t>ConstructConnect; CNA</t>
        </is>
      </c>
    </row>
    <row r="10" ht="30" customHeight="1">
      <c r="A10" s="50" t="inlineStr">
        <is>
          <t>Oracle (OCI)</t>
        </is>
      </c>
      <c r="B10" s="51" t="inlineStr">
        <is>
          <t>$25bn 8-part IG bond (Feb 2026) within $45-50bn CY26 debt+equity plan; $20bn ATM + mandatory convertible preferred (equity)</t>
        </is>
      </c>
      <c r="C10" s="51" t="inlineStr">
        <is>
          <t>2026</t>
        </is>
      </c>
      <c r="D10" s="51" t="inlineStr">
        <is>
          <t>$25bn debt</t>
        </is>
      </c>
      <c r="E10" s="51" t="inlineStr">
        <is>
          <t>Corporate bonds + equity</t>
        </is>
      </c>
      <c r="F10" s="52" t="inlineStr">
        <is>
          <t>Oracle IR; IFR</t>
        </is>
      </c>
    </row>
    <row r="11" ht="30" customHeight="1">
      <c r="A11" s="47" t="inlineStr">
        <is>
          <t>Oracle (OCI)</t>
        </is>
      </c>
      <c r="B11" s="48" t="inlineStr">
        <is>
          <t>$18bn 6-part IG bond (Sep 2025)</t>
        </is>
      </c>
      <c r="C11" s="48" t="inlineStr">
        <is>
          <t>2025</t>
        </is>
      </c>
      <c r="D11" s="48" t="inlineStr">
        <is>
          <t>$18bn</t>
        </is>
      </c>
      <c r="E11" s="48" t="inlineStr">
        <is>
          <t>Corporate bonds</t>
        </is>
      </c>
      <c r="F11" s="49" t="inlineStr">
        <is>
          <t>Reuters/CNA</t>
        </is>
      </c>
    </row>
    <row r="12" ht="30" customHeight="1">
      <c r="A12" s="50" t="inlineStr">
        <is>
          <t>Oracle (OCI)</t>
        </is>
      </c>
      <c r="B12" s="51" t="inlineStr">
        <is>
          <t>Project-level SPV financing: ~$16.3bn Michigan campus; further Texas / Wisconsin deals</t>
        </is>
      </c>
      <c r="C12" s="51" t="inlineStr">
        <is>
          <t>2025-26</t>
        </is>
      </c>
      <c r="D12" s="51" t="inlineStr">
        <is>
          <t>~$25bn+</t>
        </is>
      </c>
      <c r="E12" s="51" t="inlineStr">
        <is>
          <t>SPV / project finance</t>
        </is>
      </c>
      <c r="F12" s="52" t="inlineStr">
        <is>
          <t>Press reports</t>
        </is>
      </c>
    </row>
    <row r="13" ht="30" customHeight="1">
      <c r="A13" s="47" t="inlineStr">
        <is>
          <t>Microsoft</t>
        </is>
      </c>
      <c r="B13" s="48" t="inlineStr">
        <is>
          <t>Finance-lease driven build (~$108bn uncommenced finance leases as of 9/30/24; commence FY25-FY30)</t>
        </is>
      </c>
      <c r="C13" s="48" t="inlineStr">
        <is>
          <t>2024-30</t>
        </is>
      </c>
      <c r="D13" s="48" t="inlineStr">
        <is>
          <t>$100bn+ leases</t>
        </is>
      </c>
      <c r="E13" s="48" t="inlineStr">
        <is>
          <t>Vendor / lease / SPV</t>
        </is>
      </c>
      <c r="F13" s="49" t="inlineStr">
        <is>
          <t>MSFT 10-Q; CNBC</t>
        </is>
      </c>
    </row>
    <row r="14" ht="30" customHeight="1">
      <c r="A14" s="50" t="inlineStr">
        <is>
          <t>CoreWeave</t>
        </is>
      </c>
      <c r="B14" s="51" t="inlineStr">
        <is>
          <t>DDTL 4.0 — $8.5bn delayed-draw term loan; first IG-rated (Moody's A3 / DBRS A-low) GPU-backed financing; SOFR+225 / ~5.9%</t>
        </is>
      </c>
      <c r="C14" s="51" t="inlineStr">
        <is>
          <t>2026</t>
        </is>
      </c>
      <c r="D14" s="51" t="inlineStr">
        <is>
          <t>$8.5bn</t>
        </is>
      </c>
      <c r="E14" s="51" t="inlineStr">
        <is>
          <t>Bank / GPU-backed loan</t>
        </is>
      </c>
      <c r="F14" s="52" t="inlineStr">
        <is>
          <t>CoreWeave IR</t>
        </is>
      </c>
    </row>
    <row r="15" ht="30" customHeight="1">
      <c r="A15" s="47" t="inlineStr">
        <is>
          <t>CoreWeave</t>
        </is>
      </c>
      <c r="B15" s="48" t="inlineStr">
        <is>
          <t>$7.5bn debt facility led by Blackstone &amp; Magnetar (largest private debt deal at the time)</t>
        </is>
      </c>
      <c r="C15" s="48" t="inlineStr">
        <is>
          <t>2024</t>
        </is>
      </c>
      <c r="D15" s="48" t="inlineStr">
        <is>
          <t>$7.5bn</t>
        </is>
      </c>
      <c r="E15" s="48" t="inlineStr">
        <is>
          <t>Private credit / loan</t>
        </is>
      </c>
      <c r="F15" s="49" t="inlineStr">
        <is>
          <t>Blackstone</t>
        </is>
      </c>
    </row>
    <row r="16" ht="30" customHeight="1">
      <c r="A16" s="50" t="inlineStr">
        <is>
          <t>CoreWeave</t>
        </is>
      </c>
      <c r="B16" s="51" t="inlineStr">
        <is>
          <t>$2.7bn 1.75% convertible notes; ~$30bn total debt by early 2026; ~$28bn debt+equity raised in 12 mos</t>
        </is>
      </c>
      <c r="C16" s="51" t="inlineStr">
        <is>
          <t>2025-26</t>
        </is>
      </c>
      <c r="D16" s="51" t="inlineStr">
        <is>
          <t>$2.7bn conv.</t>
        </is>
      </c>
      <c r="E16" s="51" t="inlineStr">
        <is>
          <t>Convertibles</t>
        </is>
      </c>
      <c r="F16" s="52" t="inlineStr">
        <is>
          <t>thedig; CoreWeave</t>
        </is>
      </c>
    </row>
    <row r="17" ht="30" customHeight="1">
      <c r="A17" s="47" t="inlineStr">
        <is>
          <t>CoreWeave</t>
        </is>
      </c>
      <c r="B17" s="48" t="inlineStr">
        <is>
          <t>$2bn strategic equity from NVIDIA; IPO Mar 2025 raised ~$1.5bn</t>
        </is>
      </c>
      <c r="C17" s="48" t="inlineStr">
        <is>
          <t>2025-26</t>
        </is>
      </c>
      <c r="D17" s="48" t="inlineStr">
        <is>
          <t>$3.5bn equity</t>
        </is>
      </c>
      <c r="E17" s="48" t="inlineStr">
        <is>
          <t>Equity</t>
        </is>
      </c>
      <c r="F17" s="49" t="inlineStr">
        <is>
          <t>CNBC; CoreWeave</t>
        </is>
      </c>
    </row>
    <row r="18" ht="30" customHeight="1">
      <c r="A18" s="50" t="inlineStr">
        <is>
          <t>xAI (Colossus)</t>
        </is>
      </c>
      <c r="B18" s="51" t="inlineStr">
        <is>
          <t>$10bn raise ($5bn secured notes/term loans + $5bn equity) via Morgan Stanley</t>
        </is>
      </c>
      <c r="C18" s="51" t="inlineStr">
        <is>
          <t>2025</t>
        </is>
      </c>
      <c r="D18" s="51" t="inlineStr">
        <is>
          <t>$10bn</t>
        </is>
      </c>
      <c r="E18" s="51" t="inlineStr">
        <is>
          <t>Loans + equity</t>
        </is>
      </c>
      <c r="F18" s="52" t="inlineStr">
        <is>
          <t>CNBC</t>
        </is>
      </c>
    </row>
    <row r="19" ht="30" customHeight="1">
      <c r="A19" s="47" t="inlineStr">
        <is>
          <t>xAI (Colossus)</t>
        </is>
      </c>
      <c r="B19" s="48" t="inlineStr">
        <is>
          <t>Colossus 2 SPV (Valor Equity): ~$12.5bn debt + ~$7.5bn equity (NVIDIA up to $2bn) to buy &amp; lease GPUs</t>
        </is>
      </c>
      <c r="C19" s="48" t="inlineStr">
        <is>
          <t>2025-26</t>
        </is>
      </c>
      <c r="D19" s="48" t="inlineStr">
        <is>
          <t>~$20bn</t>
        </is>
      </c>
      <c r="E19" s="48" t="inlineStr">
        <is>
          <t>SPV / vendor lease</t>
        </is>
      </c>
      <c r="F19" s="49" t="inlineStr">
        <is>
          <t>The Information; Yahoo</t>
        </is>
      </c>
    </row>
    <row r="20" ht="30" customHeight="1">
      <c r="A20" s="50" t="inlineStr">
        <is>
          <t>Nebius</t>
        </is>
      </c>
      <c r="B20" s="51" t="inlineStr">
        <is>
          <t>$3bn+ convertibles + bank lines; lighter balance sheet; Yandex spin-off cash ~$2.5bn; NVIDIA ~$2bn equity; Microsoft ~$7bn prepay</t>
        </is>
      </c>
      <c r="C20" s="51" t="inlineStr">
        <is>
          <t>2025-26</t>
        </is>
      </c>
      <c r="D20" s="51" t="inlineStr">
        <is>
          <t>$3bn+</t>
        </is>
      </c>
      <c r="E20" s="51" t="inlineStr">
        <is>
          <t>Convertibles</t>
        </is>
      </c>
      <c r="F20" s="52" t="inlineStr">
        <is>
          <t>frankk research</t>
        </is>
      </c>
    </row>
    <row r="21" ht="30" customHeight="1">
      <c r="A21" s="47" t="inlineStr">
        <is>
          <t>Lambda</t>
        </is>
      </c>
      <c r="B21" s="48" t="inlineStr">
        <is>
          <t>$500m GPU-backed facility from Macquarie</t>
        </is>
      </c>
      <c r="C21" s="48" t="inlineStr">
        <is>
          <t>2025</t>
        </is>
      </c>
      <c r="D21" s="48" t="inlineStr">
        <is>
          <t>$0.5bn</t>
        </is>
      </c>
      <c r="E21" s="48" t="inlineStr">
        <is>
          <t>Bank / GPU-backed loan</t>
        </is>
      </c>
      <c r="F21" s="49" t="inlineStr">
        <is>
          <t>theaiinsider</t>
        </is>
      </c>
    </row>
    <row r="22" ht="30" customHeight="1">
      <c r="A22" s="50" t="inlineStr">
        <is>
          <t>Nscale</t>
        </is>
      </c>
      <c r="B22" s="51" t="inlineStr">
        <is>
          <t>$1.4bn term loan</t>
        </is>
      </c>
      <c r="C22" s="51" t="inlineStr">
        <is>
          <t>2026</t>
        </is>
      </c>
      <c r="D22" s="51" t="inlineStr">
        <is>
          <t>$1.4bn</t>
        </is>
      </c>
      <c r="E22" s="51" t="inlineStr">
        <is>
          <t>Bank loan</t>
        </is>
      </c>
      <c r="F22" s="52" t="inlineStr">
        <is>
          <t>theaiinsider</t>
        </is>
      </c>
    </row>
    <row r="23" ht="30" customHeight="1">
      <c r="A23" s="47" t="inlineStr">
        <is>
          <t>Fluidstack</t>
        </is>
      </c>
      <c r="B23" s="48" t="inlineStr">
        <is>
          <t>Facility backed by ~$6.7bn Google-contracted revenue (Google lease backstop)</t>
        </is>
      </c>
      <c r="C23" s="48" t="inlineStr">
        <is>
          <t>2026</t>
        </is>
      </c>
      <c r="D23" s="48" t="inlineStr">
        <is>
          <t>~$6.7bn</t>
        </is>
      </c>
      <c r="E23" s="48" t="inlineStr">
        <is>
          <t>SPV / private credit</t>
        </is>
      </c>
      <c r="F23" s="49" t="inlineStr">
        <is>
          <t>theaiinsider</t>
        </is>
      </c>
    </row>
    <row r="24" ht="30" customHeight="1">
      <c r="A24" s="50" t="inlineStr">
        <is>
          <t>Applied Digital</t>
        </is>
      </c>
      <c r="B24" s="51" t="inlineStr">
        <is>
          <t>$1.59bn high-yield bond (7%) for CoreWeave-leased campus (Polaris Forge 1)</t>
        </is>
      </c>
      <c r="C24" s="51" t="inlineStr">
        <is>
          <t>2026</t>
        </is>
      </c>
      <c r="D24" s="51" t="inlineStr">
        <is>
          <t>$1.59bn</t>
        </is>
      </c>
      <c r="E24" s="51" t="inlineStr">
        <is>
          <t>Securitization / HY bond</t>
        </is>
      </c>
      <c r="F24" s="52" t="inlineStr">
        <is>
          <t>TNW</t>
        </is>
      </c>
    </row>
    <row r="25" ht="30" customHeight="1">
      <c r="A25" s="47" t="inlineStr">
        <is>
          <t>Sector-wide</t>
        </is>
      </c>
      <c r="B25" s="48" t="inlineStr">
        <is>
          <t>HY/unrated AI-infra issuers raised ~$107bn funded+committed debt by ~May 2026 ($68.7bn neoclouds / $38.7bn AI-native DCs)</t>
        </is>
      </c>
      <c r="C25" s="48" t="inlineStr">
        <is>
          <t>to 2026</t>
        </is>
      </c>
      <c r="D25" s="48" t="inlineStr">
        <is>
          <t>~$107bn</t>
        </is>
      </c>
      <c r="E25" s="48" t="inlineStr">
        <is>
          <t>All debt</t>
        </is>
      </c>
      <c r="F25" s="49" t="inlineStr">
        <is>
          <t>Octus</t>
        </is>
      </c>
    </row>
    <row r="26" ht="30" customHeight="1">
      <c r="A26" s="50" t="inlineStr">
        <is>
          <t>Sector-wide</t>
        </is>
      </c>
      <c r="B26" s="51" t="inlineStr">
        <is>
          <t>Insurance-linked platforms deployed ~$180bn into private credit in 2025 (~25% of global private credit AUM)</t>
        </is>
      </c>
      <c r="C26" s="51" t="inlineStr">
        <is>
          <t>2025</t>
        </is>
      </c>
      <c r="D26" s="51" t="inlineStr">
        <is>
          <t>~$180bn</t>
        </is>
      </c>
      <c r="E26" s="51" t="inlineStr">
        <is>
          <t>Insurance / private credit</t>
        </is>
      </c>
      <c r="F26" s="52" t="inlineStr">
        <is>
          <t>McKinsey; ABF Journal</t>
        </is>
      </c>
    </row>
    <row r="27" ht="30" customHeight="1">
      <c r="A27" s="47" t="inlineStr">
        <is>
          <t>Sector-wide</t>
        </is>
      </c>
      <c r="B27" s="48" t="inlineStr">
        <is>
          <t>Goldman Sachs: ~$5.3tn AI + data-center capex 2025-2030; Morgan Stanley: ~$800bn private credit for AI DCs 2025-28</t>
        </is>
      </c>
      <c r="C27" s="48" t="inlineStr">
        <is>
          <t>2025-30</t>
        </is>
      </c>
      <c r="D27" s="48" t="inlineStr">
        <is>
          <t>$5.3tn capex</t>
        </is>
      </c>
      <c r="E27" s="48" t="inlineStr">
        <is>
          <t>Context</t>
        </is>
      </c>
      <c r="F27" s="49" t="inlineStr">
        <is>
          <t>Goldman; Morgan Stanley</t>
        </is>
      </c>
    </row>
    <row r="29">
      <c r="A29" s="53" t="inlineStr">
        <is>
          <t>Selected sources:</t>
        </is>
      </c>
    </row>
    <row r="30">
      <c r="A30" s="54" t="inlineStr">
        <is>
          <t>Goldman Sachs Research — ~$5.3tn AI + data-center capex 2025-2030; private markets in DC financing.</t>
        </is>
      </c>
    </row>
    <row r="31">
      <c r="A31" s="54" t="inlineStr">
        <is>
          <t>Morgan Stanley — ~$2tn capex 2025-28 with &gt;$1tn debt; ~$800bn private credit for AI DCs.</t>
        </is>
      </c>
    </row>
    <row r="32">
      <c r="A32" s="54" t="inlineStr">
        <is>
          <t>Bank of America / BofA Securities — hyperscaler bond issuance ($121bn 2025; ~$175bn 2026E).</t>
        </is>
      </c>
    </row>
    <row r="33">
      <c r="A33" s="54" t="inlineStr">
        <is>
          <t>Moody's Ratings — hyperscaler capex (~$785bn 2026, ~$1tn 2027); $662bn off-B/S DC leases.</t>
        </is>
      </c>
    </row>
    <row r="34">
      <c r="A34" s="54" t="inlineStr">
        <is>
          <t>McKinsey — ~$2.7tn US (5.2tn global) data-center capex by 2030; insurance-linked private credit.</t>
        </is>
      </c>
    </row>
    <row r="35">
      <c r="A35" s="54" t="inlineStr">
        <is>
          <t>Octus — HY/unrated AI-infra debt (~$107bn to ~May 2026); ~14GW unfunded ≈ $344bn need.</t>
        </is>
      </c>
    </row>
    <row r="36">
      <c r="A36" s="54" t="inlineStr">
        <is>
          <t>Company disclosures &amp; press: Meta IR / FT / S&amp;P (Hyperion); Oracle IR / IFR / Reuters; CoreWeave IR;</t>
        </is>
      </c>
    </row>
    <row r="37">
      <c r="A37" s="54" t="inlineStr">
        <is>
          <t xml:space="preserve">  CNBC / WSJ / The Information (xAI); Blackstone; Apollo Academy; MUFG; CreditSights; CNA.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2026-06-17T19:08:44Z</dcterms:created>
  <dcterms:modified xsi:type="dcterms:W3CDTF">2026-06-17T19:08:44Z</dcterms:modified>
</cp:coreProperties>
</file>