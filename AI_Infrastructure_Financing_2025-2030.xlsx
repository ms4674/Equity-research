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Methodology" sheetId="1" state="visible" r:id="rId1"/>
    <sheet name="Summary (by Company)" sheetId="2" state="visible" r:id="rId2"/>
    <sheet name="Debt by Type" sheetId="3" state="visible" r:id="rId3"/>
    <sheet name="Cash-Flow Bridge" sheetId="4" state="visible" r:id="rId4"/>
    <sheet name="Capex Projections" sheetId="5" state="visible" r:id="rId5"/>
    <sheet name="Deals &amp; Source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#,##0.0"/>
  </numFmts>
  <fonts count="30">
    <font>
      <name val="Calibri"/>
      <family val="2"/>
      <color theme="1"/>
      <sz val="11"/>
      <scheme val="minor"/>
    </font>
    <font>
      <b val="1"/>
      <color rgb="001F2A44"/>
      <sz val="18"/>
    </font>
    <font>
      <i val="1"/>
      <color rgb="005A5A5A"/>
      <sz val="12"/>
    </font>
    <font>
      <color rgb="005A5A5A"/>
      <sz val="10"/>
    </font>
    <font>
      <b val="1"/>
      <color rgb="00FFFFFF"/>
      <sz val="12"/>
    </font>
    <font>
      <color rgb="00333333"/>
      <sz val="10"/>
    </font>
    <font>
      <i val="1"/>
      <color rgb="00999999"/>
      <sz val="9"/>
    </font>
    <font>
      <b val="1"/>
      <color rgb="001F2A44"/>
      <sz val="14"/>
    </font>
    <font>
      <i val="1"/>
      <color rgb="005A5A5A"/>
      <sz val="9"/>
    </font>
    <font>
      <b val="1"/>
      <color rgb="00FFFFFF"/>
      <sz val="10"/>
    </font>
    <font>
      <sz val="10"/>
    </font>
    <font>
      <color rgb="005A5A5A"/>
      <sz val="9"/>
    </font>
    <font>
      <color rgb="001B6E6E"/>
    </font>
    <font>
      <color rgb="002E7D32"/>
    </font>
    <font>
      <b val="1"/>
    </font>
    <font>
      <i val="1"/>
      <color rgb="005A5A5A"/>
    </font>
    <font>
      <b val="1"/>
      <color rgb="001F2A44"/>
      <sz val="10"/>
    </font>
    <font>
      <b val="1"/>
      <color rgb="001F2A44"/>
    </font>
    <font>
      <b val="1"/>
      <color rgb="00FFFFFF"/>
      <sz val="11"/>
    </font>
    <font>
      <b val="1"/>
      <color rgb="00FFFFFF"/>
    </font>
    <font>
      <b val="1"/>
      <color rgb="005A5A5A"/>
      <sz val="9"/>
    </font>
    <font>
      <color rgb="00BBBBBB"/>
      <sz val="8"/>
    </font>
    <font>
      <b val="1"/>
      <i val="1"/>
      <color rgb="00B5760A"/>
    </font>
    <font>
      <i val="1"/>
      <color rgb="00B5760A"/>
    </font>
    <font>
      <color rgb="00B00020"/>
    </font>
    <font>
      <sz val="9"/>
    </font>
    <font>
      <b val="1"/>
      <sz val="9"/>
    </font>
    <font>
      <color rgb="005A5A5A"/>
      <sz val="8"/>
    </font>
    <font>
      <color rgb="002E5A9C"/>
      <sz val="9"/>
    </font>
    <font>
      <color rgb="00444444"/>
      <sz val="9"/>
    </font>
  </fonts>
  <fills count="14">
    <fill>
      <patternFill/>
    </fill>
    <fill>
      <patternFill patternType="gray125"/>
    </fill>
    <fill>
      <patternFill patternType="solid">
        <fgColor rgb="002E5A9C"/>
      </patternFill>
    </fill>
    <fill>
      <patternFill patternType="solid">
        <fgColor rgb="001B6E6E"/>
      </patternFill>
    </fill>
    <fill>
      <patternFill patternType="solid">
        <fgColor rgb="00B5760A"/>
      </patternFill>
    </fill>
    <fill>
      <patternFill patternType="solid">
        <fgColor rgb="005A5A5A"/>
      </patternFill>
    </fill>
    <fill>
      <patternFill patternType="solid">
        <fgColor rgb="001F2A44"/>
      </patternFill>
    </fill>
    <fill>
      <patternFill patternType="solid">
        <fgColor rgb="00E8EEF7"/>
      </patternFill>
    </fill>
    <fill>
      <patternFill patternType="solid">
        <fgColor rgb="00EEEEEE"/>
      </patternFill>
    </fill>
    <fill>
      <patternFill patternType="solid">
        <fgColor rgb="00E6F2EF"/>
      </patternFill>
    </fill>
    <fill>
      <patternFill patternType="solid">
        <fgColor rgb="00F4E9DA"/>
      </patternFill>
    </fill>
    <fill>
      <patternFill patternType="solid">
        <fgColor rgb="00EDE4F4"/>
      </patternFill>
    </fill>
    <fill>
      <patternFill patternType="solid">
        <fgColor rgb="00F0F0F0"/>
      </patternFill>
    </fill>
    <fill>
      <patternFill patternType="solid">
        <fgColor rgb="00FCEF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indent="1"/>
    </xf>
    <xf numFmtId="0" fontId="4" fillId="3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indent="1"/>
    </xf>
    <xf numFmtId="0" fontId="4" fillId="5" borderId="0" applyAlignment="1" pivotButton="0" quotePrefix="0" xfId="0">
      <alignment vertical="center" indent="1"/>
    </xf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9" fillId="6" borderId="0" pivotButton="0" quotePrefix="0" xfId="0"/>
    <xf numFmtId="0" fontId="0" fillId="6" borderId="0" pivotButton="0" quotePrefix="0" xfId="0"/>
    <xf numFmtId="0" fontId="21" fillId="0" borderId="0" pivotButton="0" quotePrefix="0" xfId="0"/>
    <xf numFmtId="3" fontId="21" fillId="0" borderId="0" pivotButton="0" quotePrefix="0" xfId="0"/>
    <xf numFmtId="0" fontId="10" fillId="7" borderId="1" pivotButton="0" quotePrefix="0" xfId="0"/>
    <xf numFmtId="0" fontId="11" fillId="7" borderId="1" pivotButton="0" quotePrefix="0" xfId="0"/>
    <xf numFmtId="3" fontId="12" fillId="7" borderId="1" applyAlignment="1" pivotButton="0" quotePrefix="0" xfId="0">
      <alignment horizontal="right"/>
    </xf>
    <xf numFmtId="3" fontId="13" fillId="7" borderId="1" applyAlignment="1" pivotButton="0" quotePrefix="0" xfId="0">
      <alignment horizontal="right"/>
    </xf>
    <xf numFmtId="3" fontId="0" fillId="7" borderId="1" applyAlignment="1" pivotButton="0" quotePrefix="0" xfId="0">
      <alignment horizontal="right"/>
    </xf>
    <xf numFmtId="3" fontId="14" fillId="7" borderId="1" applyAlignment="1" pivotButton="0" quotePrefix="0" xfId="0">
      <alignment horizontal="right"/>
    </xf>
    <xf numFmtId="9" fontId="0" fillId="7" borderId="1" applyAlignment="1" pivotButton="0" quotePrefix="0" xfId="0">
      <alignment horizontal="right"/>
    </xf>
    <xf numFmtId="3" fontId="15" fillId="7" borderId="1" applyAlignment="1" pivotButton="0" quotePrefix="0" xfId="0">
      <alignment horizontal="right"/>
    </xf>
    <xf numFmtId="0" fontId="16" fillId="8" borderId="1" pivotButton="0" quotePrefix="0" xfId="0"/>
    <xf numFmtId="0" fontId="0" fillId="8" borderId="1" pivotButton="0" quotePrefix="0" xfId="0"/>
    <xf numFmtId="3" fontId="17" fillId="8" borderId="1" applyAlignment="1" pivotButton="0" quotePrefix="0" xfId="0">
      <alignment horizontal="right"/>
    </xf>
    <xf numFmtId="9" fontId="17" fillId="8" borderId="1" applyAlignment="1" pivotButton="0" quotePrefix="0" xfId="0">
      <alignment horizontal="right"/>
    </xf>
    <xf numFmtId="0" fontId="10" fillId="9" borderId="1" pivotButton="0" quotePrefix="0" xfId="0"/>
    <xf numFmtId="0" fontId="11" fillId="9" borderId="1" pivotButton="0" quotePrefix="0" xfId="0"/>
    <xf numFmtId="3" fontId="12" fillId="9" borderId="1" applyAlignment="1" pivotButton="0" quotePrefix="0" xfId="0">
      <alignment horizontal="right"/>
    </xf>
    <xf numFmtId="3" fontId="13" fillId="9" borderId="1" applyAlignment="1" pivotButton="0" quotePrefix="0" xfId="0">
      <alignment horizontal="right"/>
    </xf>
    <xf numFmtId="3" fontId="0" fillId="9" borderId="1" applyAlignment="1" pivotButton="0" quotePrefix="0" xfId="0">
      <alignment horizontal="right"/>
    </xf>
    <xf numFmtId="3" fontId="14" fillId="9" borderId="1" applyAlignment="1" pivotButton="0" quotePrefix="0" xfId="0">
      <alignment horizontal="right"/>
    </xf>
    <xf numFmtId="9" fontId="0" fillId="9" borderId="1" applyAlignment="1" pivotButton="0" quotePrefix="0" xfId="0">
      <alignment horizontal="right"/>
    </xf>
    <xf numFmtId="3" fontId="15" fillId="9" borderId="1" applyAlignment="1" pivotButton="0" quotePrefix="0" xfId="0">
      <alignment horizontal="right"/>
    </xf>
    <xf numFmtId="0" fontId="10" fillId="10" borderId="1" pivotButton="0" quotePrefix="0" xfId="0"/>
    <xf numFmtId="0" fontId="11" fillId="10" borderId="1" pivotButton="0" quotePrefix="0" xfId="0"/>
    <xf numFmtId="3" fontId="12" fillId="10" borderId="1" applyAlignment="1" pivotButton="0" quotePrefix="0" xfId="0">
      <alignment horizontal="right"/>
    </xf>
    <xf numFmtId="3" fontId="13" fillId="10" borderId="1" applyAlignment="1" pivotButton="0" quotePrefix="0" xfId="0">
      <alignment horizontal="right"/>
    </xf>
    <xf numFmtId="3" fontId="0" fillId="10" borderId="1" applyAlignment="1" pivotButton="0" quotePrefix="0" xfId="0">
      <alignment horizontal="right"/>
    </xf>
    <xf numFmtId="3" fontId="14" fillId="10" borderId="1" applyAlignment="1" pivotButton="0" quotePrefix="0" xfId="0">
      <alignment horizontal="right"/>
    </xf>
    <xf numFmtId="9" fontId="0" fillId="10" borderId="1" applyAlignment="1" pivotButton="0" quotePrefix="0" xfId="0">
      <alignment horizontal="right"/>
    </xf>
    <xf numFmtId="3" fontId="15" fillId="10" borderId="1" applyAlignment="1" pivotButton="0" quotePrefix="0" xfId="0">
      <alignment horizontal="right"/>
    </xf>
    <xf numFmtId="0" fontId="10" fillId="11" borderId="1" pivotButton="0" quotePrefix="0" xfId="0"/>
    <xf numFmtId="0" fontId="11" fillId="11" borderId="1" pivotButton="0" quotePrefix="0" xfId="0"/>
    <xf numFmtId="3" fontId="12" fillId="11" borderId="1" applyAlignment="1" pivotButton="0" quotePrefix="0" xfId="0">
      <alignment horizontal="right"/>
    </xf>
    <xf numFmtId="3" fontId="13" fillId="11" borderId="1" applyAlignment="1" pivotButton="0" quotePrefix="0" xfId="0">
      <alignment horizontal="right"/>
    </xf>
    <xf numFmtId="3" fontId="0" fillId="11" borderId="1" applyAlignment="1" pivotButton="0" quotePrefix="0" xfId="0">
      <alignment horizontal="right"/>
    </xf>
    <xf numFmtId="3" fontId="14" fillId="11" borderId="1" applyAlignment="1" pivotButton="0" quotePrefix="0" xfId="0">
      <alignment horizontal="right"/>
    </xf>
    <xf numFmtId="9" fontId="0" fillId="11" borderId="1" applyAlignment="1" pivotButton="0" quotePrefix="0" xfId="0">
      <alignment horizontal="right"/>
    </xf>
    <xf numFmtId="3" fontId="15" fillId="11" borderId="1" applyAlignment="1" pivotButton="0" quotePrefix="0" xfId="0">
      <alignment horizontal="right"/>
    </xf>
    <xf numFmtId="0" fontId="18" fillId="2" borderId="1" pivotButton="0" quotePrefix="0" xfId="0"/>
    <xf numFmtId="0" fontId="0" fillId="2" borderId="1" pivotButton="0" quotePrefix="0" xfId="0"/>
    <xf numFmtId="3" fontId="19" fillId="2" borderId="1" applyAlignment="1" pivotButton="0" quotePrefix="0" xfId="0">
      <alignment horizontal="right"/>
    </xf>
    <xf numFmtId="9" fontId="19" fillId="2" borderId="1" applyAlignment="1" pivotButton="0" quotePrefix="0" xfId="0">
      <alignment horizontal="right"/>
    </xf>
    <xf numFmtId="0" fontId="17" fillId="8" borderId="1" pivotButton="0" quotePrefix="0" xfId="0"/>
    <xf numFmtId="0" fontId="22" fillId="0" borderId="0" pivotButton="0" quotePrefix="0" xfId="0"/>
    <xf numFmtId="9" fontId="23" fillId="0" borderId="0" applyAlignment="1" pivotButton="0" quotePrefix="0" xfId="0">
      <alignment horizontal="right"/>
    </xf>
    <xf numFmtId="9" fontId="22" fillId="0" borderId="0" applyAlignment="1" pivotButton="0" quotePrefix="0" xfId="0">
      <alignment horizontal="right"/>
    </xf>
    <xf numFmtId="164" fontId="24" fillId="7" borderId="1" applyAlignment="1" pivotButton="0" quotePrefix="0" xfId="0">
      <alignment horizontal="right"/>
    </xf>
    <xf numFmtId="164" fontId="17" fillId="8" borderId="1" applyAlignment="1" pivotButton="0" quotePrefix="0" xfId="0">
      <alignment horizontal="right"/>
    </xf>
    <xf numFmtId="164" fontId="24" fillId="9" borderId="1" applyAlignment="1" pivotButton="0" quotePrefix="0" xfId="0">
      <alignment horizontal="right"/>
    </xf>
    <xf numFmtId="164" fontId="24" fillId="10" borderId="1" applyAlignment="1" pivotButton="0" quotePrefix="0" xfId="0">
      <alignment horizontal="right"/>
    </xf>
    <xf numFmtId="164" fontId="24" fillId="11" borderId="1" applyAlignment="1" pivotButton="0" quotePrefix="0" xfId="0">
      <alignment horizontal="right"/>
    </xf>
    <xf numFmtId="164" fontId="19" fillId="2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left" vertical="top" wrapText="1"/>
    </xf>
    <xf numFmtId="0" fontId="26" fillId="7" borderId="1" applyAlignment="1" pivotButton="0" quotePrefix="0" xfId="0">
      <alignment horizontal="left" vertical="top" wrapText="1"/>
    </xf>
    <xf numFmtId="0" fontId="27" fillId="7" borderId="1" applyAlignment="1" pivotButton="0" quotePrefix="0" xfId="0">
      <alignment horizontal="left" vertical="top" wrapText="1"/>
    </xf>
    <xf numFmtId="165" fontId="26" fillId="7" borderId="1" applyAlignment="1" pivotButton="0" quotePrefix="0" xfId="0">
      <alignment horizontal="right" vertical="top" wrapText="1"/>
    </xf>
    <xf numFmtId="0" fontId="28" fillId="7" borderId="1" applyAlignment="1" pivotButton="0" quotePrefix="0" xfId="0">
      <alignment horizontal="left" vertical="top" wrapText="1"/>
    </xf>
    <xf numFmtId="0" fontId="25" fillId="9" borderId="1" applyAlignment="1" pivotButton="0" quotePrefix="0" xfId="0">
      <alignment horizontal="left" vertical="top" wrapText="1"/>
    </xf>
    <xf numFmtId="0" fontId="26" fillId="9" borderId="1" applyAlignment="1" pivotButton="0" quotePrefix="0" xfId="0">
      <alignment horizontal="left" vertical="top" wrapText="1"/>
    </xf>
    <xf numFmtId="0" fontId="27" fillId="9" borderId="1" applyAlignment="1" pivotButton="0" quotePrefix="0" xfId="0">
      <alignment horizontal="left" vertical="top" wrapText="1"/>
    </xf>
    <xf numFmtId="165" fontId="26" fillId="9" borderId="1" applyAlignment="1" pivotButton="0" quotePrefix="0" xfId="0">
      <alignment horizontal="right" vertical="top" wrapText="1"/>
    </xf>
    <xf numFmtId="0" fontId="28" fillId="9" borderId="1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left" vertical="top" wrapText="1"/>
    </xf>
    <xf numFmtId="0" fontId="26" fillId="10" borderId="1" applyAlignment="1" pivotButton="0" quotePrefix="0" xfId="0">
      <alignment horizontal="left" vertical="top" wrapText="1"/>
    </xf>
    <xf numFmtId="0" fontId="27" fillId="10" borderId="1" applyAlignment="1" pivotButton="0" quotePrefix="0" xfId="0">
      <alignment horizontal="left" vertical="top" wrapText="1"/>
    </xf>
    <xf numFmtId="165" fontId="26" fillId="10" borderId="1" applyAlignment="1" pivotButton="0" quotePrefix="0" xfId="0">
      <alignment horizontal="right" vertical="top" wrapText="1"/>
    </xf>
    <xf numFmtId="0" fontId="28" fillId="10" borderId="1" applyAlignment="1" pivotButton="0" quotePrefix="0" xfId="0">
      <alignment horizontal="left" vertical="top" wrapText="1"/>
    </xf>
    <xf numFmtId="0" fontId="25" fillId="12" borderId="1" applyAlignment="1" pivotButton="0" quotePrefix="0" xfId="0">
      <alignment horizontal="left" vertical="top" wrapText="1"/>
    </xf>
    <xf numFmtId="0" fontId="26" fillId="12" borderId="1" applyAlignment="1" pivotButton="0" quotePrefix="0" xfId="0">
      <alignment horizontal="left" vertical="top" wrapText="1"/>
    </xf>
    <xf numFmtId="0" fontId="27" fillId="12" borderId="1" applyAlignment="1" pivotButton="0" quotePrefix="0" xfId="0">
      <alignment horizontal="left" vertical="top" wrapText="1"/>
    </xf>
    <xf numFmtId="165" fontId="26" fillId="12" borderId="1" applyAlignment="1" pivotButton="0" quotePrefix="0" xfId="0">
      <alignment horizontal="right" vertical="top" wrapText="1"/>
    </xf>
    <xf numFmtId="0" fontId="28" fillId="12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right" vertical="top" wrapText="1"/>
    </xf>
    <xf numFmtId="0" fontId="0" fillId="9" borderId="1" applyAlignment="1" pivotButton="0" quotePrefix="0" xfId="0">
      <alignment horizontal="right" vertical="top" wrapText="1"/>
    </xf>
    <xf numFmtId="0" fontId="0" fillId="13" borderId="1" pivotButton="0" quotePrefix="0" xfId="0"/>
    <xf numFmtId="0" fontId="17" fillId="13" borderId="1" pivotButton="0" quotePrefix="0" xfId="0"/>
    <xf numFmtId="165" fontId="17" fillId="13" borderId="1" applyAlignment="1" pivotButton="0" quotePrefix="0" xfId="0">
      <alignment horizontal="right"/>
    </xf>
    <xf numFmtId="0" fontId="25" fillId="11" borderId="1" applyAlignment="1" pivotButton="0" quotePrefix="0" xfId="0">
      <alignment horizontal="left" vertical="top" wrapText="1"/>
    </xf>
    <xf numFmtId="0" fontId="26" fillId="11" borderId="1" applyAlignment="1" pivotButton="0" quotePrefix="0" xfId="0">
      <alignment horizontal="left" vertical="top" wrapText="1"/>
    </xf>
    <xf numFmtId="0" fontId="27" fillId="11" borderId="1" applyAlignment="1" pivotButton="0" quotePrefix="0" xfId="0">
      <alignment horizontal="left" vertical="top" wrapText="1"/>
    </xf>
    <xf numFmtId="165" fontId="26" fillId="11" borderId="1" applyAlignment="1" pivotButton="0" quotePrefix="0" xfId="0">
      <alignment horizontal="right" vertical="top" wrapText="1"/>
    </xf>
    <xf numFmtId="0" fontId="28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right" vertical="top" wrapText="1"/>
    </xf>
    <xf numFmtId="0" fontId="16" fillId="0" borderId="0" pivotButton="0" quotePrefix="0" xfId="0"/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Funding Mix by Company (2025-2030, $bn)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 (by Company)'!K4</f>
            </strRef>
          </tx>
          <spPr>
            <a:ln>
              <a:prstDash val="solid"/>
            </a:ln>
          </spPr>
          <cat>
            <numRef>
              <f>'Summary (by Company)'!$J$5:$J$34</f>
            </numRef>
          </cat>
          <val>
            <numRef>
              <f>'Summary (by Company)'!$K$5:$K$34</f>
            </numRef>
          </val>
        </ser>
        <ser>
          <idx val="1"/>
          <order val="1"/>
          <tx>
            <strRef>
              <f>'Summary (by Company)'!L4</f>
            </strRef>
          </tx>
          <spPr>
            <a:ln>
              <a:prstDash val="solid"/>
            </a:ln>
          </spPr>
          <cat>
            <numRef>
              <f>'Summary (by Company)'!$J$5:$J$34</f>
            </numRef>
          </cat>
          <val>
            <numRef>
              <f>'Summary (by Company)'!$L$5:$L$34</f>
            </numRef>
          </val>
        </ser>
        <ser>
          <idx val="2"/>
          <order val="2"/>
          <tx>
            <strRef>
              <f>'Summary (by Company)'!M4</f>
            </strRef>
          </tx>
          <spPr>
            <a:ln>
              <a:prstDash val="solid"/>
            </a:ln>
          </spPr>
          <cat>
            <numRef>
              <f>'Summary (by Company)'!$J$5:$J$34</f>
            </numRef>
          </cat>
          <val>
            <numRef>
              <f>'Summary (by Company)'!$M$5:$M$34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Aggregate Debt Mix by Instrument (2025-2030, $bn)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'Debt by Type'!$C$4:$I$4</f>
            </numRef>
          </cat>
          <val>
            <numRef>
              <f>'Debt by Type'!$C$43:$I$43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AI-Infrastructure Capex by Segment ($bn)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'Capex Projections'!$A$11</f>
            </strRef>
          </tx>
          <spPr>
            <a:ln>
              <a:prstDash val="solid"/>
            </a:ln>
          </spPr>
          <cat>
            <numRef>
              <f>'Capex Projections'!$C$4:$H$4</f>
            </numRef>
          </cat>
          <val>
            <numRef>
              <f>'Capex Projections'!$C$11:$H$11</f>
            </numRef>
          </val>
        </ser>
        <ser>
          <idx val="1"/>
          <order val="1"/>
          <tx>
            <strRef>
              <f>'Capex Projections'!$A$22</f>
            </strRef>
          </tx>
          <spPr>
            <a:ln>
              <a:prstDash val="solid"/>
            </a:ln>
          </spPr>
          <cat>
            <numRef>
              <f>'Capex Projections'!$C$4:$H$4</f>
            </numRef>
          </cat>
          <val>
            <numRef>
              <f>'Capex Projections'!$C$22:$H$22</f>
            </numRef>
          </val>
        </ser>
        <ser>
          <idx val="2"/>
          <order val="2"/>
          <tx>
            <strRef>
              <f>'Capex Projections'!$A$33</f>
            </strRef>
          </tx>
          <spPr>
            <a:ln>
              <a:prstDash val="solid"/>
            </a:ln>
          </spPr>
          <cat>
            <numRef>
              <f>'Capex Projections'!$C$4:$H$4</f>
            </numRef>
          </cat>
          <val>
            <numRef>
              <f>'Capex Projections'!$C$33:$H$33</f>
            </numRef>
          </val>
        </ser>
        <ser>
          <idx val="3"/>
          <order val="3"/>
          <tx>
            <strRef>
              <f>'Capex Projections'!$A$42</f>
            </strRef>
          </tx>
          <spPr>
            <a:ln>
              <a:prstDash val="solid"/>
            </a:ln>
          </spPr>
          <cat>
            <numRef>
              <f>'Capex Projections'!$C$4:$H$4</f>
            </numRef>
          </cat>
          <val>
            <numRef>
              <f>'Capex Projections'!$C$42:$H$42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00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46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AI Infrastructure Financing — Hyperscalers &amp; Neoclouds</t>
        </is>
      </c>
    </row>
    <row r="3">
      <c r="B3" s="2" t="inlineStr">
        <is>
          <t>Equity &amp; debt funding to build AI infrastructure, cumulative 2025-2030</t>
        </is>
      </c>
    </row>
    <row r="4">
      <c r="B4" s="3" t="inlineStr">
        <is>
          <t>All figures in US$ billions unless noted.</t>
        </is>
      </c>
    </row>
    <row r="6" ht="20" customHeight="1">
      <c r="B6" s="4" t="inlineStr">
        <is>
          <t>What this workbook contains</t>
        </is>
      </c>
    </row>
    <row r="7">
      <c r="B7" s="5" t="inlineStr">
        <is>
          <t>• Summary (by Company): equity / internal funding vs. total debt, with % debt-funded.</t>
        </is>
      </c>
    </row>
    <row r="8">
      <c r="B8" s="5" t="inlineStr">
        <is>
          <t>• Debt by Type: total debt split into mutually-exclusive instrument buckets.</t>
        </is>
      </c>
    </row>
    <row r="9">
      <c r="B9" s="5" t="inlineStr">
        <is>
          <t>• Cash-Flow Bridge: operating cash flow -&gt; free cash flow -&gt; external funding gap.</t>
        </is>
      </c>
    </row>
    <row r="10">
      <c r="B10" s="5" t="inlineStr">
        <is>
          <t>• Capex Projections: annual AI-infrastructure capex 2025-2030 by company.</t>
        </is>
      </c>
    </row>
    <row r="11">
      <c r="B11" s="5" t="inlineStr">
        <is>
          <t>• Deals &amp; Sources: private-credit transactions + other key deals (bonds, equity, etc.) + sources.</t>
        </is>
      </c>
    </row>
    <row r="13" ht="20" customHeight="1">
      <c r="B13" s="6" t="inlineStr">
        <is>
          <t>Scope &amp; definitions</t>
        </is>
      </c>
    </row>
    <row r="14">
      <c r="B14" s="5" t="inlineStr">
        <is>
          <t>• Hyperscalers: Microsoft, Amazon (AWS), Alphabet (Google), Meta, Oracle (OCI).</t>
        </is>
      </c>
    </row>
    <row r="15">
      <c r="B15" s="5" t="inlineStr">
        <is>
          <t>• Neoclouds / AI-native infra: GPU-cloud &amp; AI-native data-center builders (CoreWeave,</t>
        </is>
      </c>
    </row>
    <row r="16">
      <c r="B16" s="5" t="inlineStr">
        <is>
          <t xml:space="preserve">   SpaceX/xAI, Nebius, IREN, Crusoe, Lambda, Fluidstack, Nscale, + an 'Other' aggregate).</t>
        </is>
      </c>
    </row>
    <row r="17">
      <c r="B17" s="5" t="inlineStr">
        <is>
          <t>• SpaceX acquired xAI (effective 2 Feb 2026), so Colossus I &amp; II are now SpaceX-owned; the two</t>
        </is>
      </c>
    </row>
    <row r="18">
      <c r="B18" s="5" t="inlineStr">
        <is>
          <t xml:space="preserve">   are shown as one consolidated 'SpaceX / xAI' line to avoid double-counting the same clusters.</t>
        </is>
      </c>
    </row>
    <row r="19">
      <c r="B19" s="5" t="inlineStr">
        <is>
          <t>• Colocation / data-center REITs: wholesale &amp; retail colo / powered-shell owners (Equinix,</t>
        </is>
      </c>
    </row>
    <row r="20">
      <c r="B20" s="5" t="inlineStr">
        <is>
          <t xml:space="preserve">   Digital Realty, QTS, Vantage, Aligned, CyrusOne, Switch, Stack, + 'Other') that build campuses</t>
        </is>
      </c>
    </row>
    <row r="21">
      <c r="B21" s="5" t="inlineStr">
        <is>
          <t xml:space="preserve">   and lease them to hyperscalers / neoclouds; heavy users of ABS/CMBS securitization &amp; infra equity.</t>
        </is>
      </c>
    </row>
    <row r="22">
      <c r="B22" s="5" t="inlineStr">
        <is>
          <t>• Sovereign clouds: state / sovereign-wealth-funded national AI infrastructure (HUMAIN-Saudi PIF,</t>
        </is>
      </c>
    </row>
    <row r="23">
      <c r="B23" s="5" t="inlineStr">
        <is>
          <t xml:space="preserve">   MGX/Mubadala, Stargate UAE/G42/Khazna, Qatar QIA, EU/France, India, + 'Other'); mostly equity-funded.</t>
        </is>
      </c>
    </row>
    <row r="24">
      <c r="B24" s="5" t="inlineStr">
        <is>
          <t>• Funding sources now split three ways:  Capex = Operating cash flow (self-funded) +</t>
        </is>
      </c>
    </row>
    <row r="25">
      <c r="B25" s="5" t="inlineStr">
        <is>
          <t xml:space="preserve">   External equity + Total debt.</t>
        </is>
      </c>
    </row>
    <row r="26">
      <c r="B26" s="5" t="inlineStr">
        <is>
          <t xml:space="preserve">   - Operating cash flow (self-funded): internally-generated cash (CFO) reinvested into AI capex.</t>
        </is>
      </c>
    </row>
    <row r="27">
      <c r="B27" s="5" t="inlineStr">
        <is>
          <t xml:space="preserve">   - External equity: IPOs, secondaries, strategic stakes (e.g. NVIDIA), ATM programs, sovereign-</t>
        </is>
      </c>
    </row>
    <row r="28">
      <c r="B28" s="5" t="inlineStr">
        <is>
          <t xml:space="preserve">     wealth equity and mandatory convertible PREFERRED (treated as equity).</t>
        </is>
      </c>
    </row>
    <row r="29">
      <c r="B29" s="5" t="inlineStr">
        <is>
          <t xml:space="preserve">   - Total debt: external borrowing, split by instrument (see below).</t>
        </is>
      </c>
    </row>
    <row r="30">
      <c r="B30" s="5" t="inlineStr">
        <is>
          <t>• The 'Cash-Flow Bridge' sheet separates OPERATING CASH FLOW (CFO) and FREE CASH FLOW from the</t>
        </is>
      </c>
    </row>
    <row r="31">
      <c r="B31" s="5" t="inlineStr">
        <is>
          <t xml:space="preserve">   equity portion:  CFO - dividends/buybacks/other = self-funded capex; FREE CASH FLOW = CFO -</t>
        </is>
      </c>
    </row>
    <row r="32">
      <c r="B32" s="5" t="inlineStr">
        <is>
          <t xml:space="preserve">   AI capex (negative for most builders, which is what drives external equity + debt issuance).</t>
        </is>
      </c>
    </row>
    <row r="34" ht="20" customHeight="1">
      <c r="B34" s="7" t="inlineStr">
        <is>
          <t>Debt instrument buckets (mutually exclusive — they sum to total debt)</t>
        </is>
      </c>
    </row>
    <row r="35">
      <c r="B35" s="5" t="inlineStr">
        <is>
          <t>1. Corporate bonds (public IG/HY) — on-balance-sheet senior notes sold in public markets.</t>
        </is>
      </c>
    </row>
    <row r="36">
      <c r="B36" s="5" t="inlineStr">
        <is>
          <t>2. Bank &amp; syndicated loans — term loans, revolvers, delayed-draw term loans (incl. GPU-backed DDTLs).</t>
        </is>
      </c>
    </row>
    <row r="37">
      <c r="B37" s="5" t="inlineStr">
        <is>
          <t>3. Alternate private credit — direct lending / private placements by credit funds (Blackstone,</t>
        </is>
      </c>
    </row>
    <row r="38">
      <c r="B38" s="5" t="inlineStr">
        <is>
          <t xml:space="preserve">   Apollo, Blue Owl, PIMCO, Magnetar, etc.), including privately-placed SPV/project debt.</t>
        </is>
      </c>
    </row>
    <row r="39">
      <c r="B39" s="5" t="inlineStr">
        <is>
          <t>4. Insurance-linked lending — debt funded off insurer/annuity balance sheets (Athene/Apollo,</t>
        </is>
      </c>
    </row>
    <row r="40">
      <c r="B40" s="5" t="inlineStr">
        <is>
          <t xml:space="preserve">   Global Atlantic/KKR, MetLife, Brookfield, etc.). NOTE: large overlap with private credit &amp;</t>
        </is>
      </c>
    </row>
    <row r="41">
      <c r="B41" s="5" t="inlineStr">
        <is>
          <t xml:space="preserve">   bonds; shown separately to size the insurance channel — see double-counting note below.</t>
        </is>
      </c>
    </row>
    <row r="42">
      <c r="B42" s="5" t="inlineStr">
        <is>
          <t>5. Securitization / ABS / CMBS — secured data-center bonds &amp; GPU-backed asset-backed securities.</t>
        </is>
      </c>
    </row>
    <row r="43">
      <c r="B43" s="5" t="inlineStr">
        <is>
          <t>6. Convertibles / equity-linked debt — convertible notes (excludes mandatory convert. PREFERRED).</t>
        </is>
      </c>
    </row>
    <row r="44">
      <c r="B44" s="5" t="inlineStr">
        <is>
          <t>7. Vendor &amp; equipment-lease financing — chip/equipment leases &amp; sale-leasebacks (e.g. NVIDIA</t>
        </is>
      </c>
    </row>
    <row r="45">
      <c r="B45" s="5" t="inlineStr">
        <is>
          <t xml:space="preserve">   chip-lease SPVs, finance leases). Microsoft's large finance-lease book sits largely here.</t>
        </is>
      </c>
    </row>
    <row r="46">
      <c r="B46" s="5" t="inlineStr">
        <is>
          <t>Memo: 'Off-B/S SPV / JV (memo)' flags the portion routed through special-purpose vehicles /</t>
        </is>
      </c>
    </row>
    <row r="47">
      <c r="B47" s="5" t="inlineStr">
        <is>
          <t xml:space="preserve">   joint ventures (e.g. Meta-Hyperion, xAI Colossus 2, Oracle project SPVs). It OVERLAPS the</t>
        </is>
      </c>
    </row>
    <row r="48">
      <c r="B48" s="5" t="inlineStr">
        <is>
          <t xml:space="preserve">   buckets above and is therefore NOT added into the debt total.</t>
        </is>
      </c>
    </row>
    <row r="50" ht="20" customHeight="1">
      <c r="B50" s="8" t="inlineStr">
        <is>
          <t>Methodology &amp; caveats</t>
        </is>
      </c>
    </row>
    <row r="51">
      <c r="B51" s="5" t="inlineStr">
        <is>
          <t>• Figures are RESEARCH ESTIMATES for the cumulative 2025-2030 buildout. They blend disclosed</t>
        </is>
      </c>
    </row>
    <row r="52">
      <c r="B52" s="5" t="inlineStr">
        <is>
          <t xml:space="preserve">  transactions (2023-early 2026) with forward projections; they are illustrative, not audited.</t>
        </is>
      </c>
    </row>
    <row r="53">
      <c r="B53" s="5" t="inlineStr">
        <is>
          <t>• Aggregate cross-check: total financing ≈ $5.25tn, consistent with Goldman Sachs' ~$5.3tn</t>
        </is>
      </c>
    </row>
    <row r="54">
      <c r="B54" s="5" t="inlineStr">
        <is>
          <t xml:space="preserve">  2025-2030 AI + data-center capex estimate; aggregate debt ≈ $1.8tn, consistent with Morgan</t>
        </is>
      </c>
    </row>
    <row r="55">
      <c r="B55" s="5" t="inlineStr">
        <is>
          <t xml:space="preserve">  Stanley / BofA projections of $1-2tn of debt financing for the buildout.</t>
        </is>
      </c>
    </row>
    <row r="56">
      <c r="B56" s="5" t="inlineStr">
        <is>
          <t>• CROSS-SEGMENT OVERLAP: hyperscalers LEASE much colocation capacity (so colo financing partly</t>
        </is>
      </c>
    </row>
    <row r="57">
      <c r="B57" s="5" t="inlineStr">
        <is>
          <t xml:space="preserve">  funds the same capacity hyperscalers report as off-B/S leases), and sovereign-wealth funds</t>
        </is>
      </c>
    </row>
    <row r="58">
      <c r="B58" s="5" t="inlineStr">
        <is>
          <t xml:space="preserve">  (MGX, PIF, QIA) also INVEST in neoclouds/labs and colo (e.g. MGX/BlackRock bought Aligned; PIF</t>
        </is>
      </c>
    </row>
    <row r="59">
      <c r="B59" s="5" t="inlineStr">
        <is>
          <t xml:space="preserve">  put ~$3bn into xAI). The all-segment 'grand total' is therefore a GROSS figure of capital raised</t>
        </is>
      </c>
    </row>
    <row r="60">
      <c r="B60" s="5" t="inlineStr">
        <is>
          <t xml:space="preserve">  across distinct balance sheets and is not strictly additive; treat it as an upper-bound view.</t>
        </is>
      </c>
    </row>
    <row r="61">
      <c r="B61" s="5" t="inlineStr">
        <is>
          <t xml:space="preserve">  Hyperscaler + Neocloud financing (~$5.4tn) ties to Goldman's ~$5.3tn big-tech capex; adding</t>
        </is>
      </c>
    </row>
    <row r="62">
      <c r="B62" s="5" t="inlineStr">
        <is>
          <t xml:space="preserve">  third-party colo + sovereign brings the gross total toward broader ~$6-7tn AI-infra estimates.</t>
        </is>
      </c>
    </row>
    <row r="63">
      <c r="B63" s="5" t="inlineStr">
        <is>
          <t>• Insurance-linked lending double counts with private credit/bonds at the capital-source level;</t>
        </is>
      </c>
    </row>
    <row r="64">
      <c r="B64" s="5" t="inlineStr">
        <is>
          <t xml:space="preserve">  to avoid inflating totals, each dollar of debt is classified ONCE by its primary instrument and</t>
        </is>
      </c>
    </row>
    <row r="65">
      <c r="B65" s="5" t="inlineStr">
        <is>
          <t xml:space="preserve">  the insurance bucket captures only directly insurer-originated / insurance-balance-sheet debt.</t>
        </is>
      </c>
    </row>
    <row r="66">
      <c r="B66" s="5" t="inlineStr">
        <is>
          <t>• Company splits reflect observed behavior: Microsoft/Alphabet/Amazon are FCF-heavy with</t>
        </is>
      </c>
    </row>
    <row r="67">
      <c r="B67" s="5" t="inlineStr">
        <is>
          <t xml:space="preserve">  selective bonds; Meta &amp; Oracle lean more on debt &amp; SPVs; neoclouds are debt-heavy (asset-backed).</t>
        </is>
      </c>
    </row>
    <row r="68">
      <c r="B68" s="5" t="inlineStr">
        <is>
          <t>• Built with openpyxl. See Key Deals &amp; Sources sheet for citations.</t>
        </is>
      </c>
    </row>
    <row r="71" ht="30" customHeight="1">
      <c r="B71" s="9" t="inlineStr">
        <is>
          <t>Disclaimer: For analytical/illustrative purposes only. Not investment advice and not a representation of any company's actual financing. Verify against primary filings before use.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5" customWidth="1" min="3" max="3"/>
    <col width="11" customWidth="1" min="4" max="4"/>
    <col width="13" customWidth="1" min="5" max="5"/>
    <col width="12" customWidth="1" min="6" max="6"/>
    <col width="10" customWidth="1" min="7" max="7"/>
    <col width="14" customWidth="1" min="8" max="8"/>
  </cols>
  <sheetData>
    <row r="1">
      <c r="A1" s="10" t="inlineStr">
        <is>
          <t>Summary — Funding Sources, Cumulative 2025-2030 (US$bn)</t>
        </is>
      </c>
    </row>
    <row r="2">
      <c r="A2" s="11" t="inlineStr">
        <is>
          <t>Funding = Operating cash flow (self-funded) + External equity + Total debt. Sorted within segment by total financing. % Debt = total debt / total financing.</t>
        </is>
      </c>
    </row>
    <row r="4" ht="32" customHeight="1">
      <c r="A4" s="12" t="inlineStr">
        <is>
          <t>Company</t>
        </is>
      </c>
      <c r="B4" s="12" t="inlineStr">
        <is>
          <t>Segment</t>
        </is>
      </c>
      <c r="C4" s="12" t="inlineStr">
        <is>
          <t>Operating cash
flow (self-funded)</t>
        </is>
      </c>
      <c r="D4" s="12" t="inlineStr">
        <is>
          <t>External
equity</t>
        </is>
      </c>
      <c r="E4" s="12" t="inlineStr">
        <is>
          <t>Total debt
financing</t>
        </is>
      </c>
      <c r="F4" s="12" t="inlineStr">
        <is>
          <t>Total
financing</t>
        </is>
      </c>
      <c r="G4" s="12" t="inlineStr">
        <is>
          <t>% Debt-
funded</t>
        </is>
      </c>
      <c r="H4" s="12" t="inlineStr">
        <is>
          <t>Off-B/S SPV/JV
(memo)</t>
        </is>
      </c>
      <c r="J4" s="13" t="inlineStr">
        <is>
          <t>Company</t>
        </is>
      </c>
      <c r="K4" s="13" t="inlineStr">
        <is>
          <t>Op. cash flow</t>
        </is>
      </c>
      <c r="L4" s="13" t="inlineStr">
        <is>
          <t>External equity</t>
        </is>
      </c>
      <c r="M4" s="13" t="inlineStr">
        <is>
          <t>Debt</t>
        </is>
      </c>
    </row>
    <row r="5">
      <c r="A5" s="14" t="inlineStr">
        <is>
          <t>HYPERSCALER</t>
        </is>
      </c>
      <c r="B5" s="15" t="n"/>
      <c r="C5" s="15" t="n"/>
      <c r="D5" s="15" t="n"/>
      <c r="E5" s="15" t="n"/>
      <c r="F5" s="15" t="n"/>
      <c r="G5" s="15" t="n"/>
      <c r="H5" s="15" t="n"/>
      <c r="J5" s="16" t="inlineStr">
        <is>
          <t>Microsoft</t>
        </is>
      </c>
      <c r="K5" s="17" t="n">
        <v>750</v>
      </c>
      <c r="L5" s="17" t="n">
        <v>0</v>
      </c>
      <c r="M5" s="17" t="n">
        <v>250</v>
      </c>
    </row>
    <row r="6">
      <c r="A6" s="18" t="inlineStr">
        <is>
          <t>Amazon (AWS)</t>
        </is>
      </c>
      <c r="B6" s="19" t="inlineStr">
        <is>
          <t>Hyperscaler</t>
        </is>
      </c>
      <c r="C6" s="20" t="n">
        <v>950</v>
      </c>
      <c r="D6" s="21" t="n">
        <v>0</v>
      </c>
      <c r="E6" s="22" t="n">
        <v>320</v>
      </c>
      <c r="F6" s="23">
        <f>C6+D6+E6</f>
        <v/>
      </c>
      <c r="G6" s="24">
        <f>E6/F6</f>
        <v/>
      </c>
      <c r="H6" s="25" t="n">
        <v>50</v>
      </c>
      <c r="J6" s="16" t="inlineStr">
        <is>
          <t>Amazon (AWS)</t>
        </is>
      </c>
      <c r="K6" s="17" t="n">
        <v>950</v>
      </c>
      <c r="L6" s="17" t="n">
        <v>0</v>
      </c>
      <c r="M6" s="17" t="n">
        <v>320</v>
      </c>
    </row>
    <row r="7">
      <c r="A7" s="18" t="inlineStr">
        <is>
          <t>Alphabet (Google)</t>
        </is>
      </c>
      <c r="B7" s="19" t="inlineStr">
        <is>
          <t>Hyperscaler</t>
        </is>
      </c>
      <c r="C7" s="20" t="n">
        <v>931</v>
      </c>
      <c r="D7" s="21" t="n">
        <v>0</v>
      </c>
      <c r="E7" s="22" t="n">
        <v>230</v>
      </c>
      <c r="F7" s="23">
        <f>C7+D7+E7</f>
        <v/>
      </c>
      <c r="G7" s="24">
        <f>E7/F7</f>
        <v/>
      </c>
      <c r="H7" s="25" t="n">
        <v>30</v>
      </c>
      <c r="J7" s="16" t="inlineStr">
        <is>
          <t>Alphabet (Google)</t>
        </is>
      </c>
      <c r="K7" s="17" t="n">
        <v>931</v>
      </c>
      <c r="L7" s="17" t="n">
        <v>0</v>
      </c>
      <c r="M7" s="17" t="n">
        <v>230</v>
      </c>
    </row>
    <row r="8">
      <c r="A8" s="18" t="inlineStr">
        <is>
          <t>Microsoft</t>
        </is>
      </c>
      <c r="B8" s="19" t="inlineStr">
        <is>
          <t>Hyperscaler</t>
        </is>
      </c>
      <c r="C8" s="20" t="n">
        <v>750</v>
      </c>
      <c r="D8" s="21" t="n">
        <v>0</v>
      </c>
      <c r="E8" s="22" t="n">
        <v>250</v>
      </c>
      <c r="F8" s="23">
        <f>C8+D8+E8</f>
        <v/>
      </c>
      <c r="G8" s="24">
        <f>E8/F8</f>
        <v/>
      </c>
      <c r="H8" s="25" t="n">
        <v>70</v>
      </c>
      <c r="J8" s="16" t="inlineStr">
        <is>
          <t>Meta Platforms</t>
        </is>
      </c>
      <c r="K8" s="17" t="n">
        <v>487</v>
      </c>
      <c r="L8" s="17" t="n">
        <v>0</v>
      </c>
      <c r="M8" s="17" t="n">
        <v>400</v>
      </c>
    </row>
    <row r="9">
      <c r="A9" s="18" t="inlineStr">
        <is>
          <t>Meta Platforms</t>
        </is>
      </c>
      <c r="B9" s="19" t="inlineStr">
        <is>
          <t>Hyperscaler</t>
        </is>
      </c>
      <c r="C9" s="20" t="n">
        <v>487</v>
      </c>
      <c r="D9" s="21" t="n">
        <v>0</v>
      </c>
      <c r="E9" s="22" t="n">
        <v>400</v>
      </c>
      <c r="F9" s="23">
        <f>C9+D9+E9</f>
        <v/>
      </c>
      <c r="G9" s="24">
        <f>E9/F9</f>
        <v/>
      </c>
      <c r="H9" s="25" t="n">
        <v>180</v>
      </c>
      <c r="J9" s="16" t="inlineStr">
        <is>
          <t>Oracle (OCI)</t>
        </is>
      </c>
      <c r="K9" s="17" t="n">
        <v>145</v>
      </c>
      <c r="L9" s="17" t="n">
        <v>30</v>
      </c>
      <c r="M9" s="17" t="n">
        <v>215</v>
      </c>
    </row>
    <row r="10">
      <c r="A10" s="18" t="inlineStr">
        <is>
          <t>Oracle (OCI)</t>
        </is>
      </c>
      <c r="B10" s="19" t="inlineStr">
        <is>
          <t>Hyperscaler</t>
        </is>
      </c>
      <c r="C10" s="20" t="n">
        <v>145</v>
      </c>
      <c r="D10" s="21" t="n">
        <v>30</v>
      </c>
      <c r="E10" s="22" t="n">
        <v>215</v>
      </c>
      <c r="F10" s="23">
        <f>C10+D10+E10</f>
        <v/>
      </c>
      <c r="G10" s="24">
        <f>E10/F10</f>
        <v/>
      </c>
      <c r="H10" s="25" t="n">
        <v>45</v>
      </c>
      <c r="J10" s="16" t="inlineStr">
        <is>
          <t>CoreWeave</t>
        </is>
      </c>
      <c r="K10" s="17" t="n">
        <v>3</v>
      </c>
      <c r="L10" s="17" t="n">
        <v>22</v>
      </c>
      <c r="M10" s="17" t="n">
        <v>120</v>
      </c>
    </row>
    <row r="11">
      <c r="A11" s="26" t="inlineStr">
        <is>
          <t>Hyperscaler subtotal</t>
        </is>
      </c>
      <c r="B11" s="27" t="n"/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9">
        <f>E11/F11</f>
        <v/>
      </c>
      <c r="H11" s="28">
        <f>SUM(H6:H10)</f>
        <v/>
      </c>
      <c r="J11" s="16" t="inlineStr">
        <is>
          <t>SpaceX / xAI (Colossus)</t>
        </is>
      </c>
      <c r="K11" s="17" t="n">
        <v>50</v>
      </c>
      <c r="L11" s="17" t="n">
        <v>90</v>
      </c>
      <c r="M11" s="17" t="n">
        <v>105</v>
      </c>
    </row>
    <row r="12">
      <c r="A12" s="14" t="inlineStr">
        <is>
          <t>NEOCLOUD / AI-NATIVE</t>
        </is>
      </c>
      <c r="B12" s="15" t="n"/>
      <c r="C12" s="15" t="n"/>
      <c r="D12" s="15" t="n"/>
      <c r="E12" s="15" t="n"/>
      <c r="F12" s="15" t="n"/>
      <c r="G12" s="15" t="n"/>
      <c r="H12" s="15" t="n"/>
      <c r="J12" s="16" t="inlineStr">
        <is>
          <t>Nebius</t>
        </is>
      </c>
      <c r="K12" s="17" t="n">
        <v>2</v>
      </c>
      <c r="L12" s="17" t="n">
        <v>16</v>
      </c>
      <c r="M12" s="17" t="n">
        <v>35</v>
      </c>
    </row>
    <row r="13">
      <c r="A13" s="30" t="inlineStr">
        <is>
          <t>SpaceX / xAI (Colossus)</t>
        </is>
      </c>
      <c r="B13" s="31" t="inlineStr">
        <is>
          <t>Neocloud / AI-native</t>
        </is>
      </c>
      <c r="C13" s="32" t="n">
        <v>50</v>
      </c>
      <c r="D13" s="33" t="n">
        <v>90</v>
      </c>
      <c r="E13" s="34" t="n">
        <v>105</v>
      </c>
      <c r="F13" s="35">
        <f>C13+D13+E13</f>
        <v/>
      </c>
      <c r="G13" s="36">
        <f>E13/F13</f>
        <v/>
      </c>
      <c r="H13" s="37" t="n">
        <v>70</v>
      </c>
      <c r="J13" s="16" t="inlineStr">
        <is>
          <t>IREN</t>
        </is>
      </c>
      <c r="K13" s="17" t="n">
        <v>3</v>
      </c>
      <c r="L13" s="17" t="n">
        <v>7</v>
      </c>
      <c r="M13" s="17" t="n">
        <v>30</v>
      </c>
    </row>
    <row r="14">
      <c r="A14" s="30" t="inlineStr">
        <is>
          <t>CoreWeave</t>
        </is>
      </c>
      <c r="B14" s="31" t="inlineStr">
        <is>
          <t>Neocloud / AI-native</t>
        </is>
      </c>
      <c r="C14" s="32" t="n">
        <v>3</v>
      </c>
      <c r="D14" s="33" t="n">
        <v>22</v>
      </c>
      <c r="E14" s="34" t="n">
        <v>120</v>
      </c>
      <c r="F14" s="35">
        <f>C14+D14+E14</f>
        <v/>
      </c>
      <c r="G14" s="36">
        <f>E14/F14</f>
        <v/>
      </c>
      <c r="H14" s="37" t="n">
        <v>95</v>
      </c>
      <c r="J14" s="16" t="inlineStr">
        <is>
          <t>Crusoe</t>
        </is>
      </c>
      <c r="K14" s="17" t="n">
        <v>1</v>
      </c>
      <c r="L14" s="17" t="n">
        <v>7</v>
      </c>
      <c r="M14" s="17" t="n">
        <v>25</v>
      </c>
    </row>
    <row r="15">
      <c r="A15" s="30" t="inlineStr">
        <is>
          <t>Other neoclouds &amp; AI-native DCs</t>
        </is>
      </c>
      <c r="B15" s="31" t="inlineStr">
        <is>
          <t>Neocloud / AI-native</t>
        </is>
      </c>
      <c r="C15" s="32" t="n">
        <v>4</v>
      </c>
      <c r="D15" s="33" t="n">
        <v>16</v>
      </c>
      <c r="E15" s="34" t="n">
        <v>60</v>
      </c>
      <c r="F15" s="35">
        <f>C15+D15+E15</f>
        <v/>
      </c>
      <c r="G15" s="36">
        <f>E15/F15</f>
        <v/>
      </c>
      <c r="H15" s="37" t="n">
        <v>25</v>
      </c>
      <c r="J15" s="16" t="inlineStr">
        <is>
          <t>Lambda</t>
        </is>
      </c>
      <c r="K15" s="17" t="n">
        <v>1</v>
      </c>
      <c r="L15" s="17" t="n">
        <v>7</v>
      </c>
      <c r="M15" s="17" t="n">
        <v>18</v>
      </c>
    </row>
    <row r="16">
      <c r="A16" s="30" t="inlineStr">
        <is>
          <t>Nebius</t>
        </is>
      </c>
      <c r="B16" s="31" t="inlineStr">
        <is>
          <t>Neocloud / AI-native</t>
        </is>
      </c>
      <c r="C16" s="32" t="n">
        <v>2</v>
      </c>
      <c r="D16" s="33" t="n">
        <v>16</v>
      </c>
      <c r="E16" s="34" t="n">
        <v>35</v>
      </c>
      <c r="F16" s="35">
        <f>C16+D16+E16</f>
        <v/>
      </c>
      <c r="G16" s="36">
        <f>E16/F16</f>
        <v/>
      </c>
      <c r="H16" s="37" t="n">
        <v>10</v>
      </c>
      <c r="J16" s="16" t="inlineStr">
        <is>
          <t>Fluidstack</t>
        </is>
      </c>
      <c r="K16" s="17" t="n">
        <v>0</v>
      </c>
      <c r="L16" s="17" t="n">
        <v>4</v>
      </c>
      <c r="M16" s="17" t="n">
        <v>20</v>
      </c>
    </row>
    <row r="17">
      <c r="A17" s="30" t="inlineStr">
        <is>
          <t>IREN</t>
        </is>
      </c>
      <c r="B17" s="31" t="inlineStr">
        <is>
          <t>Neocloud / AI-native</t>
        </is>
      </c>
      <c r="C17" s="32" t="n">
        <v>3</v>
      </c>
      <c r="D17" s="33" t="n">
        <v>7</v>
      </c>
      <c r="E17" s="34" t="n">
        <v>30</v>
      </c>
      <c r="F17" s="35">
        <f>C17+D17+E17</f>
        <v/>
      </c>
      <c r="G17" s="36">
        <f>E17/F17</f>
        <v/>
      </c>
      <c r="H17" s="37" t="n">
        <v>8</v>
      </c>
      <c r="J17" s="16" t="inlineStr">
        <is>
          <t>Nscale</t>
        </is>
      </c>
      <c r="K17" s="17" t="n">
        <v>0</v>
      </c>
      <c r="L17" s="17" t="n">
        <v>5</v>
      </c>
      <c r="M17" s="17" t="n">
        <v>15</v>
      </c>
    </row>
    <row r="18">
      <c r="A18" s="30" t="inlineStr">
        <is>
          <t>Crusoe</t>
        </is>
      </c>
      <c r="B18" s="31" t="inlineStr">
        <is>
          <t>Neocloud / AI-native</t>
        </is>
      </c>
      <c r="C18" s="32" t="n">
        <v>1</v>
      </c>
      <c r="D18" s="33" t="n">
        <v>7</v>
      </c>
      <c r="E18" s="34" t="n">
        <v>25</v>
      </c>
      <c r="F18" s="35">
        <f>C18+D18+E18</f>
        <v/>
      </c>
      <c r="G18" s="36">
        <f>E18/F18</f>
        <v/>
      </c>
      <c r="H18" s="37" t="n">
        <v>12</v>
      </c>
      <c r="J18" s="16" t="inlineStr">
        <is>
          <t>Other neoclouds &amp; AI-native DCs</t>
        </is>
      </c>
      <c r="K18" s="17" t="n">
        <v>4</v>
      </c>
      <c r="L18" s="17" t="n">
        <v>16</v>
      </c>
      <c r="M18" s="17" t="n">
        <v>60</v>
      </c>
    </row>
    <row r="19">
      <c r="A19" s="30" t="inlineStr">
        <is>
          <t>Lambda</t>
        </is>
      </c>
      <c r="B19" s="31" t="inlineStr">
        <is>
          <t>Neocloud / AI-native</t>
        </is>
      </c>
      <c r="C19" s="32" t="n">
        <v>1</v>
      </c>
      <c r="D19" s="33" t="n">
        <v>7</v>
      </c>
      <c r="E19" s="34" t="n">
        <v>18</v>
      </c>
      <c r="F19" s="35">
        <f>C19+D19+E19</f>
        <v/>
      </c>
      <c r="G19" s="36">
        <f>E19/F19</f>
        <v/>
      </c>
      <c r="H19" s="37" t="n">
        <v>10</v>
      </c>
      <c r="J19" s="16" t="inlineStr">
        <is>
          <t>Equinix</t>
        </is>
      </c>
      <c r="K19" s="17" t="n">
        <v>15</v>
      </c>
      <c r="L19" s="17" t="n">
        <v>10</v>
      </c>
      <c r="M19" s="17" t="n">
        <v>45</v>
      </c>
    </row>
    <row r="20">
      <c r="A20" s="30" t="inlineStr">
        <is>
          <t>Fluidstack</t>
        </is>
      </c>
      <c r="B20" s="31" t="inlineStr">
        <is>
          <t>Neocloud / AI-native</t>
        </is>
      </c>
      <c r="C20" s="32" t="n">
        <v>0</v>
      </c>
      <c r="D20" s="33" t="n">
        <v>4</v>
      </c>
      <c r="E20" s="34" t="n">
        <v>20</v>
      </c>
      <c r="F20" s="35">
        <f>C20+D20+E20</f>
        <v/>
      </c>
      <c r="G20" s="36">
        <f>E20/F20</f>
        <v/>
      </c>
      <c r="H20" s="37" t="n">
        <v>14</v>
      </c>
      <c r="J20" s="16" t="inlineStr">
        <is>
          <t>Digital Realty</t>
        </is>
      </c>
      <c r="K20" s="17" t="n">
        <v>12</v>
      </c>
      <c r="L20" s="17" t="n">
        <v>8</v>
      </c>
      <c r="M20" s="17" t="n">
        <v>40</v>
      </c>
    </row>
    <row r="21">
      <c r="A21" s="30" t="inlineStr">
        <is>
          <t>Nscale</t>
        </is>
      </c>
      <c r="B21" s="31" t="inlineStr">
        <is>
          <t>Neocloud / AI-native</t>
        </is>
      </c>
      <c r="C21" s="32" t="n">
        <v>0</v>
      </c>
      <c r="D21" s="33" t="n">
        <v>5</v>
      </c>
      <c r="E21" s="34" t="n">
        <v>15</v>
      </c>
      <c r="F21" s="35">
        <f>C21+D21+E21</f>
        <v/>
      </c>
      <c r="G21" s="36">
        <f>E21/F21</f>
        <v/>
      </c>
      <c r="H21" s="37" t="n">
        <v>8</v>
      </c>
      <c r="J21" s="16" t="inlineStr">
        <is>
          <t>QTS (Blackstone)</t>
        </is>
      </c>
      <c r="K21" s="17" t="n">
        <v>2</v>
      </c>
      <c r="L21" s="17" t="n">
        <v>16</v>
      </c>
      <c r="M21" s="17" t="n">
        <v>42</v>
      </c>
    </row>
    <row r="22">
      <c r="A22" s="26" t="inlineStr">
        <is>
          <t>Neocloud / AI-native subtotal</t>
        </is>
      </c>
      <c r="B22" s="27" t="n"/>
      <c r="C22" s="28">
        <f>SUM(C13:C21)</f>
        <v/>
      </c>
      <c r="D22" s="28">
        <f>SUM(D13:D21)</f>
        <v/>
      </c>
      <c r="E22" s="28">
        <f>SUM(E13:E21)</f>
        <v/>
      </c>
      <c r="F22" s="28">
        <f>SUM(F13:F21)</f>
        <v/>
      </c>
      <c r="G22" s="29">
        <f>E22/F22</f>
        <v/>
      </c>
      <c r="H22" s="28">
        <f>SUM(H13:H21)</f>
        <v/>
      </c>
      <c r="J22" s="16" t="inlineStr">
        <is>
          <t>Vantage Data Centers</t>
        </is>
      </c>
      <c r="K22" s="17" t="n">
        <v>2</v>
      </c>
      <c r="L22" s="17" t="n">
        <v>13</v>
      </c>
      <c r="M22" s="17" t="n">
        <v>35</v>
      </c>
    </row>
    <row r="23">
      <c r="A23" s="14" t="inlineStr">
        <is>
          <t>COLOCATION / DATA-CENTER REIT</t>
        </is>
      </c>
      <c r="B23" s="15" t="n"/>
      <c r="C23" s="15" t="n"/>
      <c r="D23" s="15" t="n"/>
      <c r="E23" s="15" t="n"/>
      <c r="F23" s="15" t="n"/>
      <c r="G23" s="15" t="n"/>
      <c r="H23" s="15" t="n"/>
      <c r="J23" s="16" t="inlineStr">
        <is>
          <t>Aligned Data Centers (MGX/BlackRock)</t>
        </is>
      </c>
      <c r="K23" s="17" t="n">
        <v>2</v>
      </c>
      <c r="L23" s="17" t="n">
        <v>10</v>
      </c>
      <c r="M23" s="17" t="n">
        <v>28</v>
      </c>
    </row>
    <row r="24">
      <c r="A24" s="38" t="inlineStr">
        <is>
          <t>Other colo &amp; powered-shell owners</t>
        </is>
      </c>
      <c r="B24" s="39" t="inlineStr">
        <is>
          <t>Colocation / data-center REIT</t>
        </is>
      </c>
      <c r="C24" s="40" t="n">
        <v>8</v>
      </c>
      <c r="D24" s="41" t="n">
        <v>22</v>
      </c>
      <c r="E24" s="42" t="n">
        <v>55</v>
      </c>
      <c r="F24" s="43">
        <f>C24+D24+E24</f>
        <v/>
      </c>
      <c r="G24" s="44">
        <f>E24/F24</f>
        <v/>
      </c>
      <c r="H24" s="45" t="n">
        <v>30</v>
      </c>
      <c r="J24" s="16" t="inlineStr">
        <is>
          <t>CyrusOne (KKR/GIP)</t>
        </is>
      </c>
      <c r="K24" s="17" t="n">
        <v>2</v>
      </c>
      <c r="L24" s="17" t="n">
        <v>10</v>
      </c>
      <c r="M24" s="17" t="n">
        <v>28</v>
      </c>
    </row>
    <row r="25">
      <c r="A25" s="38" t="inlineStr">
        <is>
          <t>Equinix</t>
        </is>
      </c>
      <c r="B25" s="39" t="inlineStr">
        <is>
          <t>Colocation / data-center REIT</t>
        </is>
      </c>
      <c r="C25" s="40" t="n">
        <v>15</v>
      </c>
      <c r="D25" s="41" t="n">
        <v>10</v>
      </c>
      <c r="E25" s="42" t="n">
        <v>45</v>
      </c>
      <c r="F25" s="43">
        <f>C25+D25+E25</f>
        <v/>
      </c>
      <c r="G25" s="44">
        <f>E25/F25</f>
        <v/>
      </c>
      <c r="H25" s="45" t="n">
        <v>20</v>
      </c>
      <c r="J25" s="16" t="inlineStr">
        <is>
          <t>Switch (DigitalBridge)</t>
        </is>
      </c>
      <c r="K25" s="17" t="n">
        <v>1</v>
      </c>
      <c r="L25" s="17" t="n">
        <v>7</v>
      </c>
      <c r="M25" s="17" t="n">
        <v>22</v>
      </c>
    </row>
    <row r="26">
      <c r="A26" s="38" t="inlineStr">
        <is>
          <t>Digital Realty</t>
        </is>
      </c>
      <c r="B26" s="39" t="inlineStr">
        <is>
          <t>Colocation / data-center REIT</t>
        </is>
      </c>
      <c r="C26" s="40" t="n">
        <v>12</v>
      </c>
      <c r="D26" s="41" t="n">
        <v>8</v>
      </c>
      <c r="E26" s="42" t="n">
        <v>40</v>
      </c>
      <c r="F26" s="43">
        <f>C26+D26+E26</f>
        <v/>
      </c>
      <c r="G26" s="44">
        <f>E26/F26</f>
        <v/>
      </c>
      <c r="H26" s="45" t="n">
        <v>18</v>
      </c>
      <c r="J26" s="16" t="inlineStr">
        <is>
          <t>Stack Infrastructure</t>
        </is>
      </c>
      <c r="K26" s="17" t="n">
        <v>1</v>
      </c>
      <c r="L26" s="17" t="n">
        <v>7</v>
      </c>
      <c r="M26" s="17" t="n">
        <v>17</v>
      </c>
    </row>
    <row r="27">
      <c r="A27" s="38" t="inlineStr">
        <is>
          <t>QTS (Blackstone)</t>
        </is>
      </c>
      <c r="B27" s="39" t="inlineStr">
        <is>
          <t>Colocation / data-center REIT</t>
        </is>
      </c>
      <c r="C27" s="40" t="n">
        <v>2</v>
      </c>
      <c r="D27" s="41" t="n">
        <v>16</v>
      </c>
      <c r="E27" s="42" t="n">
        <v>42</v>
      </c>
      <c r="F27" s="43">
        <f>C27+D27+E27</f>
        <v/>
      </c>
      <c r="G27" s="44">
        <f>E27/F27</f>
        <v/>
      </c>
      <c r="H27" s="45" t="n">
        <v>35</v>
      </c>
      <c r="J27" s="16" t="inlineStr">
        <is>
          <t>Other colo &amp; powered-shell owners</t>
        </is>
      </c>
      <c r="K27" s="17" t="n">
        <v>8</v>
      </c>
      <c r="L27" s="17" t="n">
        <v>22</v>
      </c>
      <c r="M27" s="17" t="n">
        <v>55</v>
      </c>
    </row>
    <row r="28">
      <c r="A28" s="38" t="inlineStr">
        <is>
          <t>Vantage Data Centers</t>
        </is>
      </c>
      <c r="B28" s="39" t="inlineStr">
        <is>
          <t>Colocation / data-center REIT</t>
        </is>
      </c>
      <c r="C28" s="40" t="n">
        <v>2</v>
      </c>
      <c r="D28" s="41" t="n">
        <v>13</v>
      </c>
      <c r="E28" s="42" t="n">
        <v>35</v>
      </c>
      <c r="F28" s="43">
        <f>C28+D28+E28</f>
        <v/>
      </c>
      <c r="G28" s="44">
        <f>E28/F28</f>
        <v/>
      </c>
      <c r="H28" s="45" t="n">
        <v>28</v>
      </c>
      <c r="J28" s="16" t="inlineStr">
        <is>
          <t>HUMAIN (Saudi PIF)</t>
        </is>
      </c>
      <c r="K28" s="17" t="n">
        <v>0</v>
      </c>
      <c r="L28" s="17" t="n">
        <v>80</v>
      </c>
      <c r="M28" s="17" t="n">
        <v>20</v>
      </c>
    </row>
    <row r="29">
      <c r="A29" s="38" t="inlineStr">
        <is>
          <t>Aligned Data Centers (MGX/BlackRock)</t>
        </is>
      </c>
      <c r="B29" s="39" t="inlineStr">
        <is>
          <t>Colocation / data-center REIT</t>
        </is>
      </c>
      <c r="C29" s="40" t="n">
        <v>2</v>
      </c>
      <c r="D29" s="41" t="n">
        <v>10</v>
      </c>
      <c r="E29" s="42" t="n">
        <v>28</v>
      </c>
      <c r="F29" s="43">
        <f>C29+D29+E29</f>
        <v/>
      </c>
      <c r="G29" s="44">
        <f>E29/F29</f>
        <v/>
      </c>
      <c r="H29" s="45" t="n">
        <v>22</v>
      </c>
      <c r="J29" s="16" t="inlineStr">
        <is>
          <t>MGX / Mubadala (UAE)</t>
        </is>
      </c>
      <c r="K29" s="17" t="n">
        <v>0</v>
      </c>
      <c r="L29" s="17" t="n">
        <v>30</v>
      </c>
      <c r="M29" s="17" t="n">
        <v>10</v>
      </c>
    </row>
    <row r="30">
      <c r="A30" s="38" t="inlineStr">
        <is>
          <t>CyrusOne (KKR/GIP)</t>
        </is>
      </c>
      <c r="B30" s="39" t="inlineStr">
        <is>
          <t>Colocation / data-center REIT</t>
        </is>
      </c>
      <c r="C30" s="40" t="n">
        <v>2</v>
      </c>
      <c r="D30" s="41" t="n">
        <v>10</v>
      </c>
      <c r="E30" s="42" t="n">
        <v>28</v>
      </c>
      <c r="F30" s="43">
        <f>C30+D30+E30</f>
        <v/>
      </c>
      <c r="G30" s="44">
        <f>E30/F30</f>
        <v/>
      </c>
      <c r="H30" s="45" t="n">
        <v>22</v>
      </c>
      <c r="J30" s="16" t="inlineStr">
        <is>
          <t>Stargate UAE / G42 / Khazna</t>
        </is>
      </c>
      <c r="K30" s="17" t="n">
        <v>0</v>
      </c>
      <c r="L30" s="17" t="n">
        <v>22</v>
      </c>
      <c r="M30" s="17" t="n">
        <v>8</v>
      </c>
    </row>
    <row r="31">
      <c r="A31" s="38" t="inlineStr">
        <is>
          <t>Switch (DigitalBridge)</t>
        </is>
      </c>
      <c r="B31" s="39" t="inlineStr">
        <is>
          <t>Colocation / data-center REIT</t>
        </is>
      </c>
      <c r="C31" s="40" t="n">
        <v>1</v>
      </c>
      <c r="D31" s="41" t="n">
        <v>7</v>
      </c>
      <c r="E31" s="42" t="n">
        <v>22</v>
      </c>
      <c r="F31" s="43">
        <f>C31+D31+E31</f>
        <v/>
      </c>
      <c r="G31" s="44">
        <f>E31/F31</f>
        <v/>
      </c>
      <c r="H31" s="45" t="n">
        <v>16</v>
      </c>
      <c r="J31" s="16" t="inlineStr">
        <is>
          <t>Qatar (QIA / Qai + Brookfield JV)</t>
        </is>
      </c>
      <c r="K31" s="17" t="n">
        <v>0</v>
      </c>
      <c r="L31" s="17" t="n">
        <v>14</v>
      </c>
      <c r="M31" s="17" t="n">
        <v>6</v>
      </c>
    </row>
    <row r="32">
      <c r="A32" s="38" t="inlineStr">
        <is>
          <t>Stack Infrastructure</t>
        </is>
      </c>
      <c r="B32" s="39" t="inlineStr">
        <is>
          <t>Colocation / data-center REIT</t>
        </is>
      </c>
      <c r="C32" s="40" t="n">
        <v>1</v>
      </c>
      <c r="D32" s="41" t="n">
        <v>7</v>
      </c>
      <c r="E32" s="42" t="n">
        <v>17</v>
      </c>
      <c r="F32" s="43">
        <f>C32+D32+E32</f>
        <v/>
      </c>
      <c r="G32" s="44">
        <f>E32/F32</f>
        <v/>
      </c>
      <c r="H32" s="45" t="n">
        <v>12</v>
      </c>
      <c r="J32" s="16" t="inlineStr">
        <is>
          <t>EU / France (Mistral, sovereign cloud)</t>
        </is>
      </c>
      <c r="K32" s="17" t="n">
        <v>0</v>
      </c>
      <c r="L32" s="17" t="n">
        <v>12</v>
      </c>
      <c r="M32" s="17" t="n">
        <v>5</v>
      </c>
    </row>
    <row r="33">
      <c r="A33" s="26" t="inlineStr">
        <is>
          <t>Colocation / data-center REIT subtotal</t>
        </is>
      </c>
      <c r="B33" s="27" t="n"/>
      <c r="C33" s="28">
        <f>SUM(C24:C32)</f>
        <v/>
      </c>
      <c r="D33" s="28">
        <f>SUM(D24:D32)</f>
        <v/>
      </c>
      <c r="E33" s="28">
        <f>SUM(E24:E32)</f>
        <v/>
      </c>
      <c r="F33" s="28">
        <f>SUM(F24:F32)</f>
        <v/>
      </c>
      <c r="G33" s="29">
        <f>E33/F33</f>
        <v/>
      </c>
      <c r="H33" s="28">
        <f>SUM(H24:H32)</f>
        <v/>
      </c>
      <c r="J33" s="16" t="inlineStr">
        <is>
          <t>India (IndiaAI Mission)</t>
        </is>
      </c>
      <c r="K33" s="17" t="n">
        <v>0</v>
      </c>
      <c r="L33" s="17" t="n">
        <v>8</v>
      </c>
      <c r="M33" s="17" t="n">
        <v>2</v>
      </c>
    </row>
    <row r="34">
      <c r="A34" s="14" t="inlineStr">
        <is>
          <t>SOVEREIGN CLOUD</t>
        </is>
      </c>
      <c r="B34" s="15" t="n"/>
      <c r="C34" s="15" t="n"/>
      <c r="D34" s="15" t="n"/>
      <c r="E34" s="15" t="n"/>
      <c r="F34" s="15" t="n"/>
      <c r="G34" s="15" t="n"/>
      <c r="H34" s="15" t="n"/>
      <c r="J34" s="16" t="inlineStr">
        <is>
          <t>Other sovereign AI (Japan, Korea, Singapore, etc.)</t>
        </is>
      </c>
      <c r="K34" s="17" t="n">
        <v>0</v>
      </c>
      <c r="L34" s="17" t="n">
        <v>25</v>
      </c>
      <c r="M34" s="17" t="n">
        <v>8</v>
      </c>
    </row>
    <row r="35">
      <c r="A35" s="46" t="inlineStr">
        <is>
          <t>HUMAIN (Saudi PIF)</t>
        </is>
      </c>
      <c r="B35" s="47" t="inlineStr">
        <is>
          <t>Sovereign cloud</t>
        </is>
      </c>
      <c r="C35" s="48" t="n">
        <v>0</v>
      </c>
      <c r="D35" s="49" t="n">
        <v>80</v>
      </c>
      <c r="E35" s="50" t="n">
        <v>20</v>
      </c>
      <c r="F35" s="51">
        <f>C35+D35+E35</f>
        <v/>
      </c>
      <c r="G35" s="52">
        <f>E35/F35</f>
        <v/>
      </c>
      <c r="H35" s="53" t="n">
        <v>10</v>
      </c>
    </row>
    <row r="36">
      <c r="A36" s="46" t="inlineStr">
        <is>
          <t>MGX / Mubadala (UAE)</t>
        </is>
      </c>
      <c r="B36" s="47" t="inlineStr">
        <is>
          <t>Sovereign cloud</t>
        </is>
      </c>
      <c r="C36" s="48" t="n">
        <v>0</v>
      </c>
      <c r="D36" s="49" t="n">
        <v>30</v>
      </c>
      <c r="E36" s="50" t="n">
        <v>10</v>
      </c>
      <c r="F36" s="51">
        <f>C36+D36+E36</f>
        <v/>
      </c>
      <c r="G36" s="52">
        <f>E36/F36</f>
        <v/>
      </c>
      <c r="H36" s="53" t="n">
        <v>8</v>
      </c>
    </row>
    <row r="37">
      <c r="A37" s="46" t="inlineStr">
        <is>
          <t>Other sovereign AI (Japan, Korea, Singapore, etc.)</t>
        </is>
      </c>
      <c r="B37" s="47" t="inlineStr">
        <is>
          <t>Sovereign cloud</t>
        </is>
      </c>
      <c r="C37" s="48" t="n">
        <v>0</v>
      </c>
      <c r="D37" s="49" t="n">
        <v>25</v>
      </c>
      <c r="E37" s="50" t="n">
        <v>8</v>
      </c>
      <c r="F37" s="51">
        <f>C37+D37+E37</f>
        <v/>
      </c>
      <c r="G37" s="52">
        <f>E37/F37</f>
        <v/>
      </c>
      <c r="H37" s="53" t="n">
        <v>4</v>
      </c>
    </row>
    <row r="38">
      <c r="A38" s="46" t="inlineStr">
        <is>
          <t>Stargate UAE / G42 / Khazna</t>
        </is>
      </c>
      <c r="B38" s="47" t="inlineStr">
        <is>
          <t>Sovereign cloud</t>
        </is>
      </c>
      <c r="C38" s="48" t="n">
        <v>0</v>
      </c>
      <c r="D38" s="49" t="n">
        <v>22</v>
      </c>
      <c r="E38" s="50" t="n">
        <v>8</v>
      </c>
      <c r="F38" s="51">
        <f>C38+D38+E38</f>
        <v/>
      </c>
      <c r="G38" s="52">
        <f>E38/F38</f>
        <v/>
      </c>
      <c r="H38" s="53" t="n">
        <v>6</v>
      </c>
    </row>
    <row r="39">
      <c r="A39" s="46" t="inlineStr">
        <is>
          <t>Qatar (QIA / Qai + Brookfield JV)</t>
        </is>
      </c>
      <c r="B39" s="47" t="inlineStr">
        <is>
          <t>Sovereign cloud</t>
        </is>
      </c>
      <c r="C39" s="48" t="n">
        <v>0</v>
      </c>
      <c r="D39" s="49" t="n">
        <v>14</v>
      </c>
      <c r="E39" s="50" t="n">
        <v>6</v>
      </c>
      <c r="F39" s="51">
        <f>C39+D39+E39</f>
        <v/>
      </c>
      <c r="G39" s="52">
        <f>E39/F39</f>
        <v/>
      </c>
      <c r="H39" s="53" t="n">
        <v>4</v>
      </c>
    </row>
    <row r="40">
      <c r="A40" s="46" t="inlineStr">
        <is>
          <t>EU / France (Mistral, sovereign cloud)</t>
        </is>
      </c>
      <c r="B40" s="47" t="inlineStr">
        <is>
          <t>Sovereign cloud</t>
        </is>
      </c>
      <c r="C40" s="48" t="n">
        <v>0</v>
      </c>
      <c r="D40" s="49" t="n">
        <v>12</v>
      </c>
      <c r="E40" s="50" t="n">
        <v>5</v>
      </c>
      <c r="F40" s="51">
        <f>C40+D40+E40</f>
        <v/>
      </c>
      <c r="G40" s="52">
        <f>E40/F40</f>
        <v/>
      </c>
      <c r="H40" s="53" t="n">
        <v>3</v>
      </c>
    </row>
    <row r="41">
      <c r="A41" s="46" t="inlineStr">
        <is>
          <t>India (IndiaAI Mission)</t>
        </is>
      </c>
      <c r="B41" s="47" t="inlineStr">
        <is>
          <t>Sovereign cloud</t>
        </is>
      </c>
      <c r="C41" s="48" t="n">
        <v>0</v>
      </c>
      <c r="D41" s="49" t="n">
        <v>8</v>
      </c>
      <c r="E41" s="50" t="n">
        <v>2</v>
      </c>
      <c r="F41" s="51">
        <f>C41+D41+E41</f>
        <v/>
      </c>
      <c r="G41" s="52">
        <f>E41/F41</f>
        <v/>
      </c>
      <c r="H41" s="53" t="n">
        <v>1</v>
      </c>
    </row>
    <row r="42">
      <c r="A42" s="26" t="inlineStr">
        <is>
          <t>Sovereign cloud subtotal</t>
        </is>
      </c>
      <c r="B42" s="27" t="n"/>
      <c r="C42" s="28">
        <f>SUM(C35:C41)</f>
        <v/>
      </c>
      <c r="D42" s="28">
        <f>SUM(D35:D41)</f>
        <v/>
      </c>
      <c r="E42" s="28">
        <f>SUM(E35:E41)</f>
        <v/>
      </c>
      <c r="F42" s="28">
        <f>SUM(F35:F41)</f>
        <v/>
      </c>
      <c r="G42" s="29">
        <f>E42/F42</f>
        <v/>
      </c>
      <c r="H42" s="28">
        <f>SUM(H35:H41)</f>
        <v/>
      </c>
    </row>
    <row r="43">
      <c r="A43" s="54" t="inlineStr">
        <is>
          <t>GRAND TOTAL — all companies</t>
        </is>
      </c>
      <c r="B43" s="55" t="n"/>
      <c r="C43" s="56">
        <f>SUM(C6,C7,C8,C9,C10,C13,C14,C15,C16,C17,C18,C19,C20,C21,C24,C25,C26,C27,C28,C29,C30,C31,C32,C35,C36,C37,C38,C39,C40,C41)</f>
        <v/>
      </c>
      <c r="D43" s="56">
        <f>SUM(D6,D7,D8,D9,D10,D13,D14,D15,D16,D17,D18,D19,D20,D21,D24,D25,D26,D27,D28,D29,D30,D31,D32,D35,D36,D37,D38,D39,D40,D41)</f>
        <v/>
      </c>
      <c r="E43" s="56">
        <f>SUM(E6,E7,E8,E9,E10,E13,E14,E15,E16,E17,E18,E19,E20,E21,E24,E25,E26,E27,E28,E29,E30,E31,E32,E35,E36,E37,E38,E39,E40,E41)</f>
        <v/>
      </c>
      <c r="F43" s="56">
        <f>SUM(F6,F7,F8,F9,F10,F13,F14,F15,F16,F17,F18,F19,F20,F21,F24,F25,F26,F27,F28,F29,F30,F31,F32,F35,F36,F37,F38,F39,F40,F41)</f>
        <v/>
      </c>
      <c r="G43" s="57">
        <f>E43/F43</f>
        <v/>
      </c>
      <c r="H43" s="56">
        <f>SUM(H6,H7,H8,H9,H10,H13,H14,H15,H16,H17,H18,H19,H20,H21,H24,H25,H26,H27,H28,H29,H30,H31,H32,H35,H36,H37,H38,H39,H40,H41)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1" customWidth="1" min="10" max="10"/>
    <col width="13" customWidth="1" min="11" max="11"/>
    <col width="14" customWidth="1" min="12" max="12"/>
    <col width="11" customWidth="1" min="13" max="13"/>
  </cols>
  <sheetData>
    <row r="1">
      <c r="A1" s="10" t="inlineStr">
        <is>
          <t>Debt Financing by Instrument Type — Cumulative 2025-2030 (US$bn)</t>
        </is>
      </c>
    </row>
    <row r="2">
      <c r="A2" s="11" t="inlineStr">
        <is>
          <t>Instrument buckets are mutually exclusive and sum to 'Total debt'. 'Off-B/S SPV/JV' is a memo (overlaps the buckets; not added).</t>
        </is>
      </c>
    </row>
    <row r="4" ht="46" customHeight="1">
      <c r="A4" s="12" t="inlineStr">
        <is>
          <t>Company</t>
        </is>
      </c>
      <c r="B4" s="12" t="inlineStr">
        <is>
          <t>Segment</t>
        </is>
      </c>
      <c r="C4" s="12" t="inlineStr">
        <is>
          <t>Corporate bonds (public IG/HY)</t>
        </is>
      </c>
      <c r="D4" s="12" t="inlineStr">
        <is>
          <t>Bank &amp; syndicated loans</t>
        </is>
      </c>
      <c r="E4" s="12" t="inlineStr">
        <is>
          <t>Alternate private credit</t>
        </is>
      </c>
      <c r="F4" s="12" t="inlineStr">
        <is>
          <t>Insurance-linked lending</t>
        </is>
      </c>
      <c r="G4" s="12" t="inlineStr">
        <is>
          <t>Securitization / ABS / CMBS</t>
        </is>
      </c>
      <c r="H4" s="12" t="inlineStr">
        <is>
          <t>Convertibles / equity-linked</t>
        </is>
      </c>
      <c r="I4" s="12" t="inlineStr">
        <is>
          <t>Vendor &amp; equipment-lease financing</t>
        </is>
      </c>
      <c r="J4" s="12" t="inlineStr">
        <is>
          <t>Total debt</t>
        </is>
      </c>
      <c r="K4" s="12" t="inlineStr">
        <is>
          <t>Off-B/S SPV/JV
(memo)</t>
        </is>
      </c>
      <c r="L4" s="12" t="inlineStr">
        <is>
          <t>Op. cash flow
(self-funded)</t>
        </is>
      </c>
      <c r="M4" s="12" t="inlineStr">
        <is>
          <t>External
equity</t>
        </is>
      </c>
    </row>
    <row r="5">
      <c r="A5" s="14" t="inlineStr">
        <is>
          <t>HYPERSCALER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8" t="inlineStr">
        <is>
          <t>Meta Platforms</t>
        </is>
      </c>
      <c r="B6" s="19" t="inlineStr">
        <is>
          <t>Hyperscaler</t>
        </is>
      </c>
      <c r="C6" s="22" t="n">
        <v>150</v>
      </c>
      <c r="D6" s="22" t="n">
        <v>15</v>
      </c>
      <c r="E6" s="22" t="n">
        <v>110</v>
      </c>
      <c r="F6" s="22" t="n">
        <v>70</v>
      </c>
      <c r="G6" s="22" t="n">
        <v>35</v>
      </c>
      <c r="H6" s="22" t="n">
        <v>0</v>
      </c>
      <c r="I6" s="22" t="n">
        <v>20</v>
      </c>
      <c r="J6" s="23">
        <f>SUM(C6:I6)</f>
        <v/>
      </c>
      <c r="K6" s="25" t="n">
        <v>180</v>
      </c>
      <c r="L6" s="20" t="n">
        <v>487</v>
      </c>
      <c r="M6" s="21" t="n">
        <v>0</v>
      </c>
    </row>
    <row r="7">
      <c r="A7" s="18" t="inlineStr">
        <is>
          <t>Amazon (AWS)</t>
        </is>
      </c>
      <c r="B7" s="19" t="inlineStr">
        <is>
          <t>Hyperscaler</t>
        </is>
      </c>
      <c r="C7" s="22" t="n">
        <v>200</v>
      </c>
      <c r="D7" s="22" t="n">
        <v>25</v>
      </c>
      <c r="E7" s="22" t="n">
        <v>35</v>
      </c>
      <c r="F7" s="22" t="n">
        <v>20</v>
      </c>
      <c r="G7" s="22" t="n">
        <v>10</v>
      </c>
      <c r="H7" s="22" t="n">
        <v>0</v>
      </c>
      <c r="I7" s="22" t="n">
        <v>30</v>
      </c>
      <c r="J7" s="23">
        <f>SUM(C7:I7)</f>
        <v/>
      </c>
      <c r="K7" s="25" t="n">
        <v>50</v>
      </c>
      <c r="L7" s="20" t="n">
        <v>950</v>
      </c>
      <c r="M7" s="21" t="n">
        <v>0</v>
      </c>
    </row>
    <row r="8">
      <c r="A8" s="18" t="inlineStr">
        <is>
          <t>Microsoft</t>
        </is>
      </c>
      <c r="B8" s="19" t="inlineStr">
        <is>
          <t>Hyperscaler</t>
        </is>
      </c>
      <c r="C8" s="22" t="n">
        <v>130</v>
      </c>
      <c r="D8" s="22" t="n">
        <v>25</v>
      </c>
      <c r="E8" s="22" t="n">
        <v>30</v>
      </c>
      <c r="F8" s="22" t="n">
        <v>20</v>
      </c>
      <c r="G8" s="22" t="n">
        <v>10</v>
      </c>
      <c r="H8" s="22" t="n">
        <v>0</v>
      </c>
      <c r="I8" s="22" t="n">
        <v>35</v>
      </c>
      <c r="J8" s="23">
        <f>SUM(C8:I8)</f>
        <v/>
      </c>
      <c r="K8" s="25" t="n">
        <v>70</v>
      </c>
      <c r="L8" s="20" t="n">
        <v>750</v>
      </c>
      <c r="M8" s="21" t="n">
        <v>0</v>
      </c>
    </row>
    <row r="9">
      <c r="A9" s="18" t="inlineStr">
        <is>
          <t>Alphabet (Google)</t>
        </is>
      </c>
      <c r="B9" s="19" t="inlineStr">
        <is>
          <t>Hyperscaler</t>
        </is>
      </c>
      <c r="C9" s="22" t="n">
        <v>160</v>
      </c>
      <c r="D9" s="22" t="n">
        <v>15</v>
      </c>
      <c r="E9" s="22" t="n">
        <v>25</v>
      </c>
      <c r="F9" s="22" t="n">
        <v>12</v>
      </c>
      <c r="G9" s="22" t="n">
        <v>8</v>
      </c>
      <c r="H9" s="22" t="n">
        <v>0</v>
      </c>
      <c r="I9" s="22" t="n">
        <v>10</v>
      </c>
      <c r="J9" s="23">
        <f>SUM(C9:I9)</f>
        <v/>
      </c>
      <c r="K9" s="25" t="n">
        <v>30</v>
      </c>
      <c r="L9" s="20" t="n">
        <v>931</v>
      </c>
      <c r="M9" s="21" t="n">
        <v>0</v>
      </c>
    </row>
    <row r="10">
      <c r="A10" s="18" t="inlineStr">
        <is>
          <t>Oracle (OCI)</t>
        </is>
      </c>
      <c r="B10" s="19" t="inlineStr">
        <is>
          <t>Hyperscaler</t>
        </is>
      </c>
      <c r="C10" s="22" t="n">
        <v>120</v>
      </c>
      <c r="D10" s="22" t="n">
        <v>30</v>
      </c>
      <c r="E10" s="22" t="n">
        <v>35</v>
      </c>
      <c r="F10" s="22" t="n">
        <v>15</v>
      </c>
      <c r="G10" s="22" t="n">
        <v>5</v>
      </c>
      <c r="H10" s="22" t="n">
        <v>0</v>
      </c>
      <c r="I10" s="22" t="n">
        <v>10</v>
      </c>
      <c r="J10" s="23">
        <f>SUM(C10:I10)</f>
        <v/>
      </c>
      <c r="K10" s="25" t="n">
        <v>45</v>
      </c>
      <c r="L10" s="20" t="n">
        <v>145</v>
      </c>
      <c r="M10" s="21" t="n">
        <v>30</v>
      </c>
    </row>
    <row r="11">
      <c r="A11" s="58" t="inlineStr">
        <is>
          <t>Hyperscaler subtotal</t>
        </is>
      </c>
      <c r="B11" s="27" t="n"/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8">
        <f>SUM(G6:G10)</f>
        <v/>
      </c>
      <c r="H11" s="28">
        <f>SUM(H6:H10)</f>
        <v/>
      </c>
      <c r="I11" s="28">
        <f>SUM(I6:I10)</f>
        <v/>
      </c>
      <c r="J11" s="28">
        <f>SUM(J6:J10)</f>
        <v/>
      </c>
      <c r="K11" s="28">
        <f>SUM(K6:K10)</f>
        <v/>
      </c>
      <c r="L11" s="28">
        <f>SUM(L6:L10)</f>
        <v/>
      </c>
      <c r="M11" s="28">
        <f>SUM(M6:M10)</f>
        <v/>
      </c>
    </row>
    <row r="12">
      <c r="A12" s="14" t="inlineStr">
        <is>
          <t>NEOCLOUD / AI-NATIVE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30" t="inlineStr">
        <is>
          <t>CoreWeave</t>
        </is>
      </c>
      <c r="B13" s="31" t="inlineStr">
        <is>
          <t>Neocloud / AI-native</t>
        </is>
      </c>
      <c r="C13" s="34" t="n">
        <v>10</v>
      </c>
      <c r="D13" s="34" t="n">
        <v>50</v>
      </c>
      <c r="E13" s="34" t="n">
        <v>30</v>
      </c>
      <c r="F13" s="34" t="n">
        <v>12</v>
      </c>
      <c r="G13" s="34" t="n">
        <v>8</v>
      </c>
      <c r="H13" s="34" t="n">
        <v>10</v>
      </c>
      <c r="I13" s="34" t="n">
        <v>0</v>
      </c>
      <c r="J13" s="35">
        <f>SUM(C13:I13)</f>
        <v/>
      </c>
      <c r="K13" s="37" t="n">
        <v>95</v>
      </c>
      <c r="L13" s="32" t="n">
        <v>3</v>
      </c>
      <c r="M13" s="33" t="n">
        <v>22</v>
      </c>
    </row>
    <row r="14">
      <c r="A14" s="30" t="inlineStr">
        <is>
          <t>SpaceX / xAI (Colossus)</t>
        </is>
      </c>
      <c r="B14" s="31" t="inlineStr">
        <is>
          <t>Neocloud / AI-native</t>
        </is>
      </c>
      <c r="C14" s="34" t="n">
        <v>15</v>
      </c>
      <c r="D14" s="34" t="n">
        <v>25</v>
      </c>
      <c r="E14" s="34" t="n">
        <v>30</v>
      </c>
      <c r="F14" s="34" t="n">
        <v>5</v>
      </c>
      <c r="G14" s="34" t="n">
        <v>3</v>
      </c>
      <c r="H14" s="34" t="n">
        <v>0</v>
      </c>
      <c r="I14" s="34" t="n">
        <v>27</v>
      </c>
      <c r="J14" s="35">
        <f>SUM(C14:I14)</f>
        <v/>
      </c>
      <c r="K14" s="37" t="n">
        <v>70</v>
      </c>
      <c r="L14" s="32" t="n">
        <v>50</v>
      </c>
      <c r="M14" s="33" t="n">
        <v>90</v>
      </c>
    </row>
    <row r="15">
      <c r="A15" s="30" t="inlineStr">
        <is>
          <t>Other neoclouds &amp; AI-native DCs</t>
        </is>
      </c>
      <c r="B15" s="31" t="inlineStr">
        <is>
          <t>Neocloud / AI-native</t>
        </is>
      </c>
      <c r="C15" s="34" t="n">
        <v>8</v>
      </c>
      <c r="D15" s="34" t="n">
        <v>18</v>
      </c>
      <c r="E15" s="34" t="n">
        <v>18</v>
      </c>
      <c r="F15" s="34" t="n">
        <v>6</v>
      </c>
      <c r="G15" s="34" t="n">
        <v>6</v>
      </c>
      <c r="H15" s="34" t="n">
        <v>2</v>
      </c>
      <c r="I15" s="34" t="n">
        <v>2</v>
      </c>
      <c r="J15" s="35">
        <f>SUM(C15:I15)</f>
        <v/>
      </c>
      <c r="K15" s="37" t="n">
        <v>25</v>
      </c>
      <c r="L15" s="32" t="n">
        <v>4</v>
      </c>
      <c r="M15" s="33" t="n">
        <v>16</v>
      </c>
    </row>
    <row r="16">
      <c r="A16" s="30" t="inlineStr">
        <is>
          <t>Nebius</t>
        </is>
      </c>
      <c r="B16" s="31" t="inlineStr">
        <is>
          <t>Neocloud / AI-native</t>
        </is>
      </c>
      <c r="C16" s="34" t="n">
        <v>2</v>
      </c>
      <c r="D16" s="34" t="n">
        <v>12</v>
      </c>
      <c r="E16" s="34" t="n">
        <v>8</v>
      </c>
      <c r="F16" s="34" t="n">
        <v>3</v>
      </c>
      <c r="G16" s="34" t="n">
        <v>2</v>
      </c>
      <c r="H16" s="34" t="n">
        <v>6</v>
      </c>
      <c r="I16" s="34" t="n">
        <v>2</v>
      </c>
      <c r="J16" s="35">
        <f>SUM(C16:I16)</f>
        <v/>
      </c>
      <c r="K16" s="37" t="n">
        <v>10</v>
      </c>
      <c r="L16" s="32" t="n">
        <v>2</v>
      </c>
      <c r="M16" s="33" t="n">
        <v>16</v>
      </c>
    </row>
    <row r="17">
      <c r="A17" s="30" t="inlineStr">
        <is>
          <t>IREN</t>
        </is>
      </c>
      <c r="B17" s="31" t="inlineStr">
        <is>
          <t>Neocloud / AI-native</t>
        </is>
      </c>
      <c r="C17" s="34" t="n">
        <v>3</v>
      </c>
      <c r="D17" s="34" t="n">
        <v>8</v>
      </c>
      <c r="E17" s="34" t="n">
        <v>8</v>
      </c>
      <c r="F17" s="34" t="n">
        <v>3</v>
      </c>
      <c r="G17" s="34" t="n">
        <v>3</v>
      </c>
      <c r="H17" s="34" t="n">
        <v>5</v>
      </c>
      <c r="I17" s="34" t="n">
        <v>0</v>
      </c>
      <c r="J17" s="35">
        <f>SUM(C17:I17)</f>
        <v/>
      </c>
      <c r="K17" s="37" t="n">
        <v>8</v>
      </c>
      <c r="L17" s="32" t="n">
        <v>3</v>
      </c>
      <c r="M17" s="33" t="n">
        <v>7</v>
      </c>
    </row>
    <row r="18">
      <c r="A18" s="30" t="inlineStr">
        <is>
          <t>Crusoe</t>
        </is>
      </c>
      <c r="B18" s="31" t="inlineStr">
        <is>
          <t>Neocloud / AI-native</t>
        </is>
      </c>
      <c r="C18" s="34" t="n">
        <v>2</v>
      </c>
      <c r="D18" s="34" t="n">
        <v>6</v>
      </c>
      <c r="E18" s="34" t="n">
        <v>9</v>
      </c>
      <c r="F18" s="34" t="n">
        <v>3</v>
      </c>
      <c r="G18" s="34" t="n">
        <v>2</v>
      </c>
      <c r="H18" s="34" t="n">
        <v>0</v>
      </c>
      <c r="I18" s="34" t="n">
        <v>3</v>
      </c>
      <c r="J18" s="35">
        <f>SUM(C18:I18)</f>
        <v/>
      </c>
      <c r="K18" s="37" t="n">
        <v>12</v>
      </c>
      <c r="L18" s="32" t="n">
        <v>1</v>
      </c>
      <c r="M18" s="33" t="n">
        <v>7</v>
      </c>
    </row>
    <row r="19">
      <c r="A19" s="30" t="inlineStr">
        <is>
          <t>Fluidstack</t>
        </is>
      </c>
      <c r="B19" s="31" t="inlineStr">
        <is>
          <t>Neocloud / AI-native</t>
        </is>
      </c>
      <c r="C19" s="34" t="n">
        <v>1</v>
      </c>
      <c r="D19" s="34" t="n">
        <v>6</v>
      </c>
      <c r="E19" s="34" t="n">
        <v>8</v>
      </c>
      <c r="F19" s="34" t="n">
        <v>2</v>
      </c>
      <c r="G19" s="34" t="n">
        <v>1</v>
      </c>
      <c r="H19" s="34" t="n">
        <v>0</v>
      </c>
      <c r="I19" s="34" t="n">
        <v>2</v>
      </c>
      <c r="J19" s="35">
        <f>SUM(C19:I19)</f>
        <v/>
      </c>
      <c r="K19" s="37" t="n">
        <v>14</v>
      </c>
      <c r="L19" s="32" t="n">
        <v>0</v>
      </c>
      <c r="M19" s="33" t="n">
        <v>4</v>
      </c>
    </row>
    <row r="20">
      <c r="A20" s="30" t="inlineStr">
        <is>
          <t>Lambda</t>
        </is>
      </c>
      <c r="B20" s="31" t="inlineStr">
        <is>
          <t>Neocloud / AI-native</t>
        </is>
      </c>
      <c r="C20" s="34" t="n">
        <v>1</v>
      </c>
      <c r="D20" s="34" t="n">
        <v>8</v>
      </c>
      <c r="E20" s="34" t="n">
        <v>5</v>
      </c>
      <c r="F20" s="34" t="n">
        <v>2</v>
      </c>
      <c r="G20" s="34" t="n">
        <v>1</v>
      </c>
      <c r="H20" s="34" t="n">
        <v>1</v>
      </c>
      <c r="I20" s="34" t="n">
        <v>0</v>
      </c>
      <c r="J20" s="35">
        <f>SUM(C20:I20)</f>
        <v/>
      </c>
      <c r="K20" s="37" t="n">
        <v>10</v>
      </c>
      <c r="L20" s="32" t="n">
        <v>1</v>
      </c>
      <c r="M20" s="33" t="n">
        <v>7</v>
      </c>
    </row>
    <row r="21">
      <c r="A21" s="30" t="inlineStr">
        <is>
          <t>Nscale</t>
        </is>
      </c>
      <c r="B21" s="31" t="inlineStr">
        <is>
          <t>Neocloud / AI-native</t>
        </is>
      </c>
      <c r="C21" s="34" t="n">
        <v>1</v>
      </c>
      <c r="D21" s="34" t="n">
        <v>6</v>
      </c>
      <c r="E21" s="34" t="n">
        <v>5</v>
      </c>
      <c r="F21" s="34" t="n">
        <v>1</v>
      </c>
      <c r="G21" s="34" t="n">
        <v>1</v>
      </c>
      <c r="H21" s="34" t="n">
        <v>0</v>
      </c>
      <c r="I21" s="34" t="n">
        <v>1</v>
      </c>
      <c r="J21" s="35">
        <f>SUM(C21:I21)</f>
        <v/>
      </c>
      <c r="K21" s="37" t="n">
        <v>8</v>
      </c>
      <c r="L21" s="32" t="n">
        <v>0</v>
      </c>
      <c r="M21" s="33" t="n">
        <v>5</v>
      </c>
    </row>
    <row r="22">
      <c r="A22" s="58" t="inlineStr">
        <is>
          <t>Neocloud / AI-native subtotal</t>
        </is>
      </c>
      <c r="B22" s="27" t="n"/>
      <c r="C22" s="28">
        <f>SUM(C13:C21)</f>
        <v/>
      </c>
      <c r="D22" s="28">
        <f>SUM(D13:D21)</f>
        <v/>
      </c>
      <c r="E22" s="28">
        <f>SUM(E13:E21)</f>
        <v/>
      </c>
      <c r="F22" s="28">
        <f>SUM(F13:F21)</f>
        <v/>
      </c>
      <c r="G22" s="28">
        <f>SUM(G13:G21)</f>
        <v/>
      </c>
      <c r="H22" s="28">
        <f>SUM(H13:H21)</f>
        <v/>
      </c>
      <c r="I22" s="28">
        <f>SUM(I13:I21)</f>
        <v/>
      </c>
      <c r="J22" s="28">
        <f>SUM(J13:J21)</f>
        <v/>
      </c>
      <c r="K22" s="28">
        <f>SUM(K13:K21)</f>
        <v/>
      </c>
      <c r="L22" s="28">
        <f>SUM(L13:L21)</f>
        <v/>
      </c>
      <c r="M22" s="28">
        <f>SUM(M13:M21)</f>
        <v/>
      </c>
    </row>
    <row r="23">
      <c r="A23" s="14" t="inlineStr">
        <is>
          <t>COLOCATION / DATA-CENTER REIT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38" t="inlineStr">
        <is>
          <t>Other colo &amp; powered-shell owners</t>
        </is>
      </c>
      <c r="B24" s="39" t="inlineStr">
        <is>
          <t>Colocation / data-center REIT</t>
        </is>
      </c>
      <c r="C24" s="42" t="n">
        <v>6</v>
      </c>
      <c r="D24" s="42" t="n">
        <v>14</v>
      </c>
      <c r="E24" s="42" t="n">
        <v>12</v>
      </c>
      <c r="F24" s="42" t="n">
        <v>6</v>
      </c>
      <c r="G24" s="42" t="n">
        <v>15</v>
      </c>
      <c r="H24" s="42" t="n">
        <v>0</v>
      </c>
      <c r="I24" s="42" t="n">
        <v>2</v>
      </c>
      <c r="J24" s="43">
        <f>SUM(C24:I24)</f>
        <v/>
      </c>
      <c r="K24" s="45" t="n">
        <v>30</v>
      </c>
      <c r="L24" s="40" t="n">
        <v>8</v>
      </c>
      <c r="M24" s="41" t="n">
        <v>22</v>
      </c>
    </row>
    <row r="25">
      <c r="A25" s="38" t="inlineStr">
        <is>
          <t>Equinix</t>
        </is>
      </c>
      <c r="B25" s="39" t="inlineStr">
        <is>
          <t>Colocation / data-center REIT</t>
        </is>
      </c>
      <c r="C25" s="42" t="n">
        <v>18</v>
      </c>
      <c r="D25" s="42" t="n">
        <v>6</v>
      </c>
      <c r="E25" s="42" t="n">
        <v>3</v>
      </c>
      <c r="F25" s="42" t="n">
        <v>2</v>
      </c>
      <c r="G25" s="42" t="n">
        <v>14</v>
      </c>
      <c r="H25" s="42" t="n">
        <v>1</v>
      </c>
      <c r="I25" s="42" t="n">
        <v>1</v>
      </c>
      <c r="J25" s="43">
        <f>SUM(C25:I25)</f>
        <v/>
      </c>
      <c r="K25" s="45" t="n">
        <v>20</v>
      </c>
      <c r="L25" s="40" t="n">
        <v>15</v>
      </c>
      <c r="M25" s="41" t="n">
        <v>10</v>
      </c>
    </row>
    <row r="26">
      <c r="A26" s="38" t="inlineStr">
        <is>
          <t>QTS (Blackstone)</t>
        </is>
      </c>
      <c r="B26" s="39" t="inlineStr">
        <is>
          <t>Colocation / data-center REIT</t>
        </is>
      </c>
      <c r="C26" s="42" t="n">
        <v>2</v>
      </c>
      <c r="D26" s="42" t="n">
        <v>8</v>
      </c>
      <c r="E26" s="42" t="n">
        <v>8</v>
      </c>
      <c r="F26" s="42" t="n">
        <v>4</v>
      </c>
      <c r="G26" s="42" t="n">
        <v>19</v>
      </c>
      <c r="H26" s="42" t="n">
        <v>0</v>
      </c>
      <c r="I26" s="42" t="n">
        <v>1</v>
      </c>
      <c r="J26" s="43">
        <f>SUM(C26:I26)</f>
        <v/>
      </c>
      <c r="K26" s="45" t="n">
        <v>35</v>
      </c>
      <c r="L26" s="40" t="n">
        <v>2</v>
      </c>
      <c r="M26" s="41" t="n">
        <v>16</v>
      </c>
    </row>
    <row r="27">
      <c r="A27" s="38" t="inlineStr">
        <is>
          <t>Digital Realty</t>
        </is>
      </c>
      <c r="B27" s="39" t="inlineStr">
        <is>
          <t>Colocation / data-center REIT</t>
        </is>
      </c>
      <c r="C27" s="42" t="n">
        <v>16</v>
      </c>
      <c r="D27" s="42" t="n">
        <v>5</v>
      </c>
      <c r="E27" s="42" t="n">
        <v>3</v>
      </c>
      <c r="F27" s="42" t="n">
        <v>2</v>
      </c>
      <c r="G27" s="42" t="n">
        <v>12</v>
      </c>
      <c r="H27" s="42" t="n">
        <v>1</v>
      </c>
      <c r="I27" s="42" t="n">
        <v>1</v>
      </c>
      <c r="J27" s="43">
        <f>SUM(C27:I27)</f>
        <v/>
      </c>
      <c r="K27" s="45" t="n">
        <v>18</v>
      </c>
      <c r="L27" s="40" t="n">
        <v>12</v>
      </c>
      <c r="M27" s="41" t="n">
        <v>8</v>
      </c>
    </row>
    <row r="28">
      <c r="A28" s="38" t="inlineStr">
        <is>
          <t>Vantage Data Centers</t>
        </is>
      </c>
      <c r="B28" s="39" t="inlineStr">
        <is>
          <t>Colocation / data-center REIT</t>
        </is>
      </c>
      <c r="C28" s="42" t="n">
        <v>3</v>
      </c>
      <c r="D28" s="42" t="n">
        <v>8</v>
      </c>
      <c r="E28" s="42" t="n">
        <v>7</v>
      </c>
      <c r="F28" s="42" t="n">
        <v>3</v>
      </c>
      <c r="G28" s="42" t="n">
        <v>13</v>
      </c>
      <c r="H28" s="42" t="n">
        <v>0</v>
      </c>
      <c r="I28" s="42" t="n">
        <v>1</v>
      </c>
      <c r="J28" s="43">
        <f>SUM(C28:I28)</f>
        <v/>
      </c>
      <c r="K28" s="45" t="n">
        <v>28</v>
      </c>
      <c r="L28" s="40" t="n">
        <v>2</v>
      </c>
      <c r="M28" s="41" t="n">
        <v>13</v>
      </c>
    </row>
    <row r="29">
      <c r="A29" s="38" t="inlineStr">
        <is>
          <t>Aligned Data Centers (MGX/BlackRock)</t>
        </is>
      </c>
      <c r="B29" s="39" t="inlineStr">
        <is>
          <t>Colocation / data-center REIT</t>
        </is>
      </c>
      <c r="C29" s="42" t="n">
        <v>1</v>
      </c>
      <c r="D29" s="42" t="n">
        <v>6</v>
      </c>
      <c r="E29" s="42" t="n">
        <v>7</v>
      </c>
      <c r="F29" s="42" t="n">
        <v>3</v>
      </c>
      <c r="G29" s="42" t="n">
        <v>10</v>
      </c>
      <c r="H29" s="42" t="n">
        <v>0</v>
      </c>
      <c r="I29" s="42" t="n">
        <v>1</v>
      </c>
      <c r="J29" s="43">
        <f>SUM(C29:I29)</f>
        <v/>
      </c>
      <c r="K29" s="45" t="n">
        <v>22</v>
      </c>
      <c r="L29" s="40" t="n">
        <v>2</v>
      </c>
      <c r="M29" s="41" t="n">
        <v>10</v>
      </c>
    </row>
    <row r="30">
      <c r="A30" s="38" t="inlineStr">
        <is>
          <t>CyrusOne (KKR/GIP)</t>
        </is>
      </c>
      <c r="B30" s="39" t="inlineStr">
        <is>
          <t>Colocation / data-center REIT</t>
        </is>
      </c>
      <c r="C30" s="42" t="n">
        <v>2</v>
      </c>
      <c r="D30" s="42" t="n">
        <v>6</v>
      </c>
      <c r="E30" s="42" t="n">
        <v>6</v>
      </c>
      <c r="F30" s="42" t="n">
        <v>3</v>
      </c>
      <c r="G30" s="42" t="n">
        <v>10</v>
      </c>
      <c r="H30" s="42" t="n">
        <v>0</v>
      </c>
      <c r="I30" s="42" t="n">
        <v>1</v>
      </c>
      <c r="J30" s="43">
        <f>SUM(C30:I30)</f>
        <v/>
      </c>
      <c r="K30" s="45" t="n">
        <v>22</v>
      </c>
      <c r="L30" s="40" t="n">
        <v>2</v>
      </c>
      <c r="M30" s="41" t="n">
        <v>10</v>
      </c>
    </row>
    <row r="31">
      <c r="A31" s="38" t="inlineStr">
        <is>
          <t>Switch (DigitalBridge)</t>
        </is>
      </c>
      <c r="B31" s="39" t="inlineStr">
        <is>
          <t>Colocation / data-center REIT</t>
        </is>
      </c>
      <c r="C31" s="42" t="n">
        <v>1</v>
      </c>
      <c r="D31" s="42" t="n">
        <v>4</v>
      </c>
      <c r="E31" s="42" t="n">
        <v>5</v>
      </c>
      <c r="F31" s="42" t="n">
        <v>2</v>
      </c>
      <c r="G31" s="42" t="n">
        <v>9</v>
      </c>
      <c r="H31" s="42" t="n">
        <v>0</v>
      </c>
      <c r="I31" s="42" t="n">
        <v>1</v>
      </c>
      <c r="J31" s="43">
        <f>SUM(C31:I31)</f>
        <v/>
      </c>
      <c r="K31" s="45" t="n">
        <v>16</v>
      </c>
      <c r="L31" s="40" t="n">
        <v>1</v>
      </c>
      <c r="M31" s="41" t="n">
        <v>7</v>
      </c>
    </row>
    <row r="32">
      <c r="A32" s="38" t="inlineStr">
        <is>
          <t>Stack Infrastructure</t>
        </is>
      </c>
      <c r="B32" s="39" t="inlineStr">
        <is>
          <t>Colocation / data-center REIT</t>
        </is>
      </c>
      <c r="C32" s="42" t="n">
        <v>1</v>
      </c>
      <c r="D32" s="42" t="n">
        <v>4</v>
      </c>
      <c r="E32" s="42" t="n">
        <v>4</v>
      </c>
      <c r="F32" s="42" t="n">
        <v>2</v>
      </c>
      <c r="G32" s="42" t="n">
        <v>6</v>
      </c>
      <c r="H32" s="42" t="n">
        <v>0</v>
      </c>
      <c r="I32" s="42" t="n">
        <v>0</v>
      </c>
      <c r="J32" s="43">
        <f>SUM(C32:I32)</f>
        <v/>
      </c>
      <c r="K32" s="45" t="n">
        <v>12</v>
      </c>
      <c r="L32" s="40" t="n">
        <v>1</v>
      </c>
      <c r="M32" s="41" t="n">
        <v>7</v>
      </c>
    </row>
    <row r="33">
      <c r="A33" s="58" t="inlineStr">
        <is>
          <t>Colocation / data-center REIT subtotal</t>
        </is>
      </c>
      <c r="B33" s="27" t="n"/>
      <c r="C33" s="28">
        <f>SUM(C24:C32)</f>
        <v/>
      </c>
      <c r="D33" s="28">
        <f>SUM(D24:D32)</f>
        <v/>
      </c>
      <c r="E33" s="28">
        <f>SUM(E24:E32)</f>
        <v/>
      </c>
      <c r="F33" s="28">
        <f>SUM(F24:F32)</f>
        <v/>
      </c>
      <c r="G33" s="28">
        <f>SUM(G24:G32)</f>
        <v/>
      </c>
      <c r="H33" s="28">
        <f>SUM(H24:H32)</f>
        <v/>
      </c>
      <c r="I33" s="28">
        <f>SUM(I24:I32)</f>
        <v/>
      </c>
      <c r="J33" s="28">
        <f>SUM(J24:J32)</f>
        <v/>
      </c>
      <c r="K33" s="28">
        <f>SUM(K24:K32)</f>
        <v/>
      </c>
      <c r="L33" s="28">
        <f>SUM(L24:L32)</f>
        <v/>
      </c>
      <c r="M33" s="28">
        <f>SUM(M24:M32)</f>
        <v/>
      </c>
    </row>
    <row r="34">
      <c r="A34" s="14" t="inlineStr">
        <is>
          <t>SOVEREIGN CLOUD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46" t="inlineStr">
        <is>
          <t>HUMAIN (Saudi PIF)</t>
        </is>
      </c>
      <c r="B35" s="47" t="inlineStr">
        <is>
          <t>Sovereign cloud</t>
        </is>
      </c>
      <c r="C35" s="50" t="n">
        <v>4</v>
      </c>
      <c r="D35" s="50" t="n">
        <v>8</v>
      </c>
      <c r="E35" s="50" t="n">
        <v>4</v>
      </c>
      <c r="F35" s="50" t="n">
        <v>1</v>
      </c>
      <c r="G35" s="50" t="n">
        <v>0</v>
      </c>
      <c r="H35" s="50" t="n">
        <v>0</v>
      </c>
      <c r="I35" s="50" t="n">
        <v>3</v>
      </c>
      <c r="J35" s="51">
        <f>SUM(C35:I35)</f>
        <v/>
      </c>
      <c r="K35" s="53" t="n">
        <v>10</v>
      </c>
      <c r="L35" s="48" t="n">
        <v>0</v>
      </c>
      <c r="M35" s="49" t="n">
        <v>80</v>
      </c>
    </row>
    <row r="36">
      <c r="A36" s="46" t="inlineStr">
        <is>
          <t>MGX / Mubadala (UAE)</t>
        </is>
      </c>
      <c r="B36" s="47" t="inlineStr">
        <is>
          <t>Sovereign cloud</t>
        </is>
      </c>
      <c r="C36" s="50" t="n">
        <v>1</v>
      </c>
      <c r="D36" s="50" t="n">
        <v>3</v>
      </c>
      <c r="E36" s="50" t="n">
        <v>4</v>
      </c>
      <c r="F36" s="50" t="n">
        <v>1</v>
      </c>
      <c r="G36" s="50" t="n">
        <v>0</v>
      </c>
      <c r="H36" s="50" t="n">
        <v>0</v>
      </c>
      <c r="I36" s="50" t="n">
        <v>1</v>
      </c>
      <c r="J36" s="51">
        <f>SUM(C36:I36)</f>
        <v/>
      </c>
      <c r="K36" s="53" t="n">
        <v>8</v>
      </c>
      <c r="L36" s="48" t="n">
        <v>0</v>
      </c>
      <c r="M36" s="49" t="n">
        <v>30</v>
      </c>
    </row>
    <row r="37">
      <c r="A37" s="46" t="inlineStr">
        <is>
          <t>Stargate UAE / G42 / Khazna</t>
        </is>
      </c>
      <c r="B37" s="47" t="inlineStr">
        <is>
          <t>Sovereign cloud</t>
        </is>
      </c>
      <c r="C37" s="50" t="n">
        <v>1</v>
      </c>
      <c r="D37" s="50" t="n">
        <v>3</v>
      </c>
      <c r="E37" s="50" t="n">
        <v>2</v>
      </c>
      <c r="F37" s="50" t="n">
        <v>0</v>
      </c>
      <c r="G37" s="50" t="n">
        <v>0</v>
      </c>
      <c r="H37" s="50" t="n">
        <v>0</v>
      </c>
      <c r="I37" s="50" t="n">
        <v>2</v>
      </c>
      <c r="J37" s="51">
        <f>SUM(C37:I37)</f>
        <v/>
      </c>
      <c r="K37" s="53" t="n">
        <v>6</v>
      </c>
      <c r="L37" s="48" t="n">
        <v>0</v>
      </c>
      <c r="M37" s="49" t="n">
        <v>22</v>
      </c>
    </row>
    <row r="38">
      <c r="A38" s="46" t="inlineStr">
        <is>
          <t>Other sovereign AI (Japan, Korea, Singapore, etc.)</t>
        </is>
      </c>
      <c r="B38" s="47" t="inlineStr">
        <is>
          <t>Sovereign cloud</t>
        </is>
      </c>
      <c r="C38" s="50" t="n">
        <v>2</v>
      </c>
      <c r="D38" s="50" t="n">
        <v>3</v>
      </c>
      <c r="E38" s="50" t="n">
        <v>2</v>
      </c>
      <c r="F38" s="50" t="n">
        <v>0</v>
      </c>
      <c r="G38" s="50" t="n">
        <v>0</v>
      </c>
      <c r="H38" s="50" t="n">
        <v>0</v>
      </c>
      <c r="I38" s="50" t="n">
        <v>1</v>
      </c>
      <c r="J38" s="51">
        <f>SUM(C38:I38)</f>
        <v/>
      </c>
      <c r="K38" s="53" t="n">
        <v>4</v>
      </c>
      <c r="L38" s="48" t="n">
        <v>0</v>
      </c>
      <c r="M38" s="49" t="n">
        <v>25</v>
      </c>
    </row>
    <row r="39">
      <c r="A39" s="46" t="inlineStr">
        <is>
          <t>Qatar (QIA / Qai + Brookfield JV)</t>
        </is>
      </c>
      <c r="B39" s="47" t="inlineStr">
        <is>
          <t>Sovereign cloud</t>
        </is>
      </c>
      <c r="C39" s="50" t="n">
        <v>1</v>
      </c>
      <c r="D39" s="50" t="n">
        <v>2</v>
      </c>
      <c r="E39" s="50" t="n">
        <v>2</v>
      </c>
      <c r="F39" s="50" t="n">
        <v>1</v>
      </c>
      <c r="G39" s="50" t="n">
        <v>0</v>
      </c>
      <c r="H39" s="50" t="n">
        <v>0</v>
      </c>
      <c r="I39" s="50" t="n">
        <v>0</v>
      </c>
      <c r="J39" s="51">
        <f>SUM(C39:I39)</f>
        <v/>
      </c>
      <c r="K39" s="53" t="n">
        <v>4</v>
      </c>
      <c r="L39" s="48" t="n">
        <v>0</v>
      </c>
      <c r="M39" s="49" t="n">
        <v>14</v>
      </c>
    </row>
    <row r="40">
      <c r="A40" s="46" t="inlineStr">
        <is>
          <t>EU / France (Mistral, sovereign cloud)</t>
        </is>
      </c>
      <c r="B40" s="47" t="inlineStr">
        <is>
          <t>Sovereign cloud</t>
        </is>
      </c>
      <c r="C40" s="50" t="n">
        <v>1</v>
      </c>
      <c r="D40" s="50" t="n">
        <v>2</v>
      </c>
      <c r="E40" s="50" t="n">
        <v>1</v>
      </c>
      <c r="F40" s="50" t="n">
        <v>0</v>
      </c>
      <c r="G40" s="50" t="n">
        <v>0</v>
      </c>
      <c r="H40" s="50" t="n">
        <v>0</v>
      </c>
      <c r="I40" s="50" t="n">
        <v>1</v>
      </c>
      <c r="J40" s="51">
        <f>SUM(C40:I40)</f>
        <v/>
      </c>
      <c r="K40" s="53" t="n">
        <v>3</v>
      </c>
      <c r="L40" s="48" t="n">
        <v>0</v>
      </c>
      <c r="M40" s="49" t="n">
        <v>12</v>
      </c>
    </row>
    <row r="41">
      <c r="A41" s="46" t="inlineStr">
        <is>
          <t>India (IndiaAI Mission)</t>
        </is>
      </c>
      <c r="B41" s="47" t="inlineStr">
        <is>
          <t>Sovereign cloud</t>
        </is>
      </c>
      <c r="C41" s="50" t="n">
        <v>0</v>
      </c>
      <c r="D41" s="50" t="n">
        <v>1</v>
      </c>
      <c r="E41" s="50" t="n">
        <v>0</v>
      </c>
      <c r="F41" s="50" t="n">
        <v>0</v>
      </c>
      <c r="G41" s="50" t="n">
        <v>0</v>
      </c>
      <c r="H41" s="50" t="n">
        <v>0</v>
      </c>
      <c r="I41" s="50" t="n">
        <v>1</v>
      </c>
      <c r="J41" s="51">
        <f>SUM(C41:I41)</f>
        <v/>
      </c>
      <c r="K41" s="53" t="n">
        <v>1</v>
      </c>
      <c r="L41" s="48" t="n">
        <v>0</v>
      </c>
      <c r="M41" s="49" t="n">
        <v>8</v>
      </c>
    </row>
    <row r="42">
      <c r="A42" s="58" t="inlineStr">
        <is>
          <t>Sovereign cloud subtotal</t>
        </is>
      </c>
      <c r="B42" s="27" t="n"/>
      <c r="C42" s="28">
        <f>SUM(C35:C41)</f>
        <v/>
      </c>
      <c r="D42" s="28">
        <f>SUM(D35:D41)</f>
        <v/>
      </c>
      <c r="E42" s="28">
        <f>SUM(E35:E41)</f>
        <v/>
      </c>
      <c r="F42" s="28">
        <f>SUM(F35:F41)</f>
        <v/>
      </c>
      <c r="G42" s="28">
        <f>SUM(G35:G41)</f>
        <v/>
      </c>
      <c r="H42" s="28">
        <f>SUM(H35:H41)</f>
        <v/>
      </c>
      <c r="I42" s="28">
        <f>SUM(I35:I41)</f>
        <v/>
      </c>
      <c r="J42" s="28">
        <f>SUM(J35:J41)</f>
        <v/>
      </c>
      <c r="K42" s="28">
        <f>SUM(K35:K41)</f>
        <v/>
      </c>
      <c r="L42" s="28">
        <f>SUM(L35:L41)</f>
        <v/>
      </c>
      <c r="M42" s="28">
        <f>SUM(M35:M41)</f>
        <v/>
      </c>
    </row>
    <row r="43">
      <c r="A43" s="54" t="inlineStr">
        <is>
          <t>GRAND TOTAL</t>
        </is>
      </c>
      <c r="B43" s="55" t="n"/>
      <c r="C43" s="56">
        <f>SUM(C6,C7,C8,C9,C10,C13,C14,C15,C16,C17,C18,C19,C20,C21,C24,C25,C26,C27,C28,C29,C30,C31,C32,C35,C36,C37,C38,C39,C40,C41)</f>
        <v/>
      </c>
      <c r="D43" s="56">
        <f>SUM(D6,D7,D8,D9,D10,D13,D14,D15,D16,D17,D18,D19,D20,D21,D24,D25,D26,D27,D28,D29,D30,D31,D32,D35,D36,D37,D38,D39,D40,D41)</f>
        <v/>
      </c>
      <c r="E43" s="56">
        <f>SUM(E6,E7,E8,E9,E10,E13,E14,E15,E16,E17,E18,E19,E20,E21,E24,E25,E26,E27,E28,E29,E30,E31,E32,E35,E36,E37,E38,E39,E40,E41)</f>
        <v/>
      </c>
      <c r="F43" s="56">
        <f>SUM(F6,F7,F8,F9,F10,F13,F14,F15,F16,F17,F18,F19,F20,F21,F24,F25,F26,F27,F28,F29,F30,F31,F32,F35,F36,F37,F38,F39,F40,F41)</f>
        <v/>
      </c>
      <c r="G43" s="56">
        <f>SUM(G6,G7,G8,G9,G10,G13,G14,G15,G16,G17,G18,G19,G20,G21,G24,G25,G26,G27,G28,G29,G30,G31,G32,G35,G36,G37,G38,G39,G40,G41)</f>
        <v/>
      </c>
      <c r="H43" s="56">
        <f>SUM(H6,H7,H8,H9,H10,H13,H14,H15,H16,H17,H18,H19,H20,H21,H24,H25,H26,H27,H28,H29,H30,H31,H32,H35,H36,H37,H38,H39,H40,H41)</f>
        <v/>
      </c>
      <c r="I43" s="56">
        <f>SUM(I6,I7,I8,I9,I10,I13,I14,I15,I16,I17,I18,I19,I20,I21,I24,I25,I26,I27,I28,I29,I30,I31,I32,I35,I36,I37,I38,I39,I40,I41)</f>
        <v/>
      </c>
      <c r="J43" s="56">
        <f>SUM(J6,J7,J8,J9,J10,J13,J14,J15,J16,J17,J18,J19,J20,J21,J24,J25,J26,J27,J28,J29,J30,J31,J32,J35,J36,J37,J38,J39,J40,J41)</f>
        <v/>
      </c>
      <c r="K43" s="56">
        <f>SUM(K6,K7,K8,K9,K10,K13,K14,K15,K16,K17,K18,K19,K20,K21,K24,K25,K26,K27,K28,K29,K30,K31,K32,K35,K36,K37,K38,K39,K40,K41)</f>
        <v/>
      </c>
      <c r="L43" s="56">
        <f>SUM(L6,L7,L8,L9,L10,L13,L14,L15,L16,L17,L18,L19,L20,L21,L24,L25,L26,L27,L28,L29,L30,L31,L32,L35,L36,L37,L38,L39,L40,L41)</f>
        <v/>
      </c>
      <c r="M43" s="56">
        <f>SUM(M6,M7,M8,M9,M10,M13,M14,M15,M16,M17,M18,M19,M20,M21,M24,M25,M26,M27,M28,M29,M30,M31,M32,M35,M36,M37,M38,M39,M40,M41)</f>
        <v/>
      </c>
    </row>
    <row r="44">
      <c r="A44" s="59" t="inlineStr">
        <is>
          <t>% of total debt</t>
        </is>
      </c>
      <c r="C44" s="60">
        <f>C43/$J$43</f>
        <v/>
      </c>
      <c r="D44" s="60">
        <f>D43/$J$43</f>
        <v/>
      </c>
      <c r="E44" s="60">
        <f>E43/$J$43</f>
        <v/>
      </c>
      <c r="F44" s="60">
        <f>F43/$J$43</f>
        <v/>
      </c>
      <c r="G44" s="60">
        <f>G43/$J$43</f>
        <v/>
      </c>
      <c r="H44" s="60">
        <f>H43/$J$43</f>
        <v/>
      </c>
      <c r="I44" s="60">
        <f>I43/$J$43</f>
        <v/>
      </c>
      <c r="J44" s="61">
        <f>J43/J43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13" customWidth="1" min="3" max="3"/>
    <col width="14" customWidth="1" min="4" max="4"/>
    <col width="14" customWidth="1" min="5" max="5"/>
    <col width="11" customWidth="1" min="6" max="6"/>
    <col width="11" customWidth="1" min="7" max="7"/>
    <col width="14" customWidth="1" min="8" max="8"/>
    <col width="15" customWidth="1" min="9" max="9"/>
  </cols>
  <sheetData>
    <row r="1">
      <c r="A1" s="10" t="inlineStr">
        <is>
          <t>Cash-Flow Bridge — Operating Cash Flow to Funding Gap, 2025-2030 (US$bn)</t>
        </is>
      </c>
    </row>
    <row r="2">
      <c r="A2" s="11" t="inlineStr">
        <is>
          <t>Operating cash flow (CFO) less shareholder returns/other = self-funded capex; the remaining AI capex is met by external equity + debt. Free cash flow = CFO - AI capex.</t>
        </is>
      </c>
    </row>
    <row r="4" ht="34" customHeight="1">
      <c r="A4" s="12" t="inlineStr">
        <is>
          <t>Company</t>
        </is>
      </c>
      <c r="B4" s="12" t="inlineStr">
        <is>
          <t>Segment</t>
        </is>
      </c>
      <c r="C4" s="12" t="inlineStr">
        <is>
          <t>Operating cash
flow (CFO)</t>
        </is>
      </c>
      <c r="D4" s="12" t="inlineStr">
        <is>
          <t>Less: dividends,
buybacks &amp; other</t>
        </is>
      </c>
      <c r="E4" s="12">
        <f> Op. cash flow
self-funded</f>
        <v/>
      </c>
      <c r="F4" s="12" t="inlineStr">
        <is>
          <t>External
equity</t>
        </is>
      </c>
      <c r="G4" s="12" t="inlineStr">
        <is>
          <t>Total debt</t>
        </is>
      </c>
      <c r="H4" s="12">
        <f> AI-infra capex
funded</f>
        <v/>
      </c>
      <c r="I4" s="12" t="inlineStr">
        <is>
          <t>Memo: Free cash
flow (CFO - capex)</t>
        </is>
      </c>
    </row>
    <row r="5">
      <c r="A5" s="14" t="inlineStr">
        <is>
          <t>HYPERSCALER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8" t="inlineStr">
        <is>
          <t>Amazon (AWS)</t>
        </is>
      </c>
      <c r="B6" s="19" t="inlineStr">
        <is>
          <t>Hyperscaler</t>
        </is>
      </c>
      <c r="C6" s="22" t="n">
        <v>1100</v>
      </c>
      <c r="D6" s="22">
        <f>C6-E6</f>
        <v/>
      </c>
      <c r="E6" s="20" t="n">
        <v>950</v>
      </c>
      <c r="F6" s="21" t="n">
        <v>0</v>
      </c>
      <c r="G6" s="22" t="n">
        <v>320</v>
      </c>
      <c r="H6" s="23">
        <f>E6+F6+G6</f>
        <v/>
      </c>
      <c r="I6" s="62">
        <f>C6-H6</f>
        <v/>
      </c>
    </row>
    <row r="7">
      <c r="A7" s="18" t="inlineStr">
        <is>
          <t>Alphabet (Google)</t>
        </is>
      </c>
      <c r="B7" s="19" t="inlineStr">
        <is>
          <t>Hyperscaler</t>
        </is>
      </c>
      <c r="C7" s="22" t="n">
        <v>1350</v>
      </c>
      <c r="D7" s="22">
        <f>C7-E7</f>
        <v/>
      </c>
      <c r="E7" s="20" t="n">
        <v>931</v>
      </c>
      <c r="F7" s="21" t="n">
        <v>0</v>
      </c>
      <c r="G7" s="22" t="n">
        <v>230</v>
      </c>
      <c r="H7" s="23">
        <f>E7+F7+G7</f>
        <v/>
      </c>
      <c r="I7" s="62">
        <f>C7-H7</f>
        <v/>
      </c>
    </row>
    <row r="8">
      <c r="A8" s="18" t="inlineStr">
        <is>
          <t>Microsoft</t>
        </is>
      </c>
      <c r="B8" s="19" t="inlineStr">
        <is>
          <t>Hyperscaler</t>
        </is>
      </c>
      <c r="C8" s="22" t="n">
        <v>1300</v>
      </c>
      <c r="D8" s="22">
        <f>C8-E8</f>
        <v/>
      </c>
      <c r="E8" s="20" t="n">
        <v>750</v>
      </c>
      <c r="F8" s="21" t="n">
        <v>0</v>
      </c>
      <c r="G8" s="22" t="n">
        <v>250</v>
      </c>
      <c r="H8" s="23">
        <f>E8+F8+G8</f>
        <v/>
      </c>
      <c r="I8" s="62">
        <f>C8-H8</f>
        <v/>
      </c>
    </row>
    <row r="9">
      <c r="A9" s="18" t="inlineStr">
        <is>
          <t>Meta Platforms</t>
        </is>
      </c>
      <c r="B9" s="19" t="inlineStr">
        <is>
          <t>Hyperscaler</t>
        </is>
      </c>
      <c r="C9" s="22" t="n">
        <v>1000</v>
      </c>
      <c r="D9" s="22">
        <f>C9-E9</f>
        <v/>
      </c>
      <c r="E9" s="20" t="n">
        <v>487</v>
      </c>
      <c r="F9" s="21" t="n">
        <v>0</v>
      </c>
      <c r="G9" s="22" t="n">
        <v>400</v>
      </c>
      <c r="H9" s="23">
        <f>E9+F9+G9</f>
        <v/>
      </c>
      <c r="I9" s="62">
        <f>C9-H9</f>
        <v/>
      </c>
    </row>
    <row r="10">
      <c r="A10" s="18" t="inlineStr">
        <is>
          <t>Oracle (OCI)</t>
        </is>
      </c>
      <c r="B10" s="19" t="inlineStr">
        <is>
          <t>Hyperscaler</t>
        </is>
      </c>
      <c r="C10" s="22" t="n">
        <v>210</v>
      </c>
      <c r="D10" s="22">
        <f>C10-E10</f>
        <v/>
      </c>
      <c r="E10" s="20" t="n">
        <v>145</v>
      </c>
      <c r="F10" s="21" t="n">
        <v>30</v>
      </c>
      <c r="G10" s="22" t="n">
        <v>215</v>
      </c>
      <c r="H10" s="23">
        <f>E10+F10+G10</f>
        <v/>
      </c>
      <c r="I10" s="62">
        <f>C10-H10</f>
        <v/>
      </c>
    </row>
    <row r="11">
      <c r="A11" s="58" t="inlineStr">
        <is>
          <t>Hyperscaler subtotal</t>
        </is>
      </c>
      <c r="B11" s="27" t="n"/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8">
        <f>SUM(G6:G10)</f>
        <v/>
      </c>
      <c r="H11" s="28">
        <f>SUM(H6:H10)</f>
        <v/>
      </c>
      <c r="I11" s="63">
        <f>SUM(I6:I10)</f>
        <v/>
      </c>
    </row>
    <row r="12">
      <c r="A12" s="14" t="inlineStr">
        <is>
          <t>NEOCLOUD / AI-NATIVE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30" t="inlineStr">
        <is>
          <t>SpaceX / xAI (Colossus)</t>
        </is>
      </c>
      <c r="B13" s="31" t="inlineStr">
        <is>
          <t>Neocloud / AI-native</t>
        </is>
      </c>
      <c r="C13" s="34" t="n">
        <v>50</v>
      </c>
      <c r="D13" s="34">
        <f>C13-E13</f>
        <v/>
      </c>
      <c r="E13" s="32" t="n">
        <v>50</v>
      </c>
      <c r="F13" s="33" t="n">
        <v>90</v>
      </c>
      <c r="G13" s="34" t="n">
        <v>105</v>
      </c>
      <c r="H13" s="35">
        <f>E13+F13+G13</f>
        <v/>
      </c>
      <c r="I13" s="64">
        <f>C13-H13</f>
        <v/>
      </c>
    </row>
    <row r="14">
      <c r="A14" s="30" t="inlineStr">
        <is>
          <t>CoreWeave</t>
        </is>
      </c>
      <c r="B14" s="31" t="inlineStr">
        <is>
          <t>Neocloud / AI-native</t>
        </is>
      </c>
      <c r="C14" s="34" t="n">
        <v>3</v>
      </c>
      <c r="D14" s="34">
        <f>C14-E14</f>
        <v/>
      </c>
      <c r="E14" s="32" t="n">
        <v>3</v>
      </c>
      <c r="F14" s="33" t="n">
        <v>22</v>
      </c>
      <c r="G14" s="34" t="n">
        <v>120</v>
      </c>
      <c r="H14" s="35">
        <f>E14+F14+G14</f>
        <v/>
      </c>
      <c r="I14" s="64">
        <f>C14-H14</f>
        <v/>
      </c>
    </row>
    <row r="15">
      <c r="A15" s="30" t="inlineStr">
        <is>
          <t>Other neoclouds &amp; AI-native DCs</t>
        </is>
      </c>
      <c r="B15" s="31" t="inlineStr">
        <is>
          <t>Neocloud / AI-native</t>
        </is>
      </c>
      <c r="C15" s="34" t="n">
        <v>4</v>
      </c>
      <c r="D15" s="34">
        <f>C15-E15</f>
        <v/>
      </c>
      <c r="E15" s="32" t="n">
        <v>4</v>
      </c>
      <c r="F15" s="33" t="n">
        <v>16</v>
      </c>
      <c r="G15" s="34" t="n">
        <v>60</v>
      </c>
      <c r="H15" s="35">
        <f>E15+F15+G15</f>
        <v/>
      </c>
      <c r="I15" s="64">
        <f>C15-H15</f>
        <v/>
      </c>
    </row>
    <row r="16">
      <c r="A16" s="30" t="inlineStr">
        <is>
          <t>Nebius</t>
        </is>
      </c>
      <c r="B16" s="31" t="inlineStr">
        <is>
          <t>Neocloud / AI-native</t>
        </is>
      </c>
      <c r="C16" s="34" t="n">
        <v>2</v>
      </c>
      <c r="D16" s="34">
        <f>C16-E16</f>
        <v/>
      </c>
      <c r="E16" s="32" t="n">
        <v>2</v>
      </c>
      <c r="F16" s="33" t="n">
        <v>16</v>
      </c>
      <c r="G16" s="34" t="n">
        <v>35</v>
      </c>
      <c r="H16" s="35">
        <f>E16+F16+G16</f>
        <v/>
      </c>
      <c r="I16" s="64">
        <f>C16-H16</f>
        <v/>
      </c>
    </row>
    <row r="17">
      <c r="A17" s="30" t="inlineStr">
        <is>
          <t>IREN</t>
        </is>
      </c>
      <c r="B17" s="31" t="inlineStr">
        <is>
          <t>Neocloud / AI-native</t>
        </is>
      </c>
      <c r="C17" s="34" t="n">
        <v>3</v>
      </c>
      <c r="D17" s="34">
        <f>C17-E17</f>
        <v/>
      </c>
      <c r="E17" s="32" t="n">
        <v>3</v>
      </c>
      <c r="F17" s="33" t="n">
        <v>7</v>
      </c>
      <c r="G17" s="34" t="n">
        <v>30</v>
      </c>
      <c r="H17" s="35">
        <f>E17+F17+G17</f>
        <v/>
      </c>
      <c r="I17" s="64">
        <f>C17-H17</f>
        <v/>
      </c>
    </row>
    <row r="18">
      <c r="A18" s="30" t="inlineStr">
        <is>
          <t>Crusoe</t>
        </is>
      </c>
      <c r="B18" s="31" t="inlineStr">
        <is>
          <t>Neocloud / AI-native</t>
        </is>
      </c>
      <c r="C18" s="34" t="n">
        <v>1</v>
      </c>
      <c r="D18" s="34">
        <f>C18-E18</f>
        <v/>
      </c>
      <c r="E18" s="32" t="n">
        <v>1</v>
      </c>
      <c r="F18" s="33" t="n">
        <v>7</v>
      </c>
      <c r="G18" s="34" t="n">
        <v>25</v>
      </c>
      <c r="H18" s="35">
        <f>E18+F18+G18</f>
        <v/>
      </c>
      <c r="I18" s="64">
        <f>C18-H18</f>
        <v/>
      </c>
    </row>
    <row r="19">
      <c r="A19" s="30" t="inlineStr">
        <is>
          <t>Lambda</t>
        </is>
      </c>
      <c r="B19" s="31" t="inlineStr">
        <is>
          <t>Neocloud / AI-native</t>
        </is>
      </c>
      <c r="C19" s="34" t="n">
        <v>1</v>
      </c>
      <c r="D19" s="34">
        <f>C19-E19</f>
        <v/>
      </c>
      <c r="E19" s="32" t="n">
        <v>1</v>
      </c>
      <c r="F19" s="33" t="n">
        <v>7</v>
      </c>
      <c r="G19" s="34" t="n">
        <v>18</v>
      </c>
      <c r="H19" s="35">
        <f>E19+F19+G19</f>
        <v/>
      </c>
      <c r="I19" s="64">
        <f>C19-H19</f>
        <v/>
      </c>
    </row>
    <row r="20">
      <c r="A20" s="30" t="inlineStr">
        <is>
          <t>Fluidstack</t>
        </is>
      </c>
      <c r="B20" s="31" t="inlineStr">
        <is>
          <t>Neocloud / AI-native</t>
        </is>
      </c>
      <c r="C20" s="34" t="n">
        <v>0</v>
      </c>
      <c r="D20" s="34">
        <f>C20-E20</f>
        <v/>
      </c>
      <c r="E20" s="32" t="n">
        <v>0</v>
      </c>
      <c r="F20" s="33" t="n">
        <v>4</v>
      </c>
      <c r="G20" s="34" t="n">
        <v>20</v>
      </c>
      <c r="H20" s="35">
        <f>E20+F20+G20</f>
        <v/>
      </c>
      <c r="I20" s="64">
        <f>C20-H20</f>
        <v/>
      </c>
    </row>
    <row r="21">
      <c r="A21" s="30" t="inlineStr">
        <is>
          <t>Nscale</t>
        </is>
      </c>
      <c r="B21" s="31" t="inlineStr">
        <is>
          <t>Neocloud / AI-native</t>
        </is>
      </c>
      <c r="C21" s="34" t="n">
        <v>0</v>
      </c>
      <c r="D21" s="34">
        <f>C21-E21</f>
        <v/>
      </c>
      <c r="E21" s="32" t="n">
        <v>0</v>
      </c>
      <c r="F21" s="33" t="n">
        <v>5</v>
      </c>
      <c r="G21" s="34" t="n">
        <v>15</v>
      </c>
      <c r="H21" s="35">
        <f>E21+F21+G21</f>
        <v/>
      </c>
      <c r="I21" s="64">
        <f>C21-H21</f>
        <v/>
      </c>
    </row>
    <row r="22">
      <c r="A22" s="58" t="inlineStr">
        <is>
          <t>Neocloud / AI-native subtotal</t>
        </is>
      </c>
      <c r="B22" s="27" t="n"/>
      <c r="C22" s="28">
        <f>SUM(C13:C21)</f>
        <v/>
      </c>
      <c r="D22" s="28">
        <f>SUM(D13:D21)</f>
        <v/>
      </c>
      <c r="E22" s="28">
        <f>SUM(E13:E21)</f>
        <v/>
      </c>
      <c r="F22" s="28">
        <f>SUM(F13:F21)</f>
        <v/>
      </c>
      <c r="G22" s="28">
        <f>SUM(G13:G21)</f>
        <v/>
      </c>
      <c r="H22" s="28">
        <f>SUM(H13:H21)</f>
        <v/>
      </c>
      <c r="I22" s="63">
        <f>SUM(I13:I21)</f>
        <v/>
      </c>
    </row>
    <row r="23">
      <c r="A23" s="14" t="inlineStr">
        <is>
          <t>COLOCATION / DATA-CENTER REIT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38" t="inlineStr">
        <is>
          <t>Other colo &amp; powered-shell owners</t>
        </is>
      </c>
      <c r="B24" s="39" t="inlineStr">
        <is>
          <t>Colocation / data-center REIT</t>
        </is>
      </c>
      <c r="C24" s="42" t="n">
        <v>8</v>
      </c>
      <c r="D24" s="42">
        <f>C24-E24</f>
        <v/>
      </c>
      <c r="E24" s="40" t="n">
        <v>8</v>
      </c>
      <c r="F24" s="41" t="n">
        <v>22</v>
      </c>
      <c r="G24" s="42" t="n">
        <v>55</v>
      </c>
      <c r="H24" s="43">
        <f>E24+F24+G24</f>
        <v/>
      </c>
      <c r="I24" s="65">
        <f>C24-H24</f>
        <v/>
      </c>
    </row>
    <row r="25">
      <c r="A25" s="38" t="inlineStr">
        <is>
          <t>Equinix</t>
        </is>
      </c>
      <c r="B25" s="39" t="inlineStr">
        <is>
          <t>Colocation / data-center REIT</t>
        </is>
      </c>
      <c r="C25" s="42" t="n">
        <v>15</v>
      </c>
      <c r="D25" s="42">
        <f>C25-E25</f>
        <v/>
      </c>
      <c r="E25" s="40" t="n">
        <v>15</v>
      </c>
      <c r="F25" s="41" t="n">
        <v>10</v>
      </c>
      <c r="G25" s="42" t="n">
        <v>45</v>
      </c>
      <c r="H25" s="43">
        <f>E25+F25+G25</f>
        <v/>
      </c>
      <c r="I25" s="65">
        <f>C25-H25</f>
        <v/>
      </c>
    </row>
    <row r="26">
      <c r="A26" s="38" t="inlineStr">
        <is>
          <t>Digital Realty</t>
        </is>
      </c>
      <c r="B26" s="39" t="inlineStr">
        <is>
          <t>Colocation / data-center REIT</t>
        </is>
      </c>
      <c r="C26" s="42" t="n">
        <v>12</v>
      </c>
      <c r="D26" s="42">
        <f>C26-E26</f>
        <v/>
      </c>
      <c r="E26" s="40" t="n">
        <v>12</v>
      </c>
      <c r="F26" s="41" t="n">
        <v>8</v>
      </c>
      <c r="G26" s="42" t="n">
        <v>40</v>
      </c>
      <c r="H26" s="43">
        <f>E26+F26+G26</f>
        <v/>
      </c>
      <c r="I26" s="65">
        <f>C26-H26</f>
        <v/>
      </c>
    </row>
    <row r="27">
      <c r="A27" s="38" t="inlineStr">
        <is>
          <t>QTS (Blackstone)</t>
        </is>
      </c>
      <c r="B27" s="39" t="inlineStr">
        <is>
          <t>Colocation / data-center REIT</t>
        </is>
      </c>
      <c r="C27" s="42" t="n">
        <v>2</v>
      </c>
      <c r="D27" s="42">
        <f>C27-E27</f>
        <v/>
      </c>
      <c r="E27" s="40" t="n">
        <v>2</v>
      </c>
      <c r="F27" s="41" t="n">
        <v>16</v>
      </c>
      <c r="G27" s="42" t="n">
        <v>42</v>
      </c>
      <c r="H27" s="43">
        <f>E27+F27+G27</f>
        <v/>
      </c>
      <c r="I27" s="65">
        <f>C27-H27</f>
        <v/>
      </c>
    </row>
    <row r="28">
      <c r="A28" s="38" t="inlineStr">
        <is>
          <t>Vantage Data Centers</t>
        </is>
      </c>
      <c r="B28" s="39" t="inlineStr">
        <is>
          <t>Colocation / data-center REIT</t>
        </is>
      </c>
      <c r="C28" s="42" t="n">
        <v>2</v>
      </c>
      <c r="D28" s="42">
        <f>C28-E28</f>
        <v/>
      </c>
      <c r="E28" s="40" t="n">
        <v>2</v>
      </c>
      <c r="F28" s="41" t="n">
        <v>13</v>
      </c>
      <c r="G28" s="42" t="n">
        <v>35</v>
      </c>
      <c r="H28" s="43">
        <f>E28+F28+G28</f>
        <v/>
      </c>
      <c r="I28" s="65">
        <f>C28-H28</f>
        <v/>
      </c>
    </row>
    <row r="29">
      <c r="A29" s="38" t="inlineStr">
        <is>
          <t>Aligned Data Centers (MGX/BlackRock)</t>
        </is>
      </c>
      <c r="B29" s="39" t="inlineStr">
        <is>
          <t>Colocation / data-center REIT</t>
        </is>
      </c>
      <c r="C29" s="42" t="n">
        <v>2</v>
      </c>
      <c r="D29" s="42">
        <f>C29-E29</f>
        <v/>
      </c>
      <c r="E29" s="40" t="n">
        <v>2</v>
      </c>
      <c r="F29" s="41" t="n">
        <v>10</v>
      </c>
      <c r="G29" s="42" t="n">
        <v>28</v>
      </c>
      <c r="H29" s="43">
        <f>E29+F29+G29</f>
        <v/>
      </c>
      <c r="I29" s="65">
        <f>C29-H29</f>
        <v/>
      </c>
    </row>
    <row r="30">
      <c r="A30" s="38" t="inlineStr">
        <is>
          <t>CyrusOne (KKR/GIP)</t>
        </is>
      </c>
      <c r="B30" s="39" t="inlineStr">
        <is>
          <t>Colocation / data-center REIT</t>
        </is>
      </c>
      <c r="C30" s="42" t="n">
        <v>2</v>
      </c>
      <c r="D30" s="42">
        <f>C30-E30</f>
        <v/>
      </c>
      <c r="E30" s="40" t="n">
        <v>2</v>
      </c>
      <c r="F30" s="41" t="n">
        <v>10</v>
      </c>
      <c r="G30" s="42" t="n">
        <v>28</v>
      </c>
      <c r="H30" s="43">
        <f>E30+F30+G30</f>
        <v/>
      </c>
      <c r="I30" s="65">
        <f>C30-H30</f>
        <v/>
      </c>
    </row>
    <row r="31">
      <c r="A31" s="38" t="inlineStr">
        <is>
          <t>Switch (DigitalBridge)</t>
        </is>
      </c>
      <c r="B31" s="39" t="inlineStr">
        <is>
          <t>Colocation / data-center REIT</t>
        </is>
      </c>
      <c r="C31" s="42" t="n">
        <v>1</v>
      </c>
      <c r="D31" s="42">
        <f>C31-E31</f>
        <v/>
      </c>
      <c r="E31" s="40" t="n">
        <v>1</v>
      </c>
      <c r="F31" s="41" t="n">
        <v>7</v>
      </c>
      <c r="G31" s="42" t="n">
        <v>22</v>
      </c>
      <c r="H31" s="43">
        <f>E31+F31+G31</f>
        <v/>
      </c>
      <c r="I31" s="65">
        <f>C31-H31</f>
        <v/>
      </c>
    </row>
    <row r="32">
      <c r="A32" s="38" t="inlineStr">
        <is>
          <t>Stack Infrastructure</t>
        </is>
      </c>
      <c r="B32" s="39" t="inlineStr">
        <is>
          <t>Colocation / data-center REIT</t>
        </is>
      </c>
      <c r="C32" s="42" t="n">
        <v>1</v>
      </c>
      <c r="D32" s="42">
        <f>C32-E32</f>
        <v/>
      </c>
      <c r="E32" s="40" t="n">
        <v>1</v>
      </c>
      <c r="F32" s="41" t="n">
        <v>7</v>
      </c>
      <c r="G32" s="42" t="n">
        <v>17</v>
      </c>
      <c r="H32" s="43">
        <f>E32+F32+G32</f>
        <v/>
      </c>
      <c r="I32" s="65">
        <f>C32-H32</f>
        <v/>
      </c>
    </row>
    <row r="33">
      <c r="A33" s="58" t="inlineStr">
        <is>
          <t>Colocation / data-center REIT subtotal</t>
        </is>
      </c>
      <c r="B33" s="27" t="n"/>
      <c r="C33" s="28">
        <f>SUM(C24:C32)</f>
        <v/>
      </c>
      <c r="D33" s="28">
        <f>SUM(D24:D32)</f>
        <v/>
      </c>
      <c r="E33" s="28">
        <f>SUM(E24:E32)</f>
        <v/>
      </c>
      <c r="F33" s="28">
        <f>SUM(F24:F32)</f>
        <v/>
      </c>
      <c r="G33" s="28">
        <f>SUM(G24:G32)</f>
        <v/>
      </c>
      <c r="H33" s="28">
        <f>SUM(H24:H32)</f>
        <v/>
      </c>
      <c r="I33" s="63">
        <f>SUM(I24:I32)</f>
        <v/>
      </c>
    </row>
    <row r="34">
      <c r="A34" s="14" t="inlineStr">
        <is>
          <t>SOVEREIGN CLOUD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46" t="inlineStr">
        <is>
          <t>HUMAIN (Saudi PIF)</t>
        </is>
      </c>
      <c r="B35" s="47" t="inlineStr">
        <is>
          <t>Sovereign cloud</t>
        </is>
      </c>
      <c r="C35" s="50" t="n">
        <v>0</v>
      </c>
      <c r="D35" s="50">
        <f>C35-E35</f>
        <v/>
      </c>
      <c r="E35" s="48" t="n">
        <v>0</v>
      </c>
      <c r="F35" s="49" t="n">
        <v>80</v>
      </c>
      <c r="G35" s="50" t="n">
        <v>20</v>
      </c>
      <c r="H35" s="51">
        <f>E35+F35+G35</f>
        <v/>
      </c>
      <c r="I35" s="66">
        <f>C35-H35</f>
        <v/>
      </c>
    </row>
    <row r="36">
      <c r="A36" s="46" t="inlineStr">
        <is>
          <t>MGX / Mubadala (UAE)</t>
        </is>
      </c>
      <c r="B36" s="47" t="inlineStr">
        <is>
          <t>Sovereign cloud</t>
        </is>
      </c>
      <c r="C36" s="50" t="n">
        <v>0</v>
      </c>
      <c r="D36" s="50">
        <f>C36-E36</f>
        <v/>
      </c>
      <c r="E36" s="48" t="n">
        <v>0</v>
      </c>
      <c r="F36" s="49" t="n">
        <v>30</v>
      </c>
      <c r="G36" s="50" t="n">
        <v>10</v>
      </c>
      <c r="H36" s="51">
        <f>E36+F36+G36</f>
        <v/>
      </c>
      <c r="I36" s="66">
        <f>C36-H36</f>
        <v/>
      </c>
    </row>
    <row r="37">
      <c r="A37" s="46" t="inlineStr">
        <is>
          <t>Other sovereign AI (Japan, Korea, Singapore, etc.)</t>
        </is>
      </c>
      <c r="B37" s="47" t="inlineStr">
        <is>
          <t>Sovereign cloud</t>
        </is>
      </c>
      <c r="C37" s="50" t="n">
        <v>0</v>
      </c>
      <c r="D37" s="50">
        <f>C37-E37</f>
        <v/>
      </c>
      <c r="E37" s="48" t="n">
        <v>0</v>
      </c>
      <c r="F37" s="49" t="n">
        <v>25</v>
      </c>
      <c r="G37" s="50" t="n">
        <v>8</v>
      </c>
      <c r="H37" s="51">
        <f>E37+F37+G37</f>
        <v/>
      </c>
      <c r="I37" s="66">
        <f>C37-H37</f>
        <v/>
      </c>
    </row>
    <row r="38">
      <c r="A38" s="46" t="inlineStr">
        <is>
          <t>Stargate UAE / G42 / Khazna</t>
        </is>
      </c>
      <c r="B38" s="47" t="inlineStr">
        <is>
          <t>Sovereign cloud</t>
        </is>
      </c>
      <c r="C38" s="50" t="n">
        <v>0</v>
      </c>
      <c r="D38" s="50">
        <f>C38-E38</f>
        <v/>
      </c>
      <c r="E38" s="48" t="n">
        <v>0</v>
      </c>
      <c r="F38" s="49" t="n">
        <v>22</v>
      </c>
      <c r="G38" s="50" t="n">
        <v>8</v>
      </c>
      <c r="H38" s="51">
        <f>E38+F38+G38</f>
        <v/>
      </c>
      <c r="I38" s="66">
        <f>C38-H38</f>
        <v/>
      </c>
    </row>
    <row r="39">
      <c r="A39" s="46" t="inlineStr">
        <is>
          <t>Qatar (QIA / Qai + Brookfield JV)</t>
        </is>
      </c>
      <c r="B39" s="47" t="inlineStr">
        <is>
          <t>Sovereign cloud</t>
        </is>
      </c>
      <c r="C39" s="50" t="n">
        <v>0</v>
      </c>
      <c r="D39" s="50">
        <f>C39-E39</f>
        <v/>
      </c>
      <c r="E39" s="48" t="n">
        <v>0</v>
      </c>
      <c r="F39" s="49" t="n">
        <v>14</v>
      </c>
      <c r="G39" s="50" t="n">
        <v>6</v>
      </c>
      <c r="H39" s="51">
        <f>E39+F39+G39</f>
        <v/>
      </c>
      <c r="I39" s="66">
        <f>C39-H39</f>
        <v/>
      </c>
    </row>
    <row r="40">
      <c r="A40" s="46" t="inlineStr">
        <is>
          <t>EU / France (Mistral, sovereign cloud)</t>
        </is>
      </c>
      <c r="B40" s="47" t="inlineStr">
        <is>
          <t>Sovereign cloud</t>
        </is>
      </c>
      <c r="C40" s="50" t="n">
        <v>0</v>
      </c>
      <c r="D40" s="50">
        <f>C40-E40</f>
        <v/>
      </c>
      <c r="E40" s="48" t="n">
        <v>0</v>
      </c>
      <c r="F40" s="49" t="n">
        <v>12</v>
      </c>
      <c r="G40" s="50" t="n">
        <v>5</v>
      </c>
      <c r="H40" s="51">
        <f>E40+F40+G40</f>
        <v/>
      </c>
      <c r="I40" s="66">
        <f>C40-H40</f>
        <v/>
      </c>
    </row>
    <row r="41">
      <c r="A41" s="46" t="inlineStr">
        <is>
          <t>India (IndiaAI Mission)</t>
        </is>
      </c>
      <c r="B41" s="47" t="inlineStr">
        <is>
          <t>Sovereign cloud</t>
        </is>
      </c>
      <c r="C41" s="50" t="n">
        <v>0</v>
      </c>
      <c r="D41" s="50">
        <f>C41-E41</f>
        <v/>
      </c>
      <c r="E41" s="48" t="n">
        <v>0</v>
      </c>
      <c r="F41" s="49" t="n">
        <v>8</v>
      </c>
      <c r="G41" s="50" t="n">
        <v>2</v>
      </c>
      <c r="H41" s="51">
        <f>E41+F41+G41</f>
        <v/>
      </c>
      <c r="I41" s="66">
        <f>C41-H41</f>
        <v/>
      </c>
    </row>
    <row r="42">
      <c r="A42" s="58" t="inlineStr">
        <is>
          <t>Sovereign cloud subtotal</t>
        </is>
      </c>
      <c r="B42" s="27" t="n"/>
      <c r="C42" s="28">
        <f>SUM(C35:C41)</f>
        <v/>
      </c>
      <c r="D42" s="28">
        <f>SUM(D35:D41)</f>
        <v/>
      </c>
      <c r="E42" s="28">
        <f>SUM(E35:E41)</f>
        <v/>
      </c>
      <c r="F42" s="28">
        <f>SUM(F35:F41)</f>
        <v/>
      </c>
      <c r="G42" s="28">
        <f>SUM(G35:G41)</f>
        <v/>
      </c>
      <c r="H42" s="28">
        <f>SUM(H35:H41)</f>
        <v/>
      </c>
      <c r="I42" s="63">
        <f>SUM(I35:I41)</f>
        <v/>
      </c>
    </row>
    <row r="43">
      <c r="A43" s="54" t="inlineStr">
        <is>
          <t>GRAND TOTAL</t>
        </is>
      </c>
      <c r="B43" s="55" t="n"/>
      <c r="C43" s="56">
        <f>SUM(C6,C7,C8,C9,C10,C13,C14,C15,C16,C17,C18,C19,C20,C21,C24,C25,C26,C27,C28,C29,C30,C31,C32,C35,C36,C37,C38,C39,C40,C41)</f>
        <v/>
      </c>
      <c r="D43" s="56">
        <f>SUM(D6,D7,D8,D9,D10,D13,D14,D15,D16,D17,D18,D19,D20,D21,D24,D25,D26,D27,D28,D29,D30,D31,D32,D35,D36,D37,D38,D39,D40,D41)</f>
        <v/>
      </c>
      <c r="E43" s="56">
        <f>SUM(E6,E7,E8,E9,E10,E13,E14,E15,E16,E17,E18,E19,E20,E21,E24,E25,E26,E27,E28,E29,E30,E31,E32,E35,E36,E37,E38,E39,E40,E41)</f>
        <v/>
      </c>
      <c r="F43" s="56">
        <f>SUM(F6,F7,F8,F9,F10,F13,F14,F15,F16,F17,F18,F19,F20,F21,F24,F25,F26,F27,F28,F29,F30,F31,F32,F35,F36,F37,F38,F39,F40,F41)</f>
        <v/>
      </c>
      <c r="G43" s="56">
        <f>SUM(G6,G7,G8,G9,G10,G13,G14,G15,G16,G17,G18,G19,G20,G21,G24,G25,G26,G27,G28,G29,G30,G31,G32,G35,G36,G37,G38,G39,G40,G41)</f>
        <v/>
      </c>
      <c r="H43" s="56">
        <f>SUM(H6,H7,H8,H9,H10,H13,H14,H15,H16,H17,H18,H19,H20,H21,H24,H25,H26,H27,H28,H29,H30,H31,H32,H35,H36,H37,H38,H39,H40,H41)</f>
        <v/>
      </c>
      <c r="I43" s="67">
        <f>SUM(I6,I7,I8,I9,I10,I13,I14,I15,I16,I17,I18,I19,I20,I21,I24,I25,I26,I27,I28,I29,I30,I31,I32,I35,I36,I37,I38,I39,I40,I41)</f>
        <v/>
      </c>
    </row>
    <row r="45" ht="42" customHeight="1">
      <c r="A45" s="68" t="inlineStr">
        <is>
          <t>Note: hyperscaler CFO greatly exceeds self-funded capex because much CFO is paid out as dividends/buybacks — which is why even FCF-positive names still issue debt. Neoclouds, colo and sovereigns generate little/no operating cash flow yet, so capex is met almost entirely by external equity + debt (deeply negative free cash flow during the buildout).</t>
        </is>
      </c>
    </row>
  </sheetData>
  <mergeCells count="1">
    <mergeCell ref="A45:I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</cols>
  <sheetData>
    <row r="1">
      <c r="A1" s="10" t="inlineStr">
        <is>
          <t>AI-Infrastructure Capex Projections, 2025-2030 (US$bn)</t>
        </is>
      </c>
    </row>
    <row r="2">
      <c r="A2" s="11" t="inlineStr">
        <is>
          <t>Estimated annual capital expenditure directed at AI infrastructure (data centers, GPUs, networking, power). Cumulative ≈ total financing on the Summary sheet.</t>
        </is>
      </c>
    </row>
    <row r="4" ht="28" customHeight="1">
      <c r="A4" s="12" t="inlineStr">
        <is>
          <t>Company</t>
        </is>
      </c>
      <c r="B4" s="12" t="inlineStr">
        <is>
          <t>Segment</t>
        </is>
      </c>
      <c r="C4" s="12" t="inlineStr">
        <is>
          <t>2025</t>
        </is>
      </c>
      <c r="D4" s="12" t="inlineStr">
        <is>
          <t>2026</t>
        </is>
      </c>
      <c r="E4" s="12" t="inlineStr">
        <is>
          <t>2027</t>
        </is>
      </c>
      <c r="F4" s="12" t="inlineStr">
        <is>
          <t>2028</t>
        </is>
      </c>
      <c r="G4" s="12" t="inlineStr">
        <is>
          <t>2029</t>
        </is>
      </c>
      <c r="H4" s="12" t="inlineStr">
        <is>
          <t>2030</t>
        </is>
      </c>
      <c r="I4" s="12" t="inlineStr">
        <is>
          <t>Cumulative
2025-30</t>
        </is>
      </c>
    </row>
    <row r="5">
      <c r="A5" s="14" t="inlineStr">
        <is>
          <t>HYPERSCALER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8" t="inlineStr">
        <is>
          <t>Amazon (AWS)</t>
        </is>
      </c>
      <c r="B6" s="19" t="inlineStr">
        <is>
          <t>Hyperscaler</t>
        </is>
      </c>
      <c r="C6" s="22" t="n">
        <v>100</v>
      </c>
      <c r="D6" s="22" t="n">
        <v>200</v>
      </c>
      <c r="E6" s="22" t="n">
        <v>225</v>
      </c>
      <c r="F6" s="22" t="n">
        <v>240</v>
      </c>
      <c r="G6" s="22" t="n">
        <v>250</v>
      </c>
      <c r="H6" s="22" t="n">
        <v>255</v>
      </c>
      <c r="I6" s="23">
        <f>SUM(C6:H6)</f>
        <v/>
      </c>
    </row>
    <row r="7">
      <c r="A7" s="18" t="inlineStr">
        <is>
          <t>Alphabet (Google)</t>
        </is>
      </c>
      <c r="B7" s="19" t="inlineStr">
        <is>
          <t>Hyperscaler</t>
        </is>
      </c>
      <c r="C7" s="22" t="n">
        <v>91</v>
      </c>
      <c r="D7" s="22" t="n">
        <v>180</v>
      </c>
      <c r="E7" s="22" t="n">
        <v>200</v>
      </c>
      <c r="F7" s="22" t="n">
        <v>215</v>
      </c>
      <c r="G7" s="22" t="n">
        <v>230</v>
      </c>
      <c r="H7" s="22" t="n">
        <v>245</v>
      </c>
      <c r="I7" s="23">
        <f>SUM(C7:H7)</f>
        <v/>
      </c>
    </row>
    <row r="8">
      <c r="A8" s="18" t="inlineStr">
        <is>
          <t>Microsoft</t>
        </is>
      </c>
      <c r="B8" s="19" t="inlineStr">
        <is>
          <t>Hyperscaler</t>
        </is>
      </c>
      <c r="C8" s="22" t="n">
        <v>95</v>
      </c>
      <c r="D8" s="22" t="n">
        <v>140</v>
      </c>
      <c r="E8" s="22" t="n">
        <v>165</v>
      </c>
      <c r="F8" s="22" t="n">
        <v>185</v>
      </c>
      <c r="G8" s="22" t="n">
        <v>200</v>
      </c>
      <c r="H8" s="22" t="n">
        <v>215</v>
      </c>
      <c r="I8" s="23">
        <f>SUM(C8:H8)</f>
        <v/>
      </c>
    </row>
    <row r="9">
      <c r="A9" s="18" t="inlineStr">
        <is>
          <t>Meta Platforms</t>
        </is>
      </c>
      <c r="B9" s="19" t="inlineStr">
        <is>
          <t>Hyperscaler</t>
        </is>
      </c>
      <c r="C9" s="22" t="n">
        <v>72</v>
      </c>
      <c r="D9" s="22" t="n">
        <v>125</v>
      </c>
      <c r="E9" s="22" t="n">
        <v>150</v>
      </c>
      <c r="F9" s="22" t="n">
        <v>165</v>
      </c>
      <c r="G9" s="22" t="n">
        <v>180</v>
      </c>
      <c r="H9" s="22" t="n">
        <v>195</v>
      </c>
      <c r="I9" s="23">
        <f>SUM(C9:H9)</f>
        <v/>
      </c>
    </row>
    <row r="10">
      <c r="A10" s="18" t="inlineStr">
        <is>
          <t>Oracle (OCI)</t>
        </is>
      </c>
      <c r="B10" s="19" t="inlineStr">
        <is>
          <t>Hyperscaler</t>
        </is>
      </c>
      <c r="C10" s="22" t="n">
        <v>25</v>
      </c>
      <c r="D10" s="22" t="n">
        <v>50</v>
      </c>
      <c r="E10" s="22" t="n">
        <v>65</v>
      </c>
      <c r="F10" s="22" t="n">
        <v>75</v>
      </c>
      <c r="G10" s="22" t="n">
        <v>85</v>
      </c>
      <c r="H10" s="22" t="n">
        <v>90</v>
      </c>
      <c r="I10" s="23">
        <f>SUM(C10:H10)</f>
        <v/>
      </c>
    </row>
    <row r="11">
      <c r="A11" s="58" t="inlineStr">
        <is>
          <t>Hyperscaler subtotal</t>
        </is>
      </c>
      <c r="B11" s="27" t="n"/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8">
        <f>SUM(G6:G10)</f>
        <v/>
      </c>
      <c r="H11" s="28">
        <f>SUM(H6:H10)</f>
        <v/>
      </c>
      <c r="I11" s="28">
        <f>SUM(I6:I10)</f>
        <v/>
      </c>
    </row>
    <row r="12">
      <c r="A12" s="14" t="inlineStr">
        <is>
          <t>NEOCLOUD / AI-NATIVE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30" t="inlineStr">
        <is>
          <t>SpaceX / xAI (Colossus)</t>
        </is>
      </c>
      <c r="B13" s="31" t="inlineStr">
        <is>
          <t>Neocloud / AI-native</t>
        </is>
      </c>
      <c r="C13" s="34" t="n">
        <v>24</v>
      </c>
      <c r="D13" s="34" t="n">
        <v>39</v>
      </c>
      <c r="E13" s="34" t="n">
        <v>47</v>
      </c>
      <c r="F13" s="34" t="n">
        <v>44</v>
      </c>
      <c r="G13" s="34" t="n">
        <v>44</v>
      </c>
      <c r="H13" s="34" t="n">
        <v>47</v>
      </c>
      <c r="I13" s="35">
        <f>SUM(C13:H13)</f>
        <v/>
      </c>
    </row>
    <row r="14">
      <c r="A14" s="30" t="inlineStr">
        <is>
          <t>CoreWeave</t>
        </is>
      </c>
      <c r="B14" s="31" t="inlineStr">
        <is>
          <t>Neocloud / AI-native</t>
        </is>
      </c>
      <c r="C14" s="34" t="n">
        <v>14</v>
      </c>
      <c r="D14" s="34" t="n">
        <v>23</v>
      </c>
      <c r="E14" s="34" t="n">
        <v>28</v>
      </c>
      <c r="F14" s="34" t="n">
        <v>26</v>
      </c>
      <c r="G14" s="34" t="n">
        <v>26</v>
      </c>
      <c r="H14" s="34" t="n">
        <v>28</v>
      </c>
      <c r="I14" s="35">
        <f>SUM(C14:H14)</f>
        <v/>
      </c>
    </row>
    <row r="15">
      <c r="A15" s="30" t="inlineStr">
        <is>
          <t>Other neoclouds &amp; AI-native DCs</t>
        </is>
      </c>
      <c r="B15" s="31" t="inlineStr">
        <is>
          <t>Neocloud / AI-native</t>
        </is>
      </c>
      <c r="C15" s="34" t="n">
        <v>8</v>
      </c>
      <c r="D15" s="34" t="n">
        <v>13</v>
      </c>
      <c r="E15" s="34" t="n">
        <v>15</v>
      </c>
      <c r="F15" s="34" t="n">
        <v>15</v>
      </c>
      <c r="G15" s="34" t="n">
        <v>14</v>
      </c>
      <c r="H15" s="34" t="n">
        <v>15</v>
      </c>
      <c r="I15" s="35">
        <f>SUM(C15:H15)</f>
        <v/>
      </c>
    </row>
    <row r="16">
      <c r="A16" s="30" t="inlineStr">
        <is>
          <t>Nebius</t>
        </is>
      </c>
      <c r="B16" s="31" t="inlineStr">
        <is>
          <t>Neocloud / AI-native</t>
        </is>
      </c>
      <c r="C16" s="34" t="n">
        <v>5</v>
      </c>
      <c r="D16" s="34" t="n">
        <v>8</v>
      </c>
      <c r="E16" s="34" t="n">
        <v>10</v>
      </c>
      <c r="F16" s="34" t="n">
        <v>10</v>
      </c>
      <c r="G16" s="34" t="n">
        <v>10</v>
      </c>
      <c r="H16" s="34" t="n">
        <v>10</v>
      </c>
      <c r="I16" s="35">
        <f>SUM(C16:H16)</f>
        <v/>
      </c>
    </row>
    <row r="17">
      <c r="A17" s="30" t="inlineStr">
        <is>
          <t>IREN</t>
        </is>
      </c>
      <c r="B17" s="31" t="inlineStr">
        <is>
          <t>Neocloud / AI-native</t>
        </is>
      </c>
      <c r="C17" s="34" t="n">
        <v>4</v>
      </c>
      <c r="D17" s="34" t="n">
        <v>6</v>
      </c>
      <c r="E17" s="34" t="n">
        <v>8</v>
      </c>
      <c r="F17" s="34" t="n">
        <v>7</v>
      </c>
      <c r="G17" s="34" t="n">
        <v>7</v>
      </c>
      <c r="H17" s="34" t="n">
        <v>8</v>
      </c>
      <c r="I17" s="35">
        <f>SUM(C17:H17)</f>
        <v/>
      </c>
    </row>
    <row r="18">
      <c r="A18" s="30" t="inlineStr">
        <is>
          <t>Crusoe</t>
        </is>
      </c>
      <c r="B18" s="31" t="inlineStr">
        <is>
          <t>Neocloud / AI-native</t>
        </is>
      </c>
      <c r="C18" s="34" t="n">
        <v>4</v>
      </c>
      <c r="D18" s="34" t="n">
        <v>5</v>
      </c>
      <c r="E18" s="34" t="n">
        <v>6</v>
      </c>
      <c r="F18" s="34" t="n">
        <v>6</v>
      </c>
      <c r="G18" s="34" t="n">
        <v>6</v>
      </c>
      <c r="H18" s="34" t="n">
        <v>6</v>
      </c>
      <c r="I18" s="35">
        <f>SUM(C18:H18)</f>
        <v/>
      </c>
    </row>
    <row r="19">
      <c r="A19" s="30" t="inlineStr">
        <is>
          <t>Lambda</t>
        </is>
      </c>
      <c r="B19" s="31" t="inlineStr">
        <is>
          <t>Neocloud / AI-native</t>
        </is>
      </c>
      <c r="C19" s="34" t="n">
        <v>2</v>
      </c>
      <c r="D19" s="34" t="n">
        <v>4</v>
      </c>
      <c r="E19" s="34" t="n">
        <v>5</v>
      </c>
      <c r="F19" s="34" t="n">
        <v>5</v>
      </c>
      <c r="G19" s="34" t="n">
        <v>5</v>
      </c>
      <c r="H19" s="34" t="n">
        <v>5</v>
      </c>
      <c r="I19" s="35">
        <f>SUM(C19:H19)</f>
        <v/>
      </c>
    </row>
    <row r="20">
      <c r="A20" s="30" t="inlineStr">
        <is>
          <t>Fluidstack</t>
        </is>
      </c>
      <c r="B20" s="31" t="inlineStr">
        <is>
          <t>Neocloud / AI-native</t>
        </is>
      </c>
      <c r="C20" s="34" t="n">
        <v>2</v>
      </c>
      <c r="D20" s="34" t="n">
        <v>4</v>
      </c>
      <c r="E20" s="34" t="n">
        <v>5</v>
      </c>
      <c r="F20" s="34" t="n">
        <v>4</v>
      </c>
      <c r="G20" s="34" t="n">
        <v>4</v>
      </c>
      <c r="H20" s="34" t="n">
        <v>5</v>
      </c>
      <c r="I20" s="35">
        <f>SUM(C20:H20)</f>
        <v/>
      </c>
    </row>
    <row r="21">
      <c r="A21" s="30" t="inlineStr">
        <is>
          <t>Nscale</t>
        </is>
      </c>
      <c r="B21" s="31" t="inlineStr">
        <is>
          <t>Neocloud / AI-native</t>
        </is>
      </c>
      <c r="C21" s="34" t="n">
        <v>2</v>
      </c>
      <c r="D21" s="34" t="n">
        <v>3</v>
      </c>
      <c r="E21" s="34" t="n">
        <v>4</v>
      </c>
      <c r="F21" s="34" t="n">
        <v>4</v>
      </c>
      <c r="G21" s="34" t="n">
        <v>3</v>
      </c>
      <c r="H21" s="34" t="n">
        <v>4</v>
      </c>
      <c r="I21" s="35">
        <f>SUM(C21:H21)</f>
        <v/>
      </c>
    </row>
    <row r="22">
      <c r="A22" s="58" t="inlineStr">
        <is>
          <t>Neocloud / AI-native subtotal</t>
        </is>
      </c>
      <c r="B22" s="27" t="n"/>
      <c r="C22" s="28">
        <f>SUM(C13:C21)</f>
        <v/>
      </c>
      <c r="D22" s="28">
        <f>SUM(D13:D21)</f>
        <v/>
      </c>
      <c r="E22" s="28">
        <f>SUM(E13:E21)</f>
        <v/>
      </c>
      <c r="F22" s="28">
        <f>SUM(F13:F21)</f>
        <v/>
      </c>
      <c r="G22" s="28">
        <f>SUM(G13:G21)</f>
        <v/>
      </c>
      <c r="H22" s="28">
        <f>SUM(H13:H21)</f>
        <v/>
      </c>
      <c r="I22" s="28">
        <f>SUM(I13:I21)</f>
        <v/>
      </c>
    </row>
    <row r="23">
      <c r="A23" s="14" t="inlineStr">
        <is>
          <t>COLOCATION / DATA-CENTER REIT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38" t="inlineStr">
        <is>
          <t>Other colo &amp; powered-shell owners</t>
        </is>
      </c>
      <c r="B24" s="39" t="inlineStr">
        <is>
          <t>Colocation / data-center REIT</t>
        </is>
      </c>
      <c r="C24" s="42" t="n">
        <v>10</v>
      </c>
      <c r="D24" s="42" t="n">
        <v>13</v>
      </c>
      <c r="E24" s="42" t="n">
        <v>15</v>
      </c>
      <c r="F24" s="42" t="n">
        <v>15</v>
      </c>
      <c r="G24" s="42" t="n">
        <v>16</v>
      </c>
      <c r="H24" s="42" t="n">
        <v>16</v>
      </c>
      <c r="I24" s="43">
        <f>SUM(C24:H24)</f>
        <v/>
      </c>
    </row>
    <row r="25">
      <c r="A25" s="38" t="inlineStr">
        <is>
          <t>Equinix</t>
        </is>
      </c>
      <c r="B25" s="39" t="inlineStr">
        <is>
          <t>Colocation / data-center REIT</t>
        </is>
      </c>
      <c r="C25" s="42" t="n">
        <v>8</v>
      </c>
      <c r="D25" s="42" t="n">
        <v>11</v>
      </c>
      <c r="E25" s="42" t="n">
        <v>12</v>
      </c>
      <c r="F25" s="42" t="n">
        <v>13</v>
      </c>
      <c r="G25" s="42" t="n">
        <v>13</v>
      </c>
      <c r="H25" s="42" t="n">
        <v>13</v>
      </c>
      <c r="I25" s="43">
        <f>SUM(C25:H25)</f>
        <v/>
      </c>
    </row>
    <row r="26">
      <c r="A26" s="38" t="inlineStr">
        <is>
          <t>Digital Realty</t>
        </is>
      </c>
      <c r="B26" s="39" t="inlineStr">
        <is>
          <t>Colocation / data-center REIT</t>
        </is>
      </c>
      <c r="C26" s="42" t="n">
        <v>7</v>
      </c>
      <c r="D26" s="42" t="n">
        <v>9</v>
      </c>
      <c r="E26" s="42" t="n">
        <v>10</v>
      </c>
      <c r="F26" s="42" t="n">
        <v>11</v>
      </c>
      <c r="G26" s="42" t="n">
        <v>12</v>
      </c>
      <c r="H26" s="42" t="n">
        <v>11</v>
      </c>
      <c r="I26" s="43">
        <f>SUM(C26:H26)</f>
        <v/>
      </c>
    </row>
    <row r="27">
      <c r="A27" s="38" t="inlineStr">
        <is>
          <t>QTS (Blackstone)</t>
        </is>
      </c>
      <c r="B27" s="39" t="inlineStr">
        <is>
          <t>Colocation / data-center REIT</t>
        </is>
      </c>
      <c r="C27" s="42" t="n">
        <v>7</v>
      </c>
      <c r="D27" s="42" t="n">
        <v>9</v>
      </c>
      <c r="E27" s="42" t="n">
        <v>10</v>
      </c>
      <c r="F27" s="42" t="n">
        <v>11</v>
      </c>
      <c r="G27" s="42" t="n">
        <v>12</v>
      </c>
      <c r="H27" s="42" t="n">
        <v>11</v>
      </c>
      <c r="I27" s="43">
        <f>SUM(C27:H27)</f>
        <v/>
      </c>
    </row>
    <row r="28">
      <c r="A28" s="38" t="inlineStr">
        <is>
          <t>Vantage Data Centers</t>
        </is>
      </c>
      <c r="B28" s="39" t="inlineStr">
        <is>
          <t>Colocation / data-center REIT</t>
        </is>
      </c>
      <c r="C28" s="42" t="n">
        <v>6</v>
      </c>
      <c r="D28" s="42" t="n">
        <v>8</v>
      </c>
      <c r="E28" s="42" t="n">
        <v>9</v>
      </c>
      <c r="F28" s="42" t="n">
        <v>9</v>
      </c>
      <c r="G28" s="42" t="n">
        <v>9</v>
      </c>
      <c r="H28" s="42" t="n">
        <v>9</v>
      </c>
      <c r="I28" s="43">
        <f>SUM(C28:H28)</f>
        <v/>
      </c>
    </row>
    <row r="29">
      <c r="A29" s="38" t="inlineStr">
        <is>
          <t>Aligned Data Centers (MGX/BlackRock)</t>
        </is>
      </c>
      <c r="B29" s="39" t="inlineStr">
        <is>
          <t>Colocation / data-center REIT</t>
        </is>
      </c>
      <c r="C29" s="42" t="n">
        <v>5</v>
      </c>
      <c r="D29" s="42" t="n">
        <v>6</v>
      </c>
      <c r="E29" s="42" t="n">
        <v>7</v>
      </c>
      <c r="F29" s="42" t="n">
        <v>7</v>
      </c>
      <c r="G29" s="42" t="n">
        <v>8</v>
      </c>
      <c r="H29" s="42" t="n">
        <v>7</v>
      </c>
      <c r="I29" s="43">
        <f>SUM(C29:H29)</f>
        <v/>
      </c>
    </row>
    <row r="30">
      <c r="A30" s="38" t="inlineStr">
        <is>
          <t>CyrusOne (KKR/GIP)</t>
        </is>
      </c>
      <c r="B30" s="39" t="inlineStr">
        <is>
          <t>Colocation / data-center REIT</t>
        </is>
      </c>
      <c r="C30" s="42" t="n">
        <v>5</v>
      </c>
      <c r="D30" s="42" t="n">
        <v>6</v>
      </c>
      <c r="E30" s="42" t="n">
        <v>7</v>
      </c>
      <c r="F30" s="42" t="n">
        <v>7</v>
      </c>
      <c r="G30" s="42" t="n">
        <v>8</v>
      </c>
      <c r="H30" s="42" t="n">
        <v>7</v>
      </c>
      <c r="I30" s="43">
        <f>SUM(C30:H30)</f>
        <v/>
      </c>
    </row>
    <row r="31">
      <c r="A31" s="38" t="inlineStr">
        <is>
          <t>Switch (DigitalBridge)</t>
        </is>
      </c>
      <c r="B31" s="39" t="inlineStr">
        <is>
          <t>Colocation / data-center REIT</t>
        </is>
      </c>
      <c r="C31" s="42" t="n">
        <v>4</v>
      </c>
      <c r="D31" s="42" t="n">
        <v>4</v>
      </c>
      <c r="E31" s="42" t="n">
        <v>5</v>
      </c>
      <c r="F31" s="42" t="n">
        <v>5</v>
      </c>
      <c r="G31" s="42" t="n">
        <v>6</v>
      </c>
      <c r="H31" s="42" t="n">
        <v>6</v>
      </c>
      <c r="I31" s="43">
        <f>SUM(C31:H31)</f>
        <v/>
      </c>
    </row>
    <row r="32">
      <c r="A32" s="38" t="inlineStr">
        <is>
          <t>Stack Infrastructure</t>
        </is>
      </c>
      <c r="B32" s="39" t="inlineStr">
        <is>
          <t>Colocation / data-center REIT</t>
        </is>
      </c>
      <c r="C32" s="42" t="n">
        <v>3</v>
      </c>
      <c r="D32" s="42" t="n">
        <v>4</v>
      </c>
      <c r="E32" s="42" t="n">
        <v>4</v>
      </c>
      <c r="F32" s="42" t="n">
        <v>4</v>
      </c>
      <c r="G32" s="42" t="n">
        <v>5</v>
      </c>
      <c r="H32" s="42" t="n">
        <v>5</v>
      </c>
      <c r="I32" s="43">
        <f>SUM(C32:H32)</f>
        <v/>
      </c>
    </row>
    <row r="33">
      <c r="A33" s="58" t="inlineStr">
        <is>
          <t>Colocation / data-center REIT subtotal</t>
        </is>
      </c>
      <c r="B33" s="27" t="n"/>
      <c r="C33" s="28">
        <f>SUM(C24:C32)</f>
        <v/>
      </c>
      <c r="D33" s="28">
        <f>SUM(D24:D32)</f>
        <v/>
      </c>
      <c r="E33" s="28">
        <f>SUM(E24:E32)</f>
        <v/>
      </c>
      <c r="F33" s="28">
        <f>SUM(F24:F32)</f>
        <v/>
      </c>
      <c r="G33" s="28">
        <f>SUM(G24:G32)</f>
        <v/>
      </c>
      <c r="H33" s="28">
        <f>SUM(H24:H32)</f>
        <v/>
      </c>
      <c r="I33" s="28">
        <f>SUM(I24:I32)</f>
        <v/>
      </c>
    </row>
    <row r="34">
      <c r="A34" s="14" t="inlineStr">
        <is>
          <t>SOVEREIGN CLOUD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46" t="inlineStr">
        <is>
          <t>HUMAIN (Saudi PIF)</t>
        </is>
      </c>
      <c r="B35" s="47" t="inlineStr">
        <is>
          <t>Sovereign cloud</t>
        </is>
      </c>
      <c r="C35" s="50" t="n">
        <v>8</v>
      </c>
      <c r="D35" s="50" t="n">
        <v>14</v>
      </c>
      <c r="E35" s="50" t="n">
        <v>18</v>
      </c>
      <c r="F35" s="50" t="n">
        <v>20</v>
      </c>
      <c r="G35" s="50" t="n">
        <v>20</v>
      </c>
      <c r="H35" s="50" t="n">
        <v>20</v>
      </c>
      <c r="I35" s="51">
        <f>SUM(C35:H35)</f>
        <v/>
      </c>
    </row>
    <row r="36">
      <c r="A36" s="46" t="inlineStr">
        <is>
          <t>MGX / Mubadala (UAE)</t>
        </is>
      </c>
      <c r="B36" s="47" t="inlineStr">
        <is>
          <t>Sovereign cloud</t>
        </is>
      </c>
      <c r="C36" s="50" t="n">
        <v>3</v>
      </c>
      <c r="D36" s="50" t="n">
        <v>6</v>
      </c>
      <c r="E36" s="50" t="n">
        <v>7</v>
      </c>
      <c r="F36" s="50" t="n">
        <v>8</v>
      </c>
      <c r="G36" s="50" t="n">
        <v>8</v>
      </c>
      <c r="H36" s="50" t="n">
        <v>8</v>
      </c>
      <c r="I36" s="51">
        <f>SUM(C36:H36)</f>
        <v/>
      </c>
    </row>
    <row r="37">
      <c r="A37" s="46" t="inlineStr">
        <is>
          <t>Other sovereign AI (Japan, Korea, Singapore, etc.)</t>
        </is>
      </c>
      <c r="B37" s="47" t="inlineStr">
        <is>
          <t>Sovereign cloud</t>
        </is>
      </c>
      <c r="C37" s="50" t="n">
        <v>3</v>
      </c>
      <c r="D37" s="50" t="n">
        <v>5</v>
      </c>
      <c r="E37" s="50" t="n">
        <v>6</v>
      </c>
      <c r="F37" s="50" t="n">
        <v>7</v>
      </c>
      <c r="G37" s="50" t="n">
        <v>6</v>
      </c>
      <c r="H37" s="50" t="n">
        <v>6</v>
      </c>
      <c r="I37" s="51">
        <f>SUM(C37:H37)</f>
        <v/>
      </c>
    </row>
    <row r="38">
      <c r="A38" s="46" t="inlineStr">
        <is>
          <t>Stargate UAE / G42 / Khazna</t>
        </is>
      </c>
      <c r="B38" s="47" t="inlineStr">
        <is>
          <t>Sovereign cloud</t>
        </is>
      </c>
      <c r="C38" s="50" t="n">
        <v>3</v>
      </c>
      <c r="D38" s="50" t="n">
        <v>4</v>
      </c>
      <c r="E38" s="50" t="n">
        <v>5</v>
      </c>
      <c r="F38" s="50" t="n">
        <v>6</v>
      </c>
      <c r="G38" s="50" t="n">
        <v>6</v>
      </c>
      <c r="H38" s="50" t="n">
        <v>6</v>
      </c>
      <c r="I38" s="51">
        <f>SUM(C38:H38)</f>
        <v/>
      </c>
    </row>
    <row r="39">
      <c r="A39" s="46" t="inlineStr">
        <is>
          <t>Qatar (QIA / Qai + Brookfield JV)</t>
        </is>
      </c>
      <c r="B39" s="47" t="inlineStr">
        <is>
          <t>Sovereign cloud</t>
        </is>
      </c>
      <c r="C39" s="50" t="n">
        <v>2</v>
      </c>
      <c r="D39" s="50" t="n">
        <v>3</v>
      </c>
      <c r="E39" s="50" t="n">
        <v>3</v>
      </c>
      <c r="F39" s="50" t="n">
        <v>4</v>
      </c>
      <c r="G39" s="50" t="n">
        <v>4</v>
      </c>
      <c r="H39" s="50" t="n">
        <v>4</v>
      </c>
      <c r="I39" s="51">
        <f>SUM(C39:H39)</f>
        <v/>
      </c>
    </row>
    <row r="40">
      <c r="A40" s="46" t="inlineStr">
        <is>
          <t>EU / France (Mistral, sovereign cloud)</t>
        </is>
      </c>
      <c r="B40" s="47" t="inlineStr">
        <is>
          <t>Sovereign cloud</t>
        </is>
      </c>
      <c r="C40" s="50" t="n">
        <v>1</v>
      </c>
      <c r="D40" s="50" t="n">
        <v>2</v>
      </c>
      <c r="E40" s="50" t="n">
        <v>3</v>
      </c>
      <c r="F40" s="50" t="n">
        <v>4</v>
      </c>
      <c r="G40" s="50" t="n">
        <v>4</v>
      </c>
      <c r="H40" s="50" t="n">
        <v>3</v>
      </c>
      <c r="I40" s="51">
        <f>SUM(C40:H40)</f>
        <v/>
      </c>
    </row>
    <row r="41">
      <c r="A41" s="46" t="inlineStr">
        <is>
          <t>India (IndiaAI Mission)</t>
        </is>
      </c>
      <c r="B41" s="47" t="inlineStr">
        <is>
          <t>Sovereign cloud</t>
        </is>
      </c>
      <c r="C41" s="50" t="n">
        <v>1</v>
      </c>
      <c r="D41" s="50" t="n">
        <v>1</v>
      </c>
      <c r="E41" s="50" t="n">
        <v>2</v>
      </c>
      <c r="F41" s="50" t="n">
        <v>2</v>
      </c>
      <c r="G41" s="50" t="n">
        <v>2</v>
      </c>
      <c r="H41" s="50" t="n">
        <v>2</v>
      </c>
      <c r="I41" s="51">
        <f>SUM(C41:H41)</f>
        <v/>
      </c>
    </row>
    <row r="42">
      <c r="A42" s="58" t="inlineStr">
        <is>
          <t>Sovereign cloud subtotal</t>
        </is>
      </c>
      <c r="B42" s="27" t="n"/>
      <c r="C42" s="28">
        <f>SUM(C35:C41)</f>
        <v/>
      </c>
      <c r="D42" s="28">
        <f>SUM(D35:D41)</f>
        <v/>
      </c>
      <c r="E42" s="28">
        <f>SUM(E35:E41)</f>
        <v/>
      </c>
      <c r="F42" s="28">
        <f>SUM(F35:F41)</f>
        <v/>
      </c>
      <c r="G42" s="28">
        <f>SUM(G35:G41)</f>
        <v/>
      </c>
      <c r="H42" s="28">
        <f>SUM(H35:H41)</f>
        <v/>
      </c>
      <c r="I42" s="28">
        <f>SUM(I35:I41)</f>
        <v/>
      </c>
    </row>
    <row r="43">
      <c r="A43" s="54" t="inlineStr">
        <is>
          <t>TOTAL — all companies</t>
        </is>
      </c>
      <c r="B43" s="55" t="n"/>
      <c r="C43" s="56">
        <f>SUM(C6,C7,C8,C9,C10,C13,C14,C15,C16,C17,C18,C19,C20,C21,C24,C25,C26,C27,C28,C29,C30,C31,C32,C35,C36,C37,C38,C39,C40,C41)</f>
        <v/>
      </c>
      <c r="D43" s="56">
        <f>SUM(D6,D7,D8,D9,D10,D13,D14,D15,D16,D17,D18,D19,D20,D21,D24,D25,D26,D27,D28,D29,D30,D31,D32,D35,D36,D37,D38,D39,D40,D41)</f>
        <v/>
      </c>
      <c r="E43" s="56">
        <f>SUM(E6,E7,E8,E9,E10,E13,E14,E15,E16,E17,E18,E19,E20,E21,E24,E25,E26,E27,E28,E29,E30,E31,E32,E35,E36,E37,E38,E39,E40,E41)</f>
        <v/>
      </c>
      <c r="F43" s="56">
        <f>SUM(F6,F7,F8,F9,F10,F13,F14,F15,F16,F17,F18,F19,F20,F21,F24,F25,F26,F27,F28,F29,F30,F31,F32,F35,F36,F37,F38,F39,F40,F41)</f>
        <v/>
      </c>
      <c r="G43" s="56">
        <f>SUM(G6,G7,G8,G9,G10,G13,G14,G15,G16,G17,G18,G19,G20,G21,G24,G25,G26,G27,G28,G29,G30,G31,G32,G35,G36,G37,G38,G39,G40,G41)</f>
        <v/>
      </c>
      <c r="H43" s="56">
        <f>SUM(H6,H7,H8,H9,H10,H13,H14,H15,H16,H17,H18,H19,H20,H21,H24,H25,H26,H27,H28,H29,H30,H31,H32,H35,H36,H37,H38,H39,H40,H41)</f>
        <v/>
      </c>
      <c r="I43" s="56">
        <f>SUM(I6,I7,I8,I9,I10,I13,I14,I15,I16,I17,I18,I19,I20,I21,I24,I25,I26,I27,I28,I29,I30,I31,I32,I35,I36,I37,I38,I39,I40,I41)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8" customWidth="1" min="4" max="4"/>
    <col width="11" customWidth="1" min="5" max="5"/>
    <col width="22" customWidth="1" min="6" max="6"/>
    <col width="14" customWidth="1" min="7" max="7"/>
    <col width="13" customWidth="1" min="8" max="8"/>
    <col width="40" customWidth="1" min="9" max="9"/>
    <col width="18" customWidth="1" min="10" max="10"/>
  </cols>
  <sheetData>
    <row r="1">
      <c r="A1" s="10" t="inlineStr">
        <is>
          <t>AI-Infrastructure Debt Transactions &amp; Sources (US$bn)</t>
        </is>
      </c>
    </row>
    <row r="2">
      <c r="A2" s="11" t="inlineStr">
        <is>
          <t>Transaction log grouped by debt instrument (bonds, loans, alternate private credit, insurance-linked, securitization, convertibles). Groups 1,2,3,5,6 are summed; insurance-linked (4), vendor (7), equity/sovereign (8) and context (9) are memos. 'Debt amount ($bn)' is numeric only.</t>
        </is>
      </c>
    </row>
    <row r="4" ht="30" customHeight="1">
      <c r="A4" s="69" t="inlineStr">
        <is>
          <t>Period</t>
        </is>
      </c>
      <c r="B4" s="69" t="inlineStr">
        <is>
          <t>Borrower / Project</t>
        </is>
      </c>
      <c r="C4" s="69" t="inlineStr">
        <is>
          <t>Segment</t>
        </is>
      </c>
      <c r="D4" s="69" t="inlineStr">
        <is>
          <t>Lead lenders / arrangers</t>
        </is>
      </c>
      <c r="E4" s="69" t="inlineStr">
        <is>
          <t>Debt amount
($bn)</t>
        </is>
      </c>
      <c r="F4" s="69" t="inlineStr">
        <is>
          <t>Structure / instrument</t>
        </is>
      </c>
      <c r="G4" s="69" t="inlineStr">
        <is>
          <t>Pricing</t>
        </is>
      </c>
      <c r="H4" s="69" t="inlineStr">
        <is>
          <t>Tenor /
maturity</t>
        </is>
      </c>
      <c r="I4" s="69" t="inlineStr">
        <is>
          <t>Collateral / notes</t>
        </is>
      </c>
      <c r="J4" s="69" t="inlineStr">
        <is>
          <t>Source(s)</t>
        </is>
      </c>
    </row>
    <row r="5">
      <c r="A5" s="14" t="inlineStr">
        <is>
          <t>1) CORPORATE BONDS (public IG/HY)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 ht="30" customHeight="1">
      <c r="A6" s="70" t="inlineStr">
        <is>
          <t>2026</t>
        </is>
      </c>
      <c r="B6" s="71" t="inlineStr">
        <is>
          <t>Amazon (AWS)</t>
        </is>
      </c>
      <c r="C6" s="72" t="inlineStr">
        <is>
          <t>Hyperscaler</t>
        </is>
      </c>
      <c r="D6" s="70" t="inlineStr">
        <is>
          <t>Bank syndicate</t>
        </is>
      </c>
      <c r="E6" s="73" t="n">
        <v>71</v>
      </c>
      <c r="F6" s="70" t="inlineStr">
        <is>
          <t>Public IG bonds ($54bn + EUR14.5bn)</t>
        </is>
      </c>
      <c r="G6" s="70" t="inlineStr">
        <is>
          <t>IG</t>
        </is>
      </c>
      <c r="H6" s="70" t="inlineStr">
        <is>
          <t>3-40y</t>
        </is>
      </c>
      <c r="I6" s="70" t="inlineStr">
        <is>
          <t>~4x oversubscribed</t>
        </is>
      </c>
      <c r="J6" s="74" t="inlineStr">
        <is>
          <t>CNA; Reuters</t>
        </is>
      </c>
    </row>
    <row r="7" ht="30" customHeight="1">
      <c r="A7" s="70" t="inlineStr">
        <is>
          <t>2025-26</t>
        </is>
      </c>
      <c r="B7" s="71" t="inlineStr">
        <is>
          <t>Alphabet (Google)</t>
        </is>
      </c>
      <c r="C7" s="72" t="inlineStr">
        <is>
          <t>Hyperscaler</t>
        </is>
      </c>
      <c r="D7" s="70" t="inlineStr">
        <is>
          <t>Bank syndicate</t>
        </is>
      </c>
      <c r="E7" s="73" t="n">
        <v>50</v>
      </c>
      <c r="F7" s="70" t="inlineStr">
        <is>
          <t>Public bonds ($32bn incl 100-yr + $17.5bn)</t>
        </is>
      </c>
      <c r="G7" s="70" t="inlineStr">
        <is>
          <t>IG</t>
        </is>
      </c>
      <c r="H7" s="70" t="inlineStr">
        <is>
          <t>to 100y</t>
        </is>
      </c>
      <c r="I7" s="70" t="inlineStr">
        <is>
          <t>Rare 100-year tranche</t>
        </is>
      </c>
      <c r="J7" s="74" t="inlineStr">
        <is>
          <t>ConstructConnect; CNA</t>
        </is>
      </c>
    </row>
    <row r="8" ht="30" customHeight="1">
      <c r="A8" s="70" t="inlineStr">
        <is>
          <t>2025</t>
        </is>
      </c>
      <c r="B8" s="71" t="inlineStr">
        <is>
          <t>Meta Platforms</t>
        </is>
      </c>
      <c r="C8" s="72" t="inlineStr">
        <is>
          <t>Hyperscaler</t>
        </is>
      </c>
      <c r="D8" s="70" t="inlineStr">
        <is>
          <t>Bank syndicate (BofA et al.)</t>
        </is>
      </c>
      <c r="E8" s="73" t="n">
        <v>30</v>
      </c>
      <c r="F8" s="70" t="inlineStr">
        <is>
          <t>Public IG corporate bond</t>
        </is>
      </c>
      <c r="G8" s="70" t="inlineStr">
        <is>
          <t>~5-6%</t>
        </is>
      </c>
      <c r="H8" s="70" t="inlineStr">
        <is>
          <t>to 2063</t>
        </is>
      </c>
      <c r="I8" s="70" t="inlineStr">
        <is>
          <t>Largest IG deal of 2025</t>
        </is>
      </c>
      <c r="J8" s="74" t="inlineStr">
        <is>
          <t>BofA; MUFG</t>
        </is>
      </c>
    </row>
    <row r="9" ht="30" customHeight="1">
      <c r="A9" s="70" t="inlineStr">
        <is>
          <t>2026</t>
        </is>
      </c>
      <c r="B9" s="71" t="inlineStr">
        <is>
          <t>Oracle (OCI)</t>
        </is>
      </c>
      <c r="C9" s="72" t="inlineStr">
        <is>
          <t>Hyperscaler</t>
        </is>
      </c>
      <c r="D9" s="70" t="inlineStr">
        <is>
          <t>Goldman Sachs</t>
        </is>
      </c>
      <c r="E9" s="73" t="n">
        <v>25</v>
      </c>
      <c r="F9" s="70" t="inlineStr">
        <is>
          <t>Public IG bond (8-part)</t>
        </is>
      </c>
      <c r="G9" s="70" t="inlineStr">
        <is>
          <t>IG</t>
        </is>
      </c>
      <c r="H9" s="70" t="inlineStr">
        <is>
          <t>3-40y</t>
        </is>
      </c>
      <c r="I9" s="70" t="inlineStr">
        <is>
          <t>Within $45-50bn CY26 plan</t>
        </is>
      </c>
      <c r="J9" s="74" t="inlineStr">
        <is>
          <t>Oracle IR; IFR</t>
        </is>
      </c>
    </row>
    <row r="10" ht="30" customHeight="1">
      <c r="A10" s="75" t="inlineStr">
        <is>
          <t>Jun 2026</t>
        </is>
      </c>
      <c r="B10" s="76" t="inlineStr">
        <is>
          <t>SpaceX / xAI</t>
        </is>
      </c>
      <c r="C10" s="77" t="inlineStr">
        <is>
          <t>Neocloud / AI-native</t>
        </is>
      </c>
      <c r="D10" s="75" t="inlineStr">
        <is>
          <t>Bank syndicate</t>
        </is>
      </c>
      <c r="E10" s="78" t="n">
        <v>25</v>
      </c>
      <c r="F10" s="75" t="inlineStr">
        <is>
          <t>Inaugural senior unsecured bond (5 tranches)</t>
        </is>
      </c>
      <c r="G10" s="75" t="inlineStr">
        <is>
          <t>5.35-6.65%</t>
        </is>
      </c>
      <c r="H10" s="75" t="inlineStr">
        <is>
          <t>2031-2056</t>
        </is>
      </c>
      <c r="I10" s="75" t="inlineStr">
        <is>
          <t>Refinanced ~$20bn bridge loan; funds SpaceX/Starlink + xAI compute</t>
        </is>
      </c>
      <c r="J10" s="79" t="inlineStr">
        <is>
          <t>SpaceX 8-K; StockTitan</t>
        </is>
      </c>
    </row>
    <row r="11" ht="30" customHeight="1">
      <c r="A11" s="70" t="inlineStr">
        <is>
          <t>2025</t>
        </is>
      </c>
      <c r="B11" s="71" t="inlineStr">
        <is>
          <t>Oracle (OCI)</t>
        </is>
      </c>
      <c r="C11" s="72" t="inlineStr">
        <is>
          <t>Hyperscaler</t>
        </is>
      </c>
      <c r="D11" s="70" t="inlineStr">
        <is>
          <t>Bank syndicate</t>
        </is>
      </c>
      <c r="E11" s="73" t="n">
        <v>18</v>
      </c>
      <c r="F11" s="70" t="inlineStr">
        <is>
          <t>Public IG bond (6-part)</t>
        </is>
      </c>
      <c r="G11" s="70" t="inlineStr">
        <is>
          <t>IG</t>
        </is>
      </c>
      <c r="H11" s="70" t="inlineStr">
        <is>
          <t>n/a</t>
        </is>
      </c>
      <c r="I11" s="70" t="inlineStr"/>
      <c r="J11" s="74" t="inlineStr">
        <is>
          <t>Reuters; CNA</t>
        </is>
      </c>
    </row>
    <row r="12" ht="30" customHeight="1">
      <c r="A12" s="70" t="inlineStr">
        <is>
          <t>2025</t>
        </is>
      </c>
      <c r="B12" s="71" t="inlineStr">
        <is>
          <t>Amazon (AWS)</t>
        </is>
      </c>
      <c r="C12" s="72" t="inlineStr">
        <is>
          <t>Hyperscaler</t>
        </is>
      </c>
      <c r="D12" s="70" t="inlineStr">
        <is>
          <t>Bank syndicate</t>
        </is>
      </c>
      <c r="E12" s="73" t="n">
        <v>15</v>
      </c>
      <c r="F12" s="70" t="inlineStr">
        <is>
          <t>Public IG bond</t>
        </is>
      </c>
      <c r="G12" s="70" t="inlineStr">
        <is>
          <t>IG</t>
        </is>
      </c>
      <c r="H12" s="70" t="inlineStr">
        <is>
          <t>n/a</t>
        </is>
      </c>
      <c r="I12" s="70" t="inlineStr"/>
      <c r="J12" s="74" t="inlineStr">
        <is>
          <t>CNA</t>
        </is>
      </c>
    </row>
    <row r="13" ht="30" customHeight="1">
      <c r="A13" s="75" t="inlineStr">
        <is>
          <t>o/s Jun'26</t>
        </is>
      </c>
      <c r="B13" s="76" t="inlineStr">
        <is>
          <t>CoreWeave (CRWV)</t>
        </is>
      </c>
      <c r="C13" s="77" t="inlineStr">
        <is>
          <t>Neocloud / AI-native</t>
        </is>
      </c>
      <c r="D13" s="75" t="inlineStr">
        <is>
          <t>144A bond investors</t>
        </is>
      </c>
      <c r="E13" s="78" t="n">
        <v>2.75</v>
      </c>
      <c r="F13" s="75" t="inlineStr">
        <is>
          <t>Senior unsecured HY bond</t>
        </is>
      </c>
      <c r="G13" s="75" t="inlineStr">
        <is>
          <t>9.75% cpn; YTW 9.3%; +507</t>
        </is>
      </c>
      <c r="H13" s="75" t="inlineStr">
        <is>
          <t>Oct 2031</t>
        </is>
      </c>
      <c r="I13" s="75" t="inlineStr">
        <is>
          <t>GCP; B1/B/BB-</t>
        </is>
      </c>
      <c r="J13" s="79" t="inlineStr">
        <is>
          <t>Seaport (6/12/26)</t>
        </is>
      </c>
    </row>
    <row r="14" ht="30" customHeight="1">
      <c r="A14" s="75" t="inlineStr">
        <is>
          <t>o/s Jun'26</t>
        </is>
      </c>
      <c r="B14" s="76" t="inlineStr">
        <is>
          <t>CoreWeave (CRWV)</t>
        </is>
      </c>
      <c r="C14" s="77" t="inlineStr">
        <is>
          <t>Neocloud / AI-native</t>
        </is>
      </c>
      <c r="D14" s="75" t="inlineStr">
        <is>
          <t>144A bond investors</t>
        </is>
      </c>
      <c r="E14" s="78" t="n">
        <v>2</v>
      </c>
      <c r="F14" s="75" t="inlineStr">
        <is>
          <t>Senior unsecured HY bond</t>
        </is>
      </c>
      <c r="G14" s="75" t="inlineStr">
        <is>
          <t>9.25% cpn; YTW 8.6%; +444</t>
        </is>
      </c>
      <c r="H14" s="75" t="inlineStr">
        <is>
          <t>Jun 2030</t>
        </is>
      </c>
      <c r="I14" s="75" t="inlineStr">
        <is>
          <t>GCP; B1/B/BB-</t>
        </is>
      </c>
      <c r="J14" s="79" t="inlineStr">
        <is>
          <t>Seaport (6/12/26)</t>
        </is>
      </c>
    </row>
    <row r="15" ht="30" customHeight="1">
      <c r="A15" s="75" t="inlineStr">
        <is>
          <t>o/s Jun'26</t>
        </is>
      </c>
      <c r="B15" s="76" t="inlineStr">
        <is>
          <t>CoreWeave (CRWV)</t>
        </is>
      </c>
      <c r="C15" s="77" t="inlineStr">
        <is>
          <t>Neocloud / AI-native</t>
        </is>
      </c>
      <c r="D15" s="75" t="inlineStr">
        <is>
          <t>144A bond investors</t>
        </is>
      </c>
      <c r="E15" s="78" t="n">
        <v>1.75</v>
      </c>
      <c r="F15" s="75" t="inlineStr">
        <is>
          <t>Senior unsecured HY bond</t>
        </is>
      </c>
      <c r="G15" s="75" t="inlineStr">
        <is>
          <t>9.00% cpn; YTW 9.0%; +478</t>
        </is>
      </c>
      <c r="H15" s="75" t="inlineStr">
        <is>
          <t>Feb 2031</t>
        </is>
      </c>
      <c r="I15" s="75" t="inlineStr">
        <is>
          <t>GCP; B1/B/BB-</t>
        </is>
      </c>
      <c r="J15" s="79" t="inlineStr">
        <is>
          <t>Seaport (6/12/26)</t>
        </is>
      </c>
    </row>
    <row r="16" ht="30" customHeight="1">
      <c r="A16" s="75" t="inlineStr">
        <is>
          <t>o/s Jun'26</t>
        </is>
      </c>
      <c r="B16" s="76" t="inlineStr">
        <is>
          <t>CoreWeave (CRWV)</t>
        </is>
      </c>
      <c r="C16" s="77" t="inlineStr">
        <is>
          <t>Neocloud / AI-native</t>
        </is>
      </c>
      <c r="D16" s="75" t="inlineStr">
        <is>
          <t>144A bond investors</t>
        </is>
      </c>
      <c r="E16" s="78" t="n">
        <v>1.25</v>
      </c>
      <c r="F16" s="75" t="inlineStr">
        <is>
          <t>Senior unsecured HY bond</t>
        </is>
      </c>
      <c r="G16" s="75" t="inlineStr">
        <is>
          <t>9.625% cpn; YTW 9.5%; +531</t>
        </is>
      </c>
      <c r="H16" s="75" t="inlineStr">
        <is>
          <t>Jul 2032</t>
        </is>
      </c>
      <c r="I16" s="75" t="inlineStr">
        <is>
          <t>GCP; B1/B/BB-</t>
        </is>
      </c>
      <c r="J16" s="79" t="inlineStr">
        <is>
          <t>Seaport (6/12/26)</t>
        </is>
      </c>
    </row>
    <row r="17">
      <c r="A17" s="14" t="inlineStr">
        <is>
          <t>2) BANK &amp; SYNDICATED LOANS (incl. GPU-backed term loans)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 ht="30" customHeight="1">
      <c r="A18" s="75" t="inlineStr">
        <is>
          <t>Mar 2026</t>
        </is>
      </c>
      <c r="B18" s="76" t="inlineStr">
        <is>
          <t>CoreWeave — DDTL 4.0</t>
        </is>
      </c>
      <c r="C18" s="77" t="inlineStr">
        <is>
          <t>Neocloud / AI-native</t>
        </is>
      </c>
      <c r="D18" s="75" t="inlineStr">
        <is>
          <t>Blackstone Credit &amp; Insurance (anchor); MUFG, MS, GS, JPM</t>
        </is>
      </c>
      <c r="E18" s="78" t="n">
        <v>8.5</v>
      </c>
      <c r="F18" s="75" t="inlineStr">
        <is>
          <t>GPU-backed delayed-draw term loan</t>
        </is>
      </c>
      <c r="G18" s="75" t="inlineStr">
        <is>
          <t>SOFR+225 / ~5.9%</t>
        </is>
      </c>
      <c r="H18" s="75" t="inlineStr">
        <is>
          <t>Mar 2032</t>
        </is>
      </c>
      <c r="I18" s="75" t="inlineStr">
        <is>
          <t>First IG-rated (A3 / A low) HPC loan; non-recourse</t>
        </is>
      </c>
      <c r="J18" s="79" t="inlineStr">
        <is>
          <t>CoreWeave IR</t>
        </is>
      </c>
    </row>
    <row r="19" ht="30" customHeight="1">
      <c r="A19" s="80" t="inlineStr">
        <is>
          <t>2024</t>
        </is>
      </c>
      <c r="B19" s="81" t="inlineStr">
        <is>
          <t>Applied Digital</t>
        </is>
      </c>
      <c r="C19" s="82" t="inlineStr">
        <is>
          <t>Colocation / data-center REIT</t>
        </is>
      </c>
      <c r="D19" s="80" t="inlineStr">
        <is>
          <t>Macquarie</t>
        </is>
      </c>
      <c r="E19" s="83" t="n">
        <v>5</v>
      </c>
      <c r="F19" s="80" t="inlineStr">
        <is>
          <t>Structured HPC financing</t>
        </is>
      </c>
      <c r="G19" s="80" t="inlineStr">
        <is>
          <t>n/a</t>
        </is>
      </c>
      <c r="H19" s="80" t="inlineStr">
        <is>
          <t>n/a</t>
        </is>
      </c>
      <c r="I19" s="80" t="inlineStr">
        <is>
          <t>Powered-shell build for CoreWeave</t>
        </is>
      </c>
      <c r="J19" s="84" t="inlineStr">
        <is>
          <t>press</t>
        </is>
      </c>
    </row>
    <row r="20" ht="30" customHeight="1">
      <c r="A20" s="75" t="inlineStr">
        <is>
          <t>May 2025</t>
        </is>
      </c>
      <c r="B20" s="76" t="inlineStr">
        <is>
          <t>Anthropic</t>
        </is>
      </c>
      <c r="C20" s="77" t="inlineStr">
        <is>
          <t>Neocloud / AI-native</t>
        </is>
      </c>
      <c r="D20" s="75" t="inlineStr">
        <is>
          <t>Bank syndicate</t>
        </is>
      </c>
      <c r="E20" s="78" t="n">
        <v>2.5</v>
      </c>
      <c r="F20" s="75" t="inlineStr">
        <is>
          <t>Revolving credit line</t>
        </is>
      </c>
      <c r="G20" s="75" t="inlineStr">
        <is>
          <t>n/a</t>
        </is>
      </c>
      <c r="H20" s="75" t="inlineStr">
        <is>
          <t>5y</t>
        </is>
      </c>
      <c r="I20" s="75" t="inlineStr">
        <is>
          <t>Liquidity backstop</t>
        </is>
      </c>
      <c r="J20" s="79" t="inlineStr">
        <is>
          <t>CNBC</t>
        </is>
      </c>
    </row>
    <row r="21" ht="30" customHeight="1">
      <c r="A21" s="75" t="inlineStr">
        <is>
          <t>2026</t>
        </is>
      </c>
      <c r="B21" s="76" t="inlineStr">
        <is>
          <t>Nscale</t>
        </is>
      </c>
      <c r="C21" s="77" t="inlineStr">
        <is>
          <t>Neocloud / AI-native</t>
        </is>
      </c>
      <c r="D21" s="75" t="inlineStr">
        <is>
          <t>Private credit / banks</t>
        </is>
      </c>
      <c r="E21" s="78" t="n">
        <v>1.4</v>
      </c>
      <c r="F21" s="75" t="inlineStr">
        <is>
          <t>Term loan</t>
        </is>
      </c>
      <c r="G21" s="75" t="inlineStr">
        <is>
          <t>n/a</t>
        </is>
      </c>
      <c r="H21" s="75" t="inlineStr">
        <is>
          <t>n/a</t>
        </is>
      </c>
      <c r="I21" s="75" t="inlineStr">
        <is>
          <t>GPU-cloud build</t>
        </is>
      </c>
      <c r="J21" s="79" t="inlineStr">
        <is>
          <t>theaiinsider</t>
        </is>
      </c>
    </row>
    <row r="22" ht="30" customHeight="1">
      <c r="A22" s="75" t="inlineStr">
        <is>
          <t>2025</t>
        </is>
      </c>
      <c r="B22" s="76" t="inlineStr">
        <is>
          <t>Lambda</t>
        </is>
      </c>
      <c r="C22" s="77" t="inlineStr">
        <is>
          <t>Neocloud / AI-native</t>
        </is>
      </c>
      <c r="D22" s="75" t="inlineStr">
        <is>
          <t>Macquarie</t>
        </is>
      </c>
      <c r="E22" s="78" t="n">
        <v>0.5</v>
      </c>
      <c r="F22" s="75" t="inlineStr">
        <is>
          <t>GPU-backed facility</t>
        </is>
      </c>
      <c r="G22" s="75" t="inlineStr">
        <is>
          <t>n/a</t>
        </is>
      </c>
      <c r="H22" s="75" t="inlineStr">
        <is>
          <t>n/a</t>
        </is>
      </c>
      <c r="I22" s="75" t="inlineStr">
        <is>
          <t>GPU-cloud build</t>
        </is>
      </c>
      <c r="J22" s="79" t="inlineStr">
        <is>
          <t>theaiinsider</t>
        </is>
      </c>
    </row>
    <row r="23">
      <c r="A23" s="14" t="inlineStr">
        <is>
          <t>3) ALTERNATE PRIVATE CREDIT / SPV / 144A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 ht="30" customHeight="1">
      <c r="A24" s="70" t="inlineStr">
        <is>
          <t>2025-26</t>
        </is>
      </c>
      <c r="B24" s="71" t="inlineStr">
        <is>
          <t>Oracle — Texas + Wisconsin DCs</t>
        </is>
      </c>
      <c r="C24" s="72" t="inlineStr">
        <is>
          <t>Hyperscaler</t>
        </is>
      </c>
      <c r="D24" s="70" t="inlineStr">
        <is>
          <t>Private credit consortium</t>
        </is>
      </c>
      <c r="E24" s="73" t="n">
        <v>38</v>
      </c>
      <c r="F24" s="70" t="inlineStr">
        <is>
          <t>SPV debt package</t>
        </is>
      </c>
      <c r="G24" s="70" t="inlineStr">
        <is>
          <t>n/a</t>
        </is>
      </c>
      <c r="H24" s="70" t="inlineStr">
        <is>
          <t>n/a</t>
        </is>
      </c>
      <c r="I24" s="70" t="inlineStr">
        <is>
          <t>Two-site off-B/S financing</t>
        </is>
      </c>
      <c r="J24" s="74" t="inlineStr">
        <is>
          <t>FT</t>
        </is>
      </c>
    </row>
    <row r="25" ht="30" customHeight="1">
      <c r="A25" s="75" t="inlineStr">
        <is>
          <t>2026</t>
        </is>
      </c>
      <c r="B25" s="76" t="inlineStr">
        <is>
          <t>Anthropic — Google TPU chip SPV</t>
        </is>
      </c>
      <c r="C25" s="77" t="inlineStr">
        <is>
          <t>Neocloud / AI-native</t>
        </is>
      </c>
      <c r="D25" s="75" t="inlineStr">
        <is>
          <t>Apollo, Blackstone; Broadcom RVG</t>
        </is>
      </c>
      <c r="E25" s="78" t="n">
        <v>35</v>
      </c>
      <c r="F25" s="75" t="inlineStr">
        <is>
          <t>Chip-leasing SPV; 3 tranches; ~half syndicated</t>
        </is>
      </c>
      <c r="G25" s="75" t="inlineStr">
        <is>
          <t>A1 T+100bp; A2 5.75%; B 8.5%</t>
        </is>
      </c>
      <c r="H25" s="75" t="inlineStr">
        <is>
          <t>~5y</t>
        </is>
      </c>
      <c r="I25" s="75" t="inlineStr">
        <is>
          <t>Buys Google TPUs leased to Anthropic</t>
        </is>
      </c>
      <c r="J25" s="79" t="inlineStr">
        <is>
          <t>privatedebtnews; Build.inc</t>
        </is>
      </c>
    </row>
    <row r="26" ht="30" customHeight="1">
      <c r="A26" s="70" t="inlineStr">
        <is>
          <t>Oct 2025</t>
        </is>
      </c>
      <c r="B26" s="71" t="inlineStr">
        <is>
          <t>Meta — Hyperion (Beignet Investor LLC, RPLDCI)</t>
        </is>
      </c>
      <c r="C26" s="72" t="inlineStr">
        <is>
          <t>Hyperscaler</t>
        </is>
      </c>
      <c r="D26" s="70" t="inlineStr">
        <is>
          <t>PIMCO (~$18bn), BlackRock, Apollo; Blue Owl equity</t>
        </is>
      </c>
      <c r="E26" s="73" t="n">
        <v>27.294</v>
      </c>
      <c r="F26" s="70" t="inlineStr">
        <is>
          <t>Off-B/S SPV; 144A senior secured bond</t>
        </is>
      </c>
      <c r="G26" s="70" t="inlineStr">
        <is>
          <t>6.581%; YTW 6.4%; +193</t>
        </is>
      </c>
      <c r="H26" s="70" t="inlineStr">
        <is>
          <t>May 2049</t>
        </is>
      </c>
      <c r="I26" s="70" t="inlineStr">
        <is>
          <t>2.1GW Richland Parish LA; Meta lease + residual-value guarantee; A+ (S&amp;P)</t>
        </is>
      </c>
      <c r="J26" s="74" t="inlineStr">
        <is>
          <t>IFR; FT; Seaport</t>
        </is>
      </c>
    </row>
    <row r="27" ht="30" customHeight="1">
      <c r="A27" s="70" t="inlineStr">
        <is>
          <t>2025-26</t>
        </is>
      </c>
      <c r="B27" s="71" t="inlineStr">
        <is>
          <t>Oracle — New Mexico site</t>
        </is>
      </c>
      <c r="C27" s="72" t="inlineStr">
        <is>
          <t>Hyperscaler</t>
        </is>
      </c>
      <c r="D27" s="70" t="inlineStr">
        <is>
          <t>Private credit lenders</t>
        </is>
      </c>
      <c r="E27" s="73" t="n">
        <v>18</v>
      </c>
      <c r="F27" s="70" t="inlineStr">
        <is>
          <t>SPV / project loan</t>
        </is>
      </c>
      <c r="G27" s="70" t="inlineStr">
        <is>
          <t>n/a</t>
        </is>
      </c>
      <c r="H27" s="70" t="inlineStr">
        <is>
          <t>n/a</t>
        </is>
      </c>
      <c r="I27" s="70" t="inlineStr">
        <is>
          <t>Single-site project loan</t>
        </is>
      </c>
      <c r="J27" s="74" t="inlineStr">
        <is>
          <t>FT</t>
        </is>
      </c>
    </row>
    <row r="28" ht="30" customHeight="1">
      <c r="A28" s="70" t="inlineStr">
        <is>
          <t>o/s Jun'26</t>
        </is>
      </c>
      <c r="B28" s="71" t="inlineStr">
        <is>
          <t>Oracle — Michigan (RD Michigan Property Owner I)</t>
        </is>
      </c>
      <c r="C28" s="72" t="inlineStr">
        <is>
          <t>Hyperscaler</t>
        </is>
      </c>
      <c r="D28" s="70" t="inlineStr">
        <is>
          <t>Blackstone (90%) / Related Digital (10%)</t>
        </is>
      </c>
      <c r="E28" s="73" t="n">
        <v>14</v>
      </c>
      <c r="F28" s="70" t="inlineStr">
        <is>
          <t>1st-lien secured DC bond / SPV</t>
        </is>
      </c>
      <c r="G28" s="70" t="inlineStr">
        <is>
          <t>7.50%; YTW 7.5%; +301</t>
        </is>
      </c>
      <c r="H28" s="70" t="inlineStr">
        <is>
          <t>Mar 2045</t>
        </is>
      </c>
      <c r="I28" s="70" t="inlineStr">
        <is>
          <t>974MW Saline MI; Oracle 17.5y lease (guarantee); Baa3/BBB</t>
        </is>
      </c>
      <c r="J28" s="74" t="inlineStr">
        <is>
          <t>Seaport (6/13/26); FT</t>
        </is>
      </c>
    </row>
    <row r="29" ht="30" customHeight="1">
      <c r="A29" s="75" t="inlineStr">
        <is>
          <t>2025-26</t>
        </is>
      </c>
      <c r="B29" s="76" t="inlineStr">
        <is>
          <t>xAI — Colossus 2 chip SPV</t>
        </is>
      </c>
      <c r="C29" s="77" t="inlineStr">
        <is>
          <t>Neocloud / AI-native</t>
        </is>
      </c>
      <c r="D29" s="75" t="inlineStr">
        <is>
          <t>Valor Equity, Apollo, Diameter; NVIDIA equity</t>
        </is>
      </c>
      <c r="E29" s="78" t="n">
        <v>12.5</v>
      </c>
      <c r="F29" s="75" t="inlineStr">
        <is>
          <t>SPV; debt + ~$7.5bn equity</t>
        </is>
      </c>
      <c r="G29" s="75" t="inlineStr">
        <is>
          <t>~10.5%</t>
        </is>
      </c>
      <c r="H29" s="75" t="inlineStr">
        <is>
          <t>5y (~2.5y avg)</t>
        </is>
      </c>
      <c r="I29" s="75" t="inlineStr">
        <is>
          <t>Buys NVIDIA GPUs leased to xAI</t>
        </is>
      </c>
      <c r="J29" s="79" t="inlineStr">
        <is>
          <t>FT; WSJ</t>
        </is>
      </c>
    </row>
    <row r="30" ht="30" customHeight="1">
      <c r="A30" s="70" t="inlineStr">
        <is>
          <t>2025</t>
        </is>
      </c>
      <c r="B30" s="71" t="inlineStr">
        <is>
          <t>Oracle/OpenAI — Abilene, TX (Stargate)</t>
        </is>
      </c>
      <c r="C30" s="72" t="inlineStr">
        <is>
          <t>Hyperscaler</t>
        </is>
      </c>
      <c r="D30" s="70" t="inlineStr">
        <is>
          <t>Blue Owl + JPMorgan (Crusoe, Primary Digital)</t>
        </is>
      </c>
      <c r="E30" s="73" t="n">
        <v>10</v>
      </c>
      <c r="F30" s="70" t="inlineStr">
        <is>
          <t>Off-B/S SPV (~$13bn incl equity)</t>
        </is>
      </c>
      <c r="G30" s="70" t="inlineStr">
        <is>
          <t>n/a</t>
        </is>
      </c>
      <c r="H30" s="70" t="inlineStr">
        <is>
          <t>n/a</t>
        </is>
      </c>
      <c r="I30" s="70" t="inlineStr">
        <is>
          <t>SPV owns OpenAI Abilene facility</t>
        </is>
      </c>
      <c r="J30" s="74" t="inlineStr">
        <is>
          <t>FT</t>
        </is>
      </c>
    </row>
    <row r="31" ht="30" customHeight="1">
      <c r="A31" s="75" t="inlineStr">
        <is>
          <t>May 2024</t>
        </is>
      </c>
      <c r="B31" s="76" t="inlineStr">
        <is>
          <t>CoreWeave — $7.5bn facility</t>
        </is>
      </c>
      <c r="C31" s="77" t="inlineStr">
        <is>
          <t>Neocloud / AI-native</t>
        </is>
      </c>
      <c r="D31" s="75" t="inlineStr">
        <is>
          <t>Blackstone, Magnetar, Coatue, Carlyle, CDPQ, BlackRock</t>
        </is>
      </c>
      <c r="E31" s="78" t="n">
        <v>7.5</v>
      </c>
      <c r="F31" s="75" t="inlineStr">
        <is>
          <t>GPU + customer-contract secured facility</t>
        </is>
      </c>
      <c r="G31" s="75" t="inlineStr">
        <is>
          <t>~10%+</t>
        </is>
      </c>
      <c r="H31" s="75" t="inlineStr">
        <is>
          <t>n/a</t>
        </is>
      </c>
      <c r="I31" s="75" t="inlineStr">
        <is>
          <t>Largest private debt deal at the time</t>
        </is>
      </c>
      <c r="J31" s="79" t="inlineStr">
        <is>
          <t>Blackstone</t>
        </is>
      </c>
    </row>
    <row r="32" ht="30" customHeight="1">
      <c r="A32" s="80" t="inlineStr">
        <is>
          <t>Early 2025</t>
        </is>
      </c>
      <c r="B32" s="81" t="inlineStr">
        <is>
          <t>Aligned Data Centers — debt</t>
        </is>
      </c>
      <c r="C32" s="82" t="inlineStr">
        <is>
          <t>Colocation / data-center REIT</t>
        </is>
      </c>
      <c r="D32" s="80" t="inlineStr">
        <is>
          <t>Macquarie + global investors</t>
        </is>
      </c>
      <c r="E32" s="83" t="n">
        <v>7</v>
      </c>
      <c r="F32" s="80" t="inlineStr">
        <is>
          <t>Debt within $12bn raise (+$5bn equity)</t>
        </is>
      </c>
      <c r="G32" s="80" t="inlineStr">
        <is>
          <t>n/a</t>
        </is>
      </c>
      <c r="H32" s="80" t="inlineStr">
        <is>
          <t>n/a</t>
        </is>
      </c>
      <c r="I32" s="80" t="inlineStr">
        <is>
          <t>Later acquired by MGX/BlackRock (~$40bn)</t>
        </is>
      </c>
      <c r="J32" s="84" t="inlineStr">
        <is>
          <t>SFA; NYU DRI</t>
        </is>
      </c>
    </row>
    <row r="33" ht="30" customHeight="1">
      <c r="A33" s="75" t="inlineStr">
        <is>
          <t>2026</t>
        </is>
      </c>
      <c r="B33" s="76" t="inlineStr">
        <is>
          <t>Fluidstack — Google-backed facility</t>
        </is>
      </c>
      <c r="C33" s="77" t="inlineStr">
        <is>
          <t>Neocloud / AI-native</t>
        </is>
      </c>
      <c r="D33" s="75" t="inlineStr">
        <is>
          <t>Private credit (Google lease backstop)</t>
        </is>
      </c>
      <c r="E33" s="78" t="n">
        <v>6.7</v>
      </c>
      <c r="F33" s="75" t="inlineStr">
        <is>
          <t>SPV backed by contracted revenue</t>
        </is>
      </c>
      <c r="G33" s="75" t="inlineStr">
        <is>
          <t>n/a</t>
        </is>
      </c>
      <c r="H33" s="75" t="inlineStr">
        <is>
          <t>n/a</t>
        </is>
      </c>
      <c r="I33" s="75" t="inlineStr">
        <is>
          <t>~$6.7bn Google-contracted revenue</t>
        </is>
      </c>
      <c r="J33" s="79" t="inlineStr">
        <is>
          <t>theaiinsider</t>
        </is>
      </c>
    </row>
    <row r="34" ht="30" customHeight="1">
      <c r="A34" s="75" t="inlineStr">
        <is>
          <t>Jun-Jul 2025</t>
        </is>
      </c>
      <c r="B34" s="76" t="inlineStr">
        <is>
          <t>xAI — secured notes / term loan</t>
        </is>
      </c>
      <c r="C34" s="77" t="inlineStr">
        <is>
          <t>Neocloud / AI-native</t>
        </is>
      </c>
      <c r="D34" s="75" t="inlineStr">
        <is>
          <t>Apollo, Diameter; Morgan Stanley</t>
        </is>
      </c>
      <c r="E34" s="78" t="n">
        <v>5</v>
      </c>
      <c r="F34" s="75" t="inlineStr">
        <is>
          <t>Secured notes + term loan (part of $10bn raise)</t>
        </is>
      </c>
      <c r="G34" s="75" t="inlineStr">
        <is>
          <t>up to ~12.5%</t>
        </is>
      </c>
      <c r="H34" s="75" t="inlineStr">
        <is>
          <t>~3-5y</t>
        </is>
      </c>
      <c r="I34" s="75" t="inlineStr">
        <is>
          <t>Lenders can operate Colossus on default</t>
        </is>
      </c>
      <c r="J34" s="79" t="inlineStr">
        <is>
          <t>CNBC; ciphertalk</t>
        </is>
      </c>
    </row>
    <row r="35" ht="30" customHeight="1">
      <c r="A35" s="75" t="inlineStr">
        <is>
          <t>Jul 2025</t>
        </is>
      </c>
      <c r="B35" s="76" t="inlineStr">
        <is>
          <t>CoreWeave — OpenAI contract financing</t>
        </is>
      </c>
      <c r="C35" s="77" t="inlineStr">
        <is>
          <t>Neocloud / AI-native</t>
        </is>
      </c>
      <c r="D35" s="75" t="inlineStr">
        <is>
          <t>Private lenders (SPV)</t>
        </is>
      </c>
      <c r="E35" s="78" t="n">
        <v>2.6</v>
      </c>
      <c r="F35" s="75" t="inlineStr">
        <is>
          <t>SPV debt vs $11.9bn OpenAI contract</t>
        </is>
      </c>
      <c r="G35" s="75" t="inlineStr">
        <is>
          <t>n/a</t>
        </is>
      </c>
      <c r="H35" s="75" t="inlineStr">
        <is>
          <t>n/a</t>
        </is>
      </c>
      <c r="I35" s="75" t="inlineStr">
        <is>
          <t>Funds OpenAI compute obligations</t>
        </is>
      </c>
      <c r="J35" s="79" t="inlineStr">
        <is>
          <t>FT</t>
        </is>
      </c>
    </row>
    <row r="36" ht="30" customHeight="1">
      <c r="A36" s="75" t="inlineStr">
        <is>
          <t>Aug 2023</t>
        </is>
      </c>
      <c r="B36" s="76" t="inlineStr">
        <is>
          <t>CoreWeave — $2.3bn facility</t>
        </is>
      </c>
      <c r="C36" s="77" t="inlineStr">
        <is>
          <t>Neocloud / AI-native</t>
        </is>
      </c>
      <c r="D36" s="75" t="inlineStr">
        <is>
          <t>Blackstone, Magnetar</t>
        </is>
      </c>
      <c r="E36" s="78" t="n">
        <v>2.3</v>
      </c>
      <c r="F36" s="75" t="inlineStr">
        <is>
          <t>GPU-backed facility</t>
        </is>
      </c>
      <c r="G36" s="75" t="inlineStr">
        <is>
          <t>high</t>
        </is>
      </c>
      <c r="H36" s="75" t="inlineStr">
        <is>
          <t>n/a</t>
        </is>
      </c>
      <c r="I36" s="75" t="inlineStr">
        <is>
          <t>Early GPU-collateralized template</t>
        </is>
      </c>
      <c r="J36" s="79" t="inlineStr">
        <is>
          <t>Blackstone</t>
        </is>
      </c>
    </row>
    <row r="37">
      <c r="A37" s="14" t="inlineStr">
        <is>
          <t>4) INSURANCE-LINKED LENDING (memo — overlaps groups 1-3)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 ht="30" customHeight="1">
      <c r="A38" s="75" t="inlineStr">
        <is>
          <t>2026</t>
        </is>
      </c>
      <c r="B38" s="76" t="inlineStr">
        <is>
          <t>Anthropic — A2 notes (insurer tranche)</t>
        </is>
      </c>
      <c r="C38" s="77" t="inlineStr">
        <is>
          <t>Neocloud / AI-native</t>
        </is>
      </c>
      <c r="D38" s="75" t="inlineStr">
        <is>
          <t>Apollo / Athene + insurers</t>
        </is>
      </c>
      <c r="E38" s="78" t="n">
        <v>24</v>
      </c>
      <c r="F38" s="75" t="inlineStr">
        <is>
          <t>Insurance-bought A2 tranche of TPU SPV</t>
        </is>
      </c>
      <c r="G38" s="75" t="inlineStr">
        <is>
          <t>5.75%</t>
        </is>
      </c>
      <c r="H38" s="75" t="inlineStr">
        <is>
          <t>~5y</t>
        </is>
      </c>
      <c r="I38" s="75" t="inlineStr">
        <is>
          <t>Within the $35bn Anthropic deal (group 3)</t>
        </is>
      </c>
      <c r="J38" s="79" t="inlineStr">
        <is>
          <t>privatedebtnews</t>
        </is>
      </c>
    </row>
    <row r="39" ht="30" customHeight="1">
      <c r="A39" s="85" t="inlineStr">
        <is>
          <t>2025</t>
        </is>
      </c>
      <c r="B39" s="86" t="inlineStr">
        <is>
          <t>Athene (Apollo) — AP Grange</t>
        </is>
      </c>
      <c r="C39" s="87" t="inlineStr">
        <is>
          <t>Context / market</t>
        </is>
      </c>
      <c r="D39" s="85" t="inlineStr">
        <is>
          <t>Athene / Apollo (+ Intel equity)</t>
        </is>
      </c>
      <c r="E39" s="88" t="n">
        <v>6.5</v>
      </c>
      <c r="F39" s="85" t="inlineStr">
        <is>
          <t>Insurer JV investment (semis-adjacent)</t>
        </is>
      </c>
      <c r="G39" s="85" t="inlineStr">
        <is>
          <t>n/a</t>
        </is>
      </c>
      <c r="H39" s="85" t="inlineStr">
        <is>
          <t>n/a</t>
        </is>
      </c>
      <c r="I39" s="85" t="inlineStr">
        <is>
          <t>Largest single-issuer insurer credit exposure</t>
        </is>
      </c>
      <c r="J39" s="89" t="inlineStr">
        <is>
          <t>Moody's</t>
        </is>
      </c>
    </row>
    <row r="40" ht="30" customHeight="1">
      <c r="A40" s="70" t="inlineStr">
        <is>
          <t>Oct 2025</t>
        </is>
      </c>
      <c r="B40" s="71" t="inlineStr">
        <is>
          <t>Meta — Hyperion insurance allocation</t>
        </is>
      </c>
      <c r="C40" s="72" t="inlineStr">
        <is>
          <t>Hyperscaler</t>
        </is>
      </c>
      <c r="D40" s="70" t="inlineStr">
        <is>
          <t>Insurers via PIMCO / BlackRock</t>
        </is>
      </c>
      <c r="E40" s="90" t="n"/>
      <c r="F40" s="70" t="inlineStr">
        <is>
          <t>Insurance allocation of 144A bond</t>
        </is>
      </c>
      <c r="G40" s="70" t="inlineStr">
        <is>
          <t>6.581%</t>
        </is>
      </c>
      <c r="H40" s="70" t="inlineStr">
        <is>
          <t>2049</t>
        </is>
      </c>
      <c r="I40" s="70" t="inlineStr">
        <is>
          <t>Subset of the $27.3bn Hyperion bond (group 3)</t>
        </is>
      </c>
      <c r="J40" s="74" t="inlineStr">
        <is>
          <t>FT; S&amp;P</t>
        </is>
      </c>
    </row>
    <row r="41" ht="30" customHeight="1">
      <c r="A41" s="75" t="inlineStr">
        <is>
          <t>Mar 2026</t>
        </is>
      </c>
      <c r="B41" s="76" t="inlineStr">
        <is>
          <t>CoreWeave — DDTL 4.0 insurance anchor</t>
        </is>
      </c>
      <c r="C41" s="77" t="inlineStr">
        <is>
          <t>Neocloud / AI-native</t>
        </is>
      </c>
      <c r="D41" s="75" t="inlineStr">
        <is>
          <t>Blackstone Credit &amp; Insurance + insurers</t>
        </is>
      </c>
      <c r="E41" s="91" t="n"/>
      <c r="F41" s="75" t="inlineStr">
        <is>
          <t>Insurance anchor of GPU-backed loan</t>
        </is>
      </c>
      <c r="G41" s="75" t="inlineStr">
        <is>
          <t>SOFR+225 / 5.9%</t>
        </is>
      </c>
      <c r="H41" s="75" t="inlineStr">
        <is>
          <t>2032</t>
        </is>
      </c>
      <c r="I41" s="75" t="inlineStr">
        <is>
          <t>Subset of the $8.5bn DDTL (group 2)</t>
        </is>
      </c>
      <c r="J41" s="79" t="inlineStr">
        <is>
          <t>CoreWeave IR</t>
        </is>
      </c>
    </row>
    <row r="42">
      <c r="A42" s="14" t="inlineStr">
        <is>
          <t>5) SECURITIZATION / ABS / CMBS / SECURED DATA-CENTER BONDS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 ht="30" customHeight="1">
      <c r="A43" s="80" t="inlineStr">
        <is>
          <t>o/s Jun'26</t>
        </is>
      </c>
      <c r="B43" s="81" t="inlineStr">
        <is>
          <t>Meridian Arc Holdco (MERIDI) — Next Frontier/Fluidstack JV</t>
        </is>
      </c>
      <c r="C43" s="82" t="inlineStr">
        <is>
          <t>Colocation / data-center REIT</t>
        </is>
      </c>
      <c r="D43" s="80" t="inlineStr">
        <is>
          <t>144A bond investors</t>
        </is>
      </c>
      <c r="E43" s="83" t="n">
        <v>5.7</v>
      </c>
      <c r="F43" s="80" t="inlineStr">
        <is>
          <t>Secured DC bond</t>
        </is>
      </c>
      <c r="G43" s="80" t="inlineStr">
        <is>
          <t>6.25%; YTW 6.3%; +207</t>
        </is>
      </c>
      <c r="H43" s="80" t="inlineStr">
        <is>
          <t>Apr 2031</t>
        </is>
      </c>
      <c r="I43" s="80" t="inlineStr">
        <is>
          <t>Tenant Fluidstack (Google backstop), 15y lease; 245+185MW Sullivan Co. IN; Ba2/BB</t>
        </is>
      </c>
      <c r="J43" s="84" t="inlineStr">
        <is>
          <t>Seaport (Meridian Compute)</t>
        </is>
      </c>
    </row>
    <row r="44" ht="30" customHeight="1">
      <c r="A44" s="80" t="inlineStr">
        <is>
          <t>o/s Jun'26</t>
        </is>
      </c>
      <c r="B44" s="81" t="inlineStr">
        <is>
          <t>QTS Fayetteville I (QTSQST) — QTS/Blackstone</t>
        </is>
      </c>
      <c r="C44" s="82" t="inlineStr">
        <is>
          <t>Colocation / data-center REIT</t>
        </is>
      </c>
      <c r="D44" s="80" t="inlineStr">
        <is>
          <t>144A bond investors</t>
        </is>
      </c>
      <c r="E44" s="83" t="n">
        <v>4.6</v>
      </c>
      <c r="F44" s="80" t="inlineStr">
        <is>
          <t>Secured DC bond (IG)</t>
        </is>
      </c>
      <c r="G44" s="80" t="inlineStr">
        <is>
          <t>5.70%; YTW 6.2%; +171</t>
        </is>
      </c>
      <c r="H44" s="80" t="inlineStr">
        <is>
          <t>Apr 2036</t>
        </is>
      </c>
      <c r="I44" s="80" t="inlineStr">
        <is>
          <t>Tenant Microsoft (IG), 20y lease; Atlanta GA; Baa2</t>
        </is>
      </c>
      <c r="J44" s="84" t="inlineStr">
        <is>
          <t>Seaport (QTS)</t>
        </is>
      </c>
    </row>
    <row r="45" ht="30" customHeight="1">
      <c r="A45" s="80" t="inlineStr">
        <is>
          <t>o/s Jun'26</t>
        </is>
      </c>
      <c r="B45" s="81" t="inlineStr">
        <is>
          <t>PR RNO Property Owner 1 (TRACTD) — Tract Capital</t>
        </is>
      </c>
      <c r="C45" s="82" t="inlineStr">
        <is>
          <t>Colocation / data-center REIT</t>
        </is>
      </c>
      <c r="D45" s="80" t="inlineStr">
        <is>
          <t>144A bond investors</t>
        </is>
      </c>
      <c r="E45" s="83" t="n">
        <v>4.585</v>
      </c>
      <c r="F45" s="80" t="inlineStr">
        <is>
          <t>Secured DC bond</t>
        </is>
      </c>
      <c r="G45" s="80" t="inlineStr">
        <is>
          <t>6.50%; YTW 6.6%; +236</t>
        </is>
      </c>
      <c r="H45" s="80" t="inlineStr">
        <is>
          <t>May 2031</t>
        </is>
      </c>
      <c r="I45" s="80" t="inlineStr">
        <is>
          <t>Tenant Nvidia (IG), 16y lease; 200MW Storey Co. NV; Ba1/(P)BB/BB</t>
        </is>
      </c>
      <c r="J45" s="84" t="inlineStr">
        <is>
          <t>Seaport (Tract Capital)</t>
        </is>
      </c>
    </row>
    <row r="46" ht="30" customHeight="1">
      <c r="A46" s="80" t="inlineStr">
        <is>
          <t>o/s Jun'26</t>
        </is>
      </c>
      <c r="B46" s="81" t="inlineStr">
        <is>
          <t>Beacon Point DC (HUTBPA) — Hut 8</t>
        </is>
      </c>
      <c r="C46" s="82" t="inlineStr">
        <is>
          <t>Colocation / data-center REIT</t>
        </is>
      </c>
      <c r="D46" s="80" t="inlineStr">
        <is>
          <t>144A bond investors</t>
        </is>
      </c>
      <c r="E46" s="83" t="n">
        <v>4.25</v>
      </c>
      <c r="F46" s="80" t="inlineStr">
        <is>
          <t>Secured 1st-lien DC bond (IG)</t>
        </is>
      </c>
      <c r="G46" s="80" t="inlineStr">
        <is>
          <t>6.129%; YTW 6.0%; +155</t>
        </is>
      </c>
      <c r="H46" s="80" t="inlineStr">
        <is>
          <t>Nov 2042</t>
        </is>
      </c>
      <c r="I46" s="80" t="inlineStr">
        <is>
          <t>Tenant Nvidia (IG), 15y lease; 352MW Nueces Co. TX; Baa2</t>
        </is>
      </c>
      <c r="J46" s="84" t="inlineStr">
        <is>
          <t>Seaport (Hut 8)</t>
        </is>
      </c>
    </row>
    <row r="47" ht="30" customHeight="1">
      <c r="A47" s="80" t="inlineStr">
        <is>
          <t>o/s Jun'26</t>
        </is>
      </c>
      <c r="B47" s="81" t="inlineStr">
        <is>
          <t>SV RNO Property Owner 1 (TRACTC) — Tract Capital</t>
        </is>
      </c>
      <c r="C47" s="82" t="inlineStr">
        <is>
          <t>Colocation / data-center REIT</t>
        </is>
      </c>
      <c r="D47" s="80" t="inlineStr">
        <is>
          <t>144A bond investors</t>
        </is>
      </c>
      <c r="E47" s="83" t="n">
        <v>3.8</v>
      </c>
      <c r="F47" s="80" t="inlineStr">
        <is>
          <t>Secured DC bond</t>
        </is>
      </c>
      <c r="G47" s="80" t="inlineStr">
        <is>
          <t>5.875%; YTW 6.3%; +206</t>
        </is>
      </c>
      <c r="H47" s="80" t="inlineStr">
        <is>
          <t>Mar 2031</t>
        </is>
      </c>
      <c r="I47" s="80" t="inlineStr">
        <is>
          <t>Tenant Nvidia (IG), 16y lease; 200MW Storey Co. NV; Ba1/(P)BB+/BB</t>
        </is>
      </c>
      <c r="J47" s="84" t="inlineStr">
        <is>
          <t>Seaport (Tract Capital)</t>
        </is>
      </c>
    </row>
    <row r="48" ht="30" customHeight="1">
      <c r="A48" s="80" t="inlineStr">
        <is>
          <t>Nov 2025</t>
        </is>
      </c>
      <c r="B48" s="81" t="inlineStr">
        <is>
          <t>QTS (Blackstone) — BX 2025-VOLT</t>
        </is>
      </c>
      <c r="C48" s="82" t="inlineStr">
        <is>
          <t>Colocation / data-center REIT</t>
        </is>
      </c>
      <c r="D48" s="80" t="inlineStr">
        <is>
          <t>Blackstone</t>
        </is>
      </c>
      <c r="E48" s="83" t="n">
        <v>3.5</v>
      </c>
      <c r="F48" s="80" t="inlineStr">
        <is>
          <t>SASB CMBS (~10 QTS DCs)</t>
        </is>
      </c>
      <c r="G48" s="80" t="inlineStr">
        <is>
          <t>floating</t>
        </is>
      </c>
      <c r="H48" s="80" t="inlineStr">
        <is>
          <t>2y + ext</t>
        </is>
      </c>
      <c r="I48" s="80" t="inlineStr">
        <is>
          <t>Year's largest data-center CMBS</t>
        </is>
      </c>
      <c r="J48" s="84" t="inlineStr">
        <is>
          <t>CREFC; SFA</t>
        </is>
      </c>
    </row>
    <row r="49" ht="30" customHeight="1">
      <c r="A49" s="80" t="inlineStr">
        <is>
          <t>2024-25</t>
        </is>
      </c>
      <c r="B49" s="81" t="inlineStr">
        <is>
          <t>Switch (DigitalBridge) — SWCH 2025-DATA</t>
        </is>
      </c>
      <c r="C49" s="82" t="inlineStr">
        <is>
          <t>Colocation / data-center REIT</t>
        </is>
      </c>
      <c r="D49" s="80" t="inlineStr">
        <is>
          <t>DigitalBridge</t>
        </is>
      </c>
      <c r="E49" s="83" t="n">
        <v>3.5</v>
      </c>
      <c r="F49" s="80" t="inlineStr">
        <is>
          <t>$2.4bn SASB CMBS + $1.1bn ABS (green)</t>
        </is>
      </c>
      <c r="G49" s="80" t="inlineStr">
        <is>
          <t>n/a</t>
        </is>
      </c>
      <c r="H49" s="80" t="inlineStr">
        <is>
          <t>n/a</t>
        </is>
      </c>
      <c r="I49" s="80" t="inlineStr">
        <is>
          <t>Green-bond framework</t>
        </is>
      </c>
      <c r="J49" s="84" t="inlineStr">
        <is>
          <t>SFA; CREFC</t>
        </is>
      </c>
    </row>
    <row r="50" ht="30" customHeight="1">
      <c r="A50" s="80" t="inlineStr">
        <is>
          <t>o/s Jun'26</t>
        </is>
      </c>
      <c r="B50" s="81" t="inlineStr">
        <is>
          <t>Core Scientific Finance I (CORZ)</t>
        </is>
      </c>
      <c r="C50" s="82" t="inlineStr">
        <is>
          <t>Colocation / data-center REIT</t>
        </is>
      </c>
      <c r="D50" s="80" t="inlineStr">
        <is>
          <t>144A bond investors</t>
        </is>
      </c>
      <c r="E50" s="83" t="n">
        <v>3.3</v>
      </c>
      <c r="F50" s="80" t="inlineStr">
        <is>
          <t>Secured DC bond</t>
        </is>
      </c>
      <c r="G50" s="80" t="inlineStr">
        <is>
          <t>7.75%; YTW 7.3%; +307</t>
        </is>
      </c>
      <c r="H50" s="80" t="inlineStr">
        <is>
          <t>May 2031</t>
        </is>
      </c>
      <c r="I50" s="80" t="inlineStr">
        <is>
          <t>Tenant CoreWeave (HY), 12y lease; 6 facilities/5 sites; BB/BB-</t>
        </is>
      </c>
      <c r="J50" s="84" t="inlineStr">
        <is>
          <t>Seaport (Core Scientific)</t>
        </is>
      </c>
    </row>
    <row r="51" ht="30" customHeight="1">
      <c r="A51" s="80" t="inlineStr">
        <is>
          <t>o/s Jun'26</t>
        </is>
      </c>
      <c r="B51" s="81" t="inlineStr">
        <is>
          <t>HUT 8 DC (HUTRBA) — River Bend</t>
        </is>
      </c>
      <c r="C51" s="82" t="inlineStr">
        <is>
          <t>Colocation / data-center REIT</t>
        </is>
      </c>
      <c r="D51" s="80" t="inlineStr">
        <is>
          <t>144A bond investors</t>
        </is>
      </c>
      <c r="E51" s="83" t="n">
        <v>3.25</v>
      </c>
      <c r="F51" s="80" t="inlineStr">
        <is>
          <t>Secured 1st-lien DC bond (IG)</t>
        </is>
      </c>
      <c r="G51" s="80" t="inlineStr">
        <is>
          <t>6.192%; YTW 6.0%; +154</t>
        </is>
      </c>
      <c r="H51" s="80" t="inlineStr">
        <is>
          <t>Nov 2042</t>
        </is>
      </c>
      <c r="I51" s="80" t="inlineStr">
        <is>
          <t>Tenant Fluidstack (Google backstop), 15y lease; 245MW St. Francisville LA; (P)BBB-/BBB-</t>
        </is>
      </c>
      <c r="J51" s="84" t="inlineStr">
        <is>
          <t>Seaport (Hut 8)</t>
        </is>
      </c>
    </row>
    <row r="52" ht="30" customHeight="1">
      <c r="A52" s="80" t="inlineStr">
        <is>
          <t>o/s Jun'26</t>
        </is>
      </c>
      <c r="B52" s="81" t="inlineStr">
        <is>
          <t>WULF Compute (WULF) — Terawulf</t>
        </is>
      </c>
      <c r="C52" s="82" t="inlineStr">
        <is>
          <t>Colocation / data-center REIT</t>
        </is>
      </c>
      <c r="D52" s="80" t="inlineStr">
        <is>
          <t>144A bond investors</t>
        </is>
      </c>
      <c r="E52" s="83" t="n">
        <v>3.2</v>
      </c>
      <c r="F52" s="80" t="inlineStr">
        <is>
          <t>Secured DC bond</t>
        </is>
      </c>
      <c r="G52" s="80" t="inlineStr">
        <is>
          <t>7.75%; YTW 6.0%; +189</t>
        </is>
      </c>
      <c r="H52" s="80" t="inlineStr">
        <is>
          <t>Oct 2030</t>
        </is>
      </c>
      <c r="I52" s="80" t="inlineStr">
        <is>
          <t>Tenant Fluidstack (Google backstop), 10y lease; 366MW Lake Mariner NY; Ba2/BB/BB</t>
        </is>
      </c>
      <c r="J52" s="84" t="inlineStr">
        <is>
          <t>Seaport (Terawulf)</t>
        </is>
      </c>
    </row>
    <row r="53" ht="30" customHeight="1">
      <c r="A53" s="80" t="inlineStr">
        <is>
          <t>o/s Jun'26</t>
        </is>
      </c>
      <c r="B53" s="81" t="inlineStr">
        <is>
          <t>APLD ComputeCo (APLD) — Ellendale ND</t>
        </is>
      </c>
      <c r="C53" s="82" t="inlineStr">
        <is>
          <t>Colocation / data-center REIT</t>
        </is>
      </c>
      <c r="D53" s="80" t="inlineStr">
        <is>
          <t>144A bond investors</t>
        </is>
      </c>
      <c r="E53" s="83" t="n">
        <v>2.35</v>
      </c>
      <c r="F53" s="80" t="inlineStr">
        <is>
          <t>Secured DC bond</t>
        </is>
      </c>
      <c r="G53" s="80" t="inlineStr">
        <is>
          <t>9.25%; YTW 6.6%; +254</t>
        </is>
      </c>
      <c r="H53" s="80" t="inlineStr">
        <is>
          <t>Dec 2030</t>
        </is>
      </c>
      <c r="I53" s="80" t="inlineStr">
        <is>
          <t>Tenant CoreWeave (HY), 15y lease; 100/150MW Polaris Forge 1; BB-/BB-</t>
        </is>
      </c>
      <c r="J53" s="84" t="inlineStr">
        <is>
          <t>Seaport (Applied Digital)</t>
        </is>
      </c>
    </row>
    <row r="54" ht="30" customHeight="1">
      <c r="A54" s="80" t="inlineStr">
        <is>
          <t>o/s Jun'26</t>
        </is>
      </c>
      <c r="B54" s="81" t="inlineStr">
        <is>
          <t>APLD ComputeCo 2 (PFORGE) — Harwood ND</t>
        </is>
      </c>
      <c r="C54" s="82" t="inlineStr">
        <is>
          <t>Colocation / data-center REIT</t>
        </is>
      </c>
      <c r="D54" s="80" t="inlineStr">
        <is>
          <t>144A bond investors</t>
        </is>
      </c>
      <c r="E54" s="83" t="n">
        <v>2.15</v>
      </c>
      <c r="F54" s="80" t="inlineStr">
        <is>
          <t>Secured 1st-lien DC bond</t>
        </is>
      </c>
      <c r="G54" s="80" t="inlineStr">
        <is>
          <t>6.75%; YTW 6.6%; +244</t>
        </is>
      </c>
      <c r="H54" s="80" t="inlineStr">
        <is>
          <t>Mar 2031</t>
        </is>
      </c>
      <c r="I54" s="80" t="inlineStr">
        <is>
          <t>Tenant Oracle (IG, guarantee), 15y lease; 150/50MW Polaris Forge 2; Ba3/BB-</t>
        </is>
      </c>
      <c r="J54" s="84" t="inlineStr">
        <is>
          <t>Seaport (Applied Digital)</t>
        </is>
      </c>
    </row>
    <row r="55" ht="30" customHeight="1">
      <c r="A55" s="80" t="inlineStr">
        <is>
          <t>o/s Jun'26</t>
        </is>
      </c>
      <c r="B55" s="81" t="inlineStr">
        <is>
          <t>Black Pearl Compute (BLKPRL) — Cipher Digital</t>
        </is>
      </c>
      <c r="C55" s="82" t="inlineStr">
        <is>
          <t>Colocation / data-center REIT</t>
        </is>
      </c>
      <c r="D55" s="80" t="inlineStr">
        <is>
          <t>144A bond investors</t>
        </is>
      </c>
      <c r="E55" s="83" t="n">
        <v>2</v>
      </c>
      <c r="F55" s="80" t="inlineStr">
        <is>
          <t>Secured DC bond</t>
        </is>
      </c>
      <c r="G55" s="80" t="inlineStr">
        <is>
          <t>6.125%; YTW 5.8%; +158</t>
        </is>
      </c>
      <c r="H55" s="80" t="inlineStr">
        <is>
          <t>Feb 2031</t>
        </is>
      </c>
      <c r="I55" s="80" t="inlineStr">
        <is>
          <t>Tenant AWS (IG, guarantee), 15y lease; 300MW TX; Ba2/BB-</t>
        </is>
      </c>
      <c r="J55" s="84" t="inlineStr">
        <is>
          <t>Seaport (Cipher)</t>
        </is>
      </c>
    </row>
    <row r="56" ht="30" customHeight="1">
      <c r="A56" s="80" t="inlineStr">
        <is>
          <t>o/s Jun'26</t>
        </is>
      </c>
      <c r="B56" s="81" t="inlineStr">
        <is>
          <t>Cipher Compute (CIFR) — Cipher Digital</t>
        </is>
      </c>
      <c r="C56" s="82" t="inlineStr">
        <is>
          <t>Colocation / data-center REIT</t>
        </is>
      </c>
      <c r="D56" s="80" t="inlineStr">
        <is>
          <t>144A bond investors</t>
        </is>
      </c>
      <c r="E56" s="83" t="n">
        <v>1.733</v>
      </c>
      <c r="F56" s="80" t="inlineStr">
        <is>
          <t>Secured 1st-lien DC bond</t>
        </is>
      </c>
      <c r="G56" s="80" t="inlineStr">
        <is>
          <t>7.125%; YTW 6.0%; +184</t>
        </is>
      </c>
      <c r="H56" s="80" t="inlineStr">
        <is>
          <t>Nov 2030</t>
        </is>
      </c>
      <c r="I56" s="80" t="inlineStr">
        <is>
          <t>Tenant Fluidstack (Google backstop), 10y lease; 300MW Barber Lake TX; Ba3/BB-</t>
        </is>
      </c>
      <c r="J56" s="84" t="inlineStr">
        <is>
          <t>Seaport (Cipher)</t>
        </is>
      </c>
    </row>
    <row r="57" ht="30" customHeight="1">
      <c r="A57" s="80" t="inlineStr">
        <is>
          <t>o/s Jun'26</t>
        </is>
      </c>
      <c r="B57" s="81" t="inlineStr">
        <is>
          <t>APLD ComputeCo 3 (ELNFOR) — Ellendale ND</t>
        </is>
      </c>
      <c r="C57" s="82" t="inlineStr">
        <is>
          <t>Colocation / data-center REIT</t>
        </is>
      </c>
      <c r="D57" s="80" t="inlineStr">
        <is>
          <t>144A bond investors</t>
        </is>
      </c>
      <c r="E57" s="83" t="n">
        <v>1.59</v>
      </c>
      <c r="F57" s="80" t="inlineStr">
        <is>
          <t>Secured 1st-lien DC bond</t>
        </is>
      </c>
      <c r="G57" s="80" t="inlineStr">
        <is>
          <t>7.00%; YTW 7.0%; +282</t>
        </is>
      </c>
      <c r="H57" s="80" t="inlineStr">
        <is>
          <t>Jun 2031</t>
        </is>
      </c>
      <c r="I57" s="80" t="inlineStr">
        <is>
          <t>Tenant CoreWeave (HY), 15y lease; 150MW (ELN-4); BB-/BB-</t>
        </is>
      </c>
      <c r="J57" s="84" t="inlineStr">
        <is>
          <t>Seaport (Applied Digital)</t>
        </is>
      </c>
    </row>
    <row r="58" ht="30" customHeight="1">
      <c r="A58" s="80" t="inlineStr">
        <is>
          <t>o/s Jun'26</t>
        </is>
      </c>
      <c r="B58" s="81" t="inlineStr">
        <is>
          <t>Edged Compute (EDGCOM) — Edged US</t>
        </is>
      </c>
      <c r="C58" s="82" t="inlineStr">
        <is>
          <t>Colocation / data-center REIT</t>
        </is>
      </c>
      <c r="D58" s="80" t="inlineStr">
        <is>
          <t>144A bond investors</t>
        </is>
      </c>
      <c r="E58" s="83" t="n">
        <v>1.3</v>
      </c>
      <c r="F58" s="80" t="inlineStr">
        <is>
          <t>Secured DC bond</t>
        </is>
      </c>
      <c r="G58" s="80" t="inlineStr">
        <is>
          <t>7.50%; YTW 7.9%; +369</t>
        </is>
      </c>
      <c r="H58" s="80" t="inlineStr">
        <is>
          <t>Apr 2031</t>
        </is>
      </c>
      <c r="I58" s="80" t="inlineStr">
        <is>
          <t>Tenants CoreWeave (Chicago 72MW) &amp; Alibaba (Atlanta 42MW); BB+/BB-</t>
        </is>
      </c>
      <c r="J58" s="84" t="inlineStr">
        <is>
          <t>Seaport (Edged US)</t>
        </is>
      </c>
    </row>
    <row r="59" ht="30" customHeight="1">
      <c r="A59" s="80" t="inlineStr">
        <is>
          <t>o/s Jun'26</t>
        </is>
      </c>
      <c r="B59" s="81" t="inlineStr">
        <is>
          <t>Flash Compute (FLASHC) — Terawulf/Fluidstack JV</t>
        </is>
      </c>
      <c r="C59" s="82" t="inlineStr">
        <is>
          <t>Colocation / data-center REIT</t>
        </is>
      </c>
      <c r="D59" s="80" t="inlineStr">
        <is>
          <t>144A bond investors</t>
        </is>
      </c>
      <c r="E59" s="83" t="n">
        <v>1.3</v>
      </c>
      <c r="F59" s="80" t="inlineStr">
        <is>
          <t>Secured DC bond</t>
        </is>
      </c>
      <c r="G59" s="80" t="inlineStr">
        <is>
          <t>7.25%; YTW 6.3%; +213</t>
        </is>
      </c>
      <c r="H59" s="80" t="inlineStr">
        <is>
          <t>Dec 2030</t>
        </is>
      </c>
      <c r="I59" s="80" t="inlineStr">
        <is>
          <t>Tenant Fluidstack (Google backstop), 10y lease; 240MW Abernathy TX; Ba3</t>
        </is>
      </c>
      <c r="J59" s="84" t="inlineStr">
        <is>
          <t>Seaport (Terawulf/Fluidstack)</t>
        </is>
      </c>
    </row>
    <row r="60" ht="30" customHeight="1">
      <c r="A60" s="80" t="inlineStr">
        <is>
          <t>o/s Jun'26</t>
        </is>
      </c>
      <c r="B60" s="81" t="inlineStr">
        <is>
          <t>SE Cosmos (SECMOS) — SB Energy/SoftBank</t>
        </is>
      </c>
      <c r="C60" s="82" t="inlineStr">
        <is>
          <t>Colocation / data-center REIT</t>
        </is>
      </c>
      <c r="D60" s="80" t="inlineStr">
        <is>
          <t>144A bond investors</t>
        </is>
      </c>
      <c r="E60" s="83" t="n">
        <v>0.999</v>
      </c>
      <c r="F60" s="80" t="inlineStr">
        <is>
          <t>Secured 1st-lien DC bond</t>
        </is>
      </c>
      <c r="G60" s="80" t="inlineStr">
        <is>
          <t>8.875%; YTW 7.8%; +356</t>
        </is>
      </c>
      <c r="H60" s="80" t="inlineStr">
        <is>
          <t>May 2031</t>
        </is>
      </c>
      <c r="I60" s="80" t="inlineStr">
        <is>
          <t>Tenant SoftBank, 15y lease; 50MW Austin TX; (P)BB+/BB-</t>
        </is>
      </c>
      <c r="J60" s="84" t="inlineStr">
        <is>
          <t>Seaport (SB Energy)</t>
        </is>
      </c>
    </row>
    <row r="61" ht="30" customHeight="1">
      <c r="A61" s="80" t="inlineStr">
        <is>
          <t>o/s Jun'26</t>
        </is>
      </c>
      <c r="B61" s="81" t="inlineStr">
        <is>
          <t>Elk Grove Village (ELKGVP) — Prime Data Centers</t>
        </is>
      </c>
      <c r="C61" s="82" t="inlineStr">
        <is>
          <t>Colocation / data-center REIT</t>
        </is>
      </c>
      <c r="D61" s="80" t="inlineStr">
        <is>
          <t>144A bond investors</t>
        </is>
      </c>
      <c r="E61" s="83" t="n">
        <v>0.9</v>
      </c>
      <c r="F61" s="80" t="inlineStr">
        <is>
          <t>Secured DC bond</t>
        </is>
      </c>
      <c r="G61" s="80" t="inlineStr">
        <is>
          <t>7.50%; YTW 7.2%; +303</t>
        </is>
      </c>
      <c r="H61" s="80" t="inlineStr">
        <is>
          <t>Jun 2031</t>
        </is>
      </c>
      <c r="I61" s="80" t="inlineStr">
        <is>
          <t>Tenant CoreWeave (HY), 15y lease; 72MW ORD01-01 IL; Ba3/(P)BB-/BB-</t>
        </is>
      </c>
      <c r="J61" s="84" t="inlineStr">
        <is>
          <t>Seaport (Prime Data Centers)</t>
        </is>
      </c>
    </row>
    <row r="62" ht="30" customHeight="1">
      <c r="A62" s="80" t="inlineStr">
        <is>
          <t>o/s Jun'26</t>
        </is>
      </c>
      <c r="B62" s="81" t="inlineStr">
        <is>
          <t>Stingray Compute (STNGRY) — Cipher Digital</t>
        </is>
      </c>
      <c r="C62" s="82" t="inlineStr">
        <is>
          <t>Colocation / data-center REIT</t>
        </is>
      </c>
      <c r="D62" s="80" t="inlineStr">
        <is>
          <t>144A bond investors</t>
        </is>
      </c>
      <c r="E62" s="83" t="n">
        <v>0.8100000000000001</v>
      </c>
      <c r="F62" s="80" t="inlineStr">
        <is>
          <t>Secured DC bond</t>
        </is>
      </c>
      <c r="G62" s="80" t="inlineStr">
        <is>
          <t>6.00%; YTW 6.0%; +175</t>
        </is>
      </c>
      <c r="H62" s="80" t="inlineStr">
        <is>
          <t>Jun 2031</t>
        </is>
      </c>
      <c r="I62" s="80" t="inlineStr">
        <is>
          <t>Tenant AWS (IG), lease; 70MW Andrew TX; Ba2/BB-</t>
        </is>
      </c>
      <c r="J62" s="84" t="inlineStr">
        <is>
          <t>Seaport (Cipher)</t>
        </is>
      </c>
    </row>
    <row r="63">
      <c r="A63" s="14" t="inlineStr">
        <is>
          <t>6) CONVERTIBLES / EQUITY-LINKED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 ht="30" customHeight="1">
      <c r="A64" s="75" t="inlineStr">
        <is>
          <t>2025-26</t>
        </is>
      </c>
      <c r="B64" s="76" t="inlineStr">
        <is>
          <t>Nebius</t>
        </is>
      </c>
      <c r="C64" s="77" t="inlineStr">
        <is>
          <t>Neocloud / AI-native</t>
        </is>
      </c>
      <c r="D64" s="75" t="inlineStr">
        <is>
          <t>Convertible market</t>
        </is>
      </c>
      <c r="E64" s="78" t="n">
        <v>3</v>
      </c>
      <c r="F64" s="75" t="inlineStr">
        <is>
          <t>Convertible notes</t>
        </is>
      </c>
      <c r="G64" s="75" t="inlineStr">
        <is>
          <t>n/a</t>
        </is>
      </c>
      <c r="H64" s="75" t="inlineStr">
        <is>
          <t>n/a</t>
        </is>
      </c>
      <c r="I64" s="75" t="inlineStr">
        <is>
          <t>Lighter-balance-sheet strategy</t>
        </is>
      </c>
      <c r="J64" s="79" t="inlineStr">
        <is>
          <t>frankk research</t>
        </is>
      </c>
    </row>
    <row r="65" ht="30" customHeight="1">
      <c r="A65" s="75" t="inlineStr">
        <is>
          <t>Dec 2025</t>
        </is>
      </c>
      <c r="B65" s="76" t="inlineStr">
        <is>
          <t>CoreWeave</t>
        </is>
      </c>
      <c r="C65" s="77" t="inlineStr">
        <is>
          <t>Neocloud / AI-native</t>
        </is>
      </c>
      <c r="D65" s="75" t="inlineStr">
        <is>
          <t>Convertible market</t>
        </is>
      </c>
      <c r="E65" s="78" t="n">
        <v>2.7</v>
      </c>
      <c r="F65" s="75" t="inlineStr">
        <is>
          <t>Convertible notes</t>
        </is>
      </c>
      <c r="G65" s="75" t="inlineStr">
        <is>
          <t>1.75%</t>
        </is>
      </c>
      <c r="H65" s="75" t="inlineStr">
        <is>
          <t>n/a</t>
        </is>
      </c>
      <c r="I65" s="75" t="inlineStr">
        <is>
          <t>Shift toward hybrid instruments</t>
        </is>
      </c>
      <c r="J65" s="79" t="inlineStr">
        <is>
          <t>thedig; CoreWeave</t>
        </is>
      </c>
    </row>
    <row r="66">
      <c r="A66" s="92" t="n"/>
      <c r="B66" s="93" t="inlineStr">
        <is>
          <t>TOTAL — itemized debt transactions (bonds + loans + private credit + ABS + converts)</t>
        </is>
      </c>
      <c r="C66" s="92" t="n"/>
      <c r="D66" s="92" t="n"/>
      <c r="E66" s="94">
        <f>SUM(E6,E7,E8,E9,E10,E11,E12,E13,E14,E15,E16,E18,E19,E20,E21,E22,E24,E25,E26,E27,E28,E29,E30,E31,E32,E33,E34,E35,E36,E43,E44,E45,E46,E47,E48,E49,E50,E51,E52,E53,E54,E55,E56,E57,E58,E59,E60,E61,E62,E64,E65)</f>
        <v/>
      </c>
      <c r="F66" s="92" t="n"/>
      <c r="G66" s="92" t="n"/>
      <c r="H66" s="92" t="n"/>
      <c r="I66" s="92" t="n"/>
      <c r="J66" s="92" t="n"/>
    </row>
    <row r="68">
      <c r="A68" s="14" t="inlineStr">
        <is>
          <t>7) VENDOR / EQUIPMENT-LEASE FINANCING &amp; BACKSTOPS (memo)</t>
        </is>
      </c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 ht="30" customHeight="1">
      <c r="A69" s="70" t="inlineStr">
        <is>
          <t>2024-31</t>
        </is>
      </c>
      <c r="B69" s="71" t="inlineStr">
        <is>
          <t>Microsoft — finance-lease commitments</t>
        </is>
      </c>
      <c r="C69" s="72" t="inlineStr">
        <is>
          <t>Hyperscaler</t>
        </is>
      </c>
      <c r="D69" s="70" t="inlineStr">
        <is>
          <t>Lessors / developers</t>
        </is>
      </c>
      <c r="E69" s="73" t="n">
        <v>196.6</v>
      </c>
      <c r="F69" s="70" t="inlineStr">
        <is>
          <t>Finance leases not yet commenced (as of 31 Mar 2026)</t>
        </is>
      </c>
      <c r="G69" s="70" t="inlineStr">
        <is>
          <t>n/a</t>
        </is>
      </c>
      <c r="H69" s="70" t="inlineStr">
        <is>
          <t>to 21y</t>
        </is>
      </c>
      <c r="I69" s="70" t="inlineStr">
        <is>
          <t>Off-B/S; commence FY26-FY31; Microsoft funds AI via leases not new bonds</t>
        </is>
      </c>
      <c r="J69" s="74" t="inlineStr">
        <is>
          <t>MSFT 10-Q</t>
        </is>
      </c>
    </row>
    <row r="70" ht="30" customHeight="1">
      <c r="A70" s="75" t="inlineStr">
        <is>
          <t>through 2032</t>
        </is>
      </c>
      <c r="B70" s="76" t="inlineStr">
        <is>
          <t>CoreWeave — NVIDIA capacity backstop</t>
        </is>
      </c>
      <c r="C70" s="77" t="inlineStr">
        <is>
          <t>Neocloud / AI-native</t>
        </is>
      </c>
      <c r="D70" s="75" t="inlineStr">
        <is>
          <t>NVIDIA</t>
        </is>
      </c>
      <c r="E70" s="78" t="n">
        <v>6.3</v>
      </c>
      <c r="F70" s="75" t="inlineStr">
        <is>
          <t>Vendor backstop of unsold capacity</t>
        </is>
      </c>
      <c r="G70" s="75" t="inlineStr">
        <is>
          <t>n/a</t>
        </is>
      </c>
      <c r="H70" s="75" t="inlineStr">
        <is>
          <t>to 2032</t>
        </is>
      </c>
      <c r="I70" s="75" t="inlineStr">
        <is>
          <t>De-risks CoreWeave</t>
        </is>
      </c>
      <c r="J70" s="79" t="inlineStr">
        <is>
          <t>theaiinsider</t>
        </is>
      </c>
    </row>
    <row r="71">
      <c r="A71" s="14" t="inlineStr">
        <is>
          <t>8) EQUITY &amp; SOVEREIGN COMMITMENTS (memo — not debt)</t>
        </is>
      </c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 ht="30" customHeight="1">
      <c r="A72" s="70" t="inlineStr">
        <is>
          <t>2024-25</t>
        </is>
      </c>
      <c r="B72" s="71" t="inlineStr">
        <is>
          <t>Microsoft — AI Infrastructure Partnership (AIP)</t>
        </is>
      </c>
      <c r="C72" s="72" t="inlineStr">
        <is>
          <t>Hyperscaler</t>
        </is>
      </c>
      <c r="D72" s="70" t="inlineStr">
        <is>
          <t>Microsoft, BlackRock/GIP, MGX (+ NVIDIA)</t>
        </is>
      </c>
      <c r="E72" s="73" t="n">
        <v>100</v>
      </c>
      <c r="F72" s="70" t="inlineStr">
        <is>
          <t>Co-investment fund (equity sponsor)</t>
        </is>
      </c>
      <c r="G72" s="70" t="inlineStr">
        <is>
          <t>n/a</t>
        </is>
      </c>
      <c r="H72" s="70" t="inlineStr">
        <is>
          <t>n/a</t>
        </is>
      </c>
      <c r="I72" s="70" t="inlineStr">
        <is>
          <t>Up to $100bn incl. debt; first deployment $40bn Aligned (Oct 2025); Microsoft offtake underwrites it</t>
        </is>
      </c>
      <c r="J72" s="74" t="inlineStr">
        <is>
          <t>FT; chiragvadhia</t>
        </is>
      </c>
    </row>
    <row r="73" ht="30" customHeight="1">
      <c r="A73" s="95" t="inlineStr">
        <is>
          <t>2025-30</t>
        </is>
      </c>
      <c r="B73" s="96" t="inlineStr">
        <is>
          <t>HUMAIN (Saudi PIF)</t>
        </is>
      </c>
      <c r="C73" s="97" t="inlineStr">
        <is>
          <t>Sovereign cloud</t>
        </is>
      </c>
      <c r="D73" s="95" t="inlineStr">
        <is>
          <t>Public Investment Fund</t>
        </is>
      </c>
      <c r="E73" s="98" t="n">
        <v>100</v>
      </c>
      <c r="F73" s="95" t="inlineStr">
        <is>
          <t>Sovereign equity</t>
        </is>
      </c>
      <c r="G73" s="95" t="inlineStr">
        <is>
          <t>n/a</t>
        </is>
      </c>
      <c r="H73" s="95" t="inlineStr">
        <is>
          <t>n/a</t>
        </is>
      </c>
      <c r="I73" s="95" t="inlineStr">
        <is>
          <t>11 DCs / 2.2GW; ~600k GPUs</t>
        </is>
      </c>
      <c r="J73" s="99" t="inlineStr">
        <is>
          <t>Presenc AI; NYU DRI</t>
        </is>
      </c>
    </row>
    <row r="74" ht="30" customHeight="1">
      <c r="A74" s="95" t="inlineStr">
        <is>
          <t>2025-26</t>
        </is>
      </c>
      <c r="B74" s="96" t="inlineStr">
        <is>
          <t>MGX / Mubadala (UAE)</t>
        </is>
      </c>
      <c r="C74" s="97" t="inlineStr">
        <is>
          <t>Sovereign cloud</t>
        </is>
      </c>
      <c r="D74" s="95" t="inlineStr">
        <is>
          <t>Mubadala / MGX</t>
        </is>
      </c>
      <c r="E74" s="98" t="n">
        <v>40</v>
      </c>
      <c r="F74" s="95" t="inlineStr">
        <is>
          <t>Sovereign equity / infra</t>
        </is>
      </c>
      <c r="G74" s="95" t="inlineStr">
        <is>
          <t>n/a</t>
        </is>
      </c>
      <c r="H74" s="95" t="inlineStr">
        <is>
          <t>n/a</t>
        </is>
      </c>
      <c r="I74" s="95" t="inlineStr">
        <is>
          <t>Anchored Stargate; co-bought Aligned</t>
        </is>
      </c>
      <c r="J74" s="99" t="inlineStr">
        <is>
          <t>NYU DRI</t>
        </is>
      </c>
    </row>
    <row r="75" ht="30" customHeight="1">
      <c r="A75" s="95" t="inlineStr">
        <is>
          <t>2025-30</t>
        </is>
      </c>
      <c r="B75" s="96" t="inlineStr">
        <is>
          <t>Stargate UAE / G42 / Khazna</t>
        </is>
      </c>
      <c r="C75" s="97" t="inlineStr">
        <is>
          <t>Sovereign cloud</t>
        </is>
      </c>
      <c r="D75" s="95" t="inlineStr">
        <is>
          <t>Mubadala, MGX, Microsoft, G42</t>
        </is>
      </c>
      <c r="E75" s="98" t="n">
        <v>30</v>
      </c>
      <c r="F75" s="95" t="inlineStr">
        <is>
          <t>Sovereign equity + JV</t>
        </is>
      </c>
      <c r="G75" s="95" t="inlineStr">
        <is>
          <t>n/a</t>
        </is>
      </c>
      <c r="H75" s="95" t="inlineStr">
        <is>
          <t>n/a</t>
        </is>
      </c>
      <c r="I75" s="95" t="inlineStr">
        <is>
          <t>5GW Abu Dhabi campus</t>
        </is>
      </c>
      <c r="J75" s="99" t="inlineStr">
        <is>
          <t>Khaleej Times; dcpulse</t>
        </is>
      </c>
    </row>
    <row r="76" ht="30" customHeight="1">
      <c r="A76" s="95" t="inlineStr">
        <is>
          <t>Late 2025</t>
        </is>
      </c>
      <c r="B76" s="96" t="inlineStr">
        <is>
          <t>Qatar (QIA / Qai) + Brookfield</t>
        </is>
      </c>
      <c r="C76" s="97" t="inlineStr">
        <is>
          <t>Sovereign cloud</t>
        </is>
      </c>
      <c r="D76" s="95" t="inlineStr">
        <is>
          <t>QIA / Qai, Brookfield</t>
        </is>
      </c>
      <c r="E76" s="98" t="n">
        <v>20</v>
      </c>
      <c r="F76" s="95" t="inlineStr">
        <is>
          <t>JV / infra</t>
        </is>
      </c>
      <c r="G76" s="95" t="inlineStr">
        <is>
          <t>n/a</t>
        </is>
      </c>
      <c r="H76" s="95" t="inlineStr">
        <is>
          <t>n/a</t>
        </is>
      </c>
      <c r="I76" s="95" t="inlineStr">
        <is>
          <t>AI-infrastructure JV</t>
        </is>
      </c>
      <c r="J76" s="99" t="inlineStr">
        <is>
          <t>NYU DRI</t>
        </is>
      </c>
    </row>
    <row r="77" ht="30" customHeight="1">
      <c r="A77" s="75" t="inlineStr">
        <is>
          <t>2025</t>
        </is>
      </c>
      <c r="B77" s="76" t="inlineStr">
        <is>
          <t>SpaceX / xAI — $10bn raise</t>
        </is>
      </c>
      <c r="C77" s="77" t="inlineStr">
        <is>
          <t>Neocloud / AI-native</t>
        </is>
      </c>
      <c r="D77" s="75" t="inlineStr">
        <is>
          <t>Morgan Stanley</t>
        </is>
      </c>
      <c r="E77" s="78" t="n">
        <v>10</v>
      </c>
      <c r="F77" s="75" t="inlineStr">
        <is>
          <t>$5bn debt + $5bn equity</t>
        </is>
      </c>
      <c r="G77" s="75" t="inlineStr">
        <is>
          <t>n/a</t>
        </is>
      </c>
      <c r="H77" s="75" t="inlineStr">
        <is>
          <t>n/a</t>
        </is>
      </c>
      <c r="I77" s="75" t="inlineStr">
        <is>
          <t>Debt portion also in group 3</t>
        </is>
      </c>
      <c r="J77" s="79" t="inlineStr">
        <is>
          <t>CNBC</t>
        </is>
      </c>
    </row>
    <row r="78" ht="30" customHeight="1">
      <c r="A78" s="75" t="inlineStr">
        <is>
          <t>2025-26</t>
        </is>
      </c>
      <c r="B78" s="76" t="inlineStr">
        <is>
          <t>CoreWeave — equity</t>
        </is>
      </c>
      <c r="C78" s="77" t="inlineStr">
        <is>
          <t>Neocloud / AI-native</t>
        </is>
      </c>
      <c r="D78" s="75" t="inlineStr">
        <is>
          <t>NVIDIA; IPO</t>
        </is>
      </c>
      <c r="E78" s="78" t="n">
        <v>3.5</v>
      </c>
      <c r="F78" s="75" t="inlineStr">
        <is>
          <t>IPO ($1.5bn) + NVIDIA strategic ($2bn)</t>
        </is>
      </c>
      <c r="G78" s="75" t="inlineStr">
        <is>
          <t>n/a</t>
        </is>
      </c>
      <c r="H78" s="75" t="inlineStr">
        <is>
          <t>n/a</t>
        </is>
      </c>
      <c r="I78" s="75" t="inlineStr">
        <is>
          <t>Equity (not debt)</t>
        </is>
      </c>
      <c r="J78" s="79" t="inlineStr">
        <is>
          <t>CNBC; CoreWeave</t>
        </is>
      </c>
    </row>
    <row r="79">
      <c r="A79" s="14" t="inlineStr">
        <is>
          <t>9) CONTEXT / FRAMEWORKS / PROJECTIONS (memo)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 ht="30" customHeight="1">
      <c r="A80" s="85" t="inlineStr">
        <is>
          <t>2025-28</t>
        </is>
      </c>
      <c r="B80" s="86" t="inlineStr">
        <is>
          <t>Market — private credit for AI data centers</t>
        </is>
      </c>
      <c r="C80" s="87" t="inlineStr">
        <is>
          <t>Context / market</t>
        </is>
      </c>
      <c r="D80" s="85" t="inlineStr">
        <is>
          <t>Industry-wide</t>
        </is>
      </c>
      <c r="E80" s="88" t="n">
        <v>800</v>
      </c>
      <c r="F80" s="85" t="inlineStr">
        <is>
          <t>Projection</t>
        </is>
      </c>
      <c r="G80" s="85" t="inlineStr">
        <is>
          <t>n/a</t>
        </is>
      </c>
      <c r="H80" s="85" t="inlineStr">
        <is>
          <t>n/a</t>
        </is>
      </c>
      <c r="I80" s="85" t="inlineStr">
        <is>
          <t>&gt;$200bn already outstanding</t>
        </is>
      </c>
      <c r="J80" s="89" t="inlineStr">
        <is>
          <t>Morgan Stanley; Quinn Emanuel</t>
        </is>
      </c>
    </row>
    <row r="81" ht="30" customHeight="1">
      <c r="A81" s="85" t="inlineStr">
        <is>
          <t>2025</t>
        </is>
      </c>
      <c r="B81" s="86" t="inlineStr">
        <is>
          <t>Insurance-linked platforms — private credit</t>
        </is>
      </c>
      <c r="C81" s="87" t="inlineStr">
        <is>
          <t>Context / market</t>
        </is>
      </c>
      <c r="D81" s="85" t="inlineStr">
        <is>
          <t>Athene, Global Atlantic, etc.</t>
        </is>
      </c>
      <c r="E81" s="88" t="n">
        <v>180</v>
      </c>
      <c r="F81" s="85" t="inlineStr">
        <is>
          <t>Insurance capital into private credit</t>
        </is>
      </c>
      <c r="G81" s="85" t="inlineStr">
        <is>
          <t>n/a</t>
        </is>
      </c>
      <c r="H81" s="85" t="inlineStr">
        <is>
          <t>n/a</t>
        </is>
      </c>
      <c r="I81" s="85" t="inlineStr">
        <is>
          <t>~25% of global private credit AUM</t>
        </is>
      </c>
      <c r="J81" s="89" t="inlineStr">
        <is>
          <t>McKinsey; ABF Journal</t>
        </is>
      </c>
    </row>
    <row r="82" ht="30" customHeight="1">
      <c r="A82" s="85" t="inlineStr">
        <is>
          <t>2026-28</t>
        </is>
      </c>
      <c r="B82" s="86" t="inlineStr">
        <is>
          <t>Colocation — DC securitization supply</t>
        </is>
      </c>
      <c r="C82" s="87" t="inlineStr">
        <is>
          <t>Context / market</t>
        </is>
      </c>
      <c r="D82" s="85" t="inlineStr">
        <is>
          <t>Industry-wide</t>
        </is>
      </c>
      <c r="E82" s="88" t="n">
        <v>130</v>
      </c>
      <c r="F82" s="85" t="inlineStr">
        <is>
          <t>ABS + CMBS net issuance</t>
        </is>
      </c>
      <c r="G82" s="85" t="inlineStr">
        <is>
          <t>n/a</t>
        </is>
      </c>
      <c r="H82" s="85" t="inlineStr">
        <is>
          <t>n/a</t>
        </is>
      </c>
      <c r="I82" s="85" t="inlineStr">
        <is>
          <t>Morgan Stanley estimate</t>
        </is>
      </c>
      <c r="J82" s="89" t="inlineStr">
        <is>
          <t>CREFC; Impax</t>
        </is>
      </c>
    </row>
    <row r="83" ht="30" customHeight="1">
      <c r="A83" s="85" t="inlineStr">
        <is>
          <t>to 2026</t>
        </is>
      </c>
      <c r="B83" s="86" t="inlineStr">
        <is>
          <t>Sector — HY/unrated AI-infra debt</t>
        </is>
      </c>
      <c r="C83" s="87" t="inlineStr">
        <is>
          <t>Context / market</t>
        </is>
      </c>
      <c r="D83" s="85" t="inlineStr">
        <is>
          <t>Multiple</t>
        </is>
      </c>
      <c r="E83" s="88" t="n">
        <v>107</v>
      </c>
      <c r="F83" s="85" t="inlineStr">
        <is>
          <t>Funded + committed debt</t>
        </is>
      </c>
      <c r="G83" s="85" t="inlineStr">
        <is>
          <t>n/a</t>
        </is>
      </c>
      <c r="H83" s="85" t="inlineStr">
        <is>
          <t>n/a</t>
        </is>
      </c>
      <c r="I83" s="85" t="inlineStr">
        <is>
          <t>$68.7bn neoclouds / $38.7bn AI-native DCs</t>
        </is>
      </c>
      <c r="J83" s="89" t="inlineStr">
        <is>
          <t>Octus</t>
        </is>
      </c>
    </row>
    <row r="84" ht="30" customHeight="1">
      <c r="A84" s="85" t="inlineStr">
        <is>
          <t>2024</t>
        </is>
      </c>
      <c r="B84" s="86" t="inlineStr">
        <is>
          <t>KKR + Energy Capital Partners — partnership</t>
        </is>
      </c>
      <c r="C84" s="87" t="inlineStr">
        <is>
          <t>Context / market</t>
        </is>
      </c>
      <c r="D84" s="85" t="inlineStr">
        <is>
          <t>KKR, ECP</t>
        </is>
      </c>
      <c r="E84" s="88" t="n">
        <v>50</v>
      </c>
      <c r="F84" s="85" t="inlineStr">
        <is>
          <t>Strategic partnership</t>
        </is>
      </c>
      <c r="G84" s="85" t="inlineStr">
        <is>
          <t>n/a</t>
        </is>
      </c>
      <c r="H84" s="85" t="inlineStr">
        <is>
          <t>n/a</t>
        </is>
      </c>
      <c r="I84" s="85" t="inlineStr">
        <is>
          <t>Accelerate AI infrastructure</t>
        </is>
      </c>
      <c r="J84" s="89" t="inlineStr">
        <is>
          <t>Business Times</t>
        </is>
      </c>
    </row>
    <row r="85" ht="30" customHeight="1">
      <c r="A85" s="85" t="inlineStr">
        <is>
          <t>2025-28</t>
        </is>
      </c>
      <c r="B85" s="86" t="inlineStr">
        <is>
          <t>Broadcom + Apollo + Blackstone — platform</t>
        </is>
      </c>
      <c r="C85" s="87" t="inlineStr">
        <is>
          <t>Context / market</t>
        </is>
      </c>
      <c r="D85" s="85" t="inlineStr">
        <is>
          <t>Apollo, Blackstone, Broadcom</t>
        </is>
      </c>
      <c r="E85" s="100" t="n"/>
      <c r="F85" s="85" t="inlineStr">
        <is>
          <t>Platform framework</t>
        </is>
      </c>
      <c r="G85" s="85" t="inlineStr">
        <is>
          <t>&gt;20 GW</t>
        </is>
      </c>
      <c r="H85" s="85" t="inlineStr">
        <is>
          <t>to 2028</t>
        </is>
      </c>
      <c r="I85" s="85" t="inlineStr">
        <is>
          <t>Deploy &gt;20GW compute</t>
        </is>
      </c>
      <c r="J85" s="89" t="inlineStr">
        <is>
          <t>privatedebtnews</t>
        </is>
      </c>
    </row>
    <row r="87">
      <c r="A87" s="101" t="inlineStr">
        <is>
          <t>Selected sources:</t>
        </is>
      </c>
    </row>
    <row r="88">
      <c r="A88" s="102" t="inlineStr">
        <is>
          <t>Goldman Sachs Research — ~$5.3tn AI + data-center capex 2025-2030; private markets in DC financing.</t>
        </is>
      </c>
    </row>
    <row r="89">
      <c r="A89" s="102" t="inlineStr">
        <is>
          <t>Morgan Stanley — ~$2tn capex 2025-28 with &gt;$1tn debt; ~$800bn private credit for AI DCs.</t>
        </is>
      </c>
    </row>
    <row r="90">
      <c r="A90" s="102" t="inlineStr">
        <is>
          <t>Bank of America / BofA Securities — hyperscaler bond issuance ($121bn 2025; ~$175bn 2026E).</t>
        </is>
      </c>
    </row>
    <row r="91">
      <c r="A91" s="102" t="inlineStr">
        <is>
          <t>Moody's Ratings — hyperscaler capex (~$785bn 2026, ~$1tn 2027); $662bn off-B/S DC leases.</t>
        </is>
      </c>
    </row>
    <row r="92">
      <c r="A92" s="102" t="inlineStr">
        <is>
          <t>McKinsey — ~$2.7tn US (5.2tn global) data-center capex by 2030; insurance-linked private credit.</t>
        </is>
      </c>
    </row>
    <row r="93">
      <c r="A93" s="102" t="inlineStr">
        <is>
          <t>Octus — HY/unrated AI-infra debt (~$107bn to ~May 2026); ~14GW unfunded ≈ $344bn need.</t>
        </is>
      </c>
    </row>
    <row r="94">
      <c r="A94" s="102" t="inlineStr">
        <is>
          <t>Seaport Global (Andrew Cueter) — 'AI Data Centers (HY &amp; IG)' desk note, 12-13 Jun 2026: secured</t>
        </is>
      </c>
    </row>
    <row r="95">
      <c r="A95" s="102" t="inlineStr">
        <is>
          <t xml:space="preserve">  data-center bonds by tenant-credit tier (price/YTW/spread); Bloomberg, rating agencies, filings.</t>
        </is>
      </c>
    </row>
    <row r="96">
      <c r="A96" s="102" t="inlineStr">
        <is>
          <t>Company / press: Meta IR, FT, S&amp;P, IFR (Hyperion); Oracle IR, IFR, Reuters; CoreWeave IR; Blackstone;</t>
        </is>
      </c>
    </row>
    <row r="97">
      <c r="A97" s="102" t="inlineStr">
        <is>
          <t xml:space="preserve">  Apollo Academy; privatedebtnews; Bisnow; Quinn Emanuel; Build.inc; CNBC / WSJ / The Information (xAI).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2026-06-30T21:25:24Z</dcterms:created>
  <dcterms:modified xsi:type="dcterms:W3CDTF">2026-06-30T21:25:24Z</dcterms:modified>
</cp:coreProperties>
</file>