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README" sheetId="1" state="visible" r:id="rId3"/>
    <sheet name="Summary" sheetId="2" state="visible" r:id="rId4"/>
    <sheet name="CRWV_Duration" sheetId="3" state="visible" r:id="rId5"/>
    <sheet name="NBIS_Duration" sheetId="4" state="visible" r:id="rId6"/>
    <sheet name="Peer_Contracts" sheetId="5" state="visible" r:id="rId7"/>
    <sheet name="GPU_Spot_Prices" sheetId="6" state="visible" r:id="rId8"/>
    <sheet name="Spot_Exposure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<sst xmlns="http://schemas.openxmlformats.org/spreadsheetml/2006/main" count="864" uniqueCount="635">
  <si>
    <t xml:space="preserve">Neocloud contract duration &amp; spot-GPU price exposure</t>
  </si>
  <si>
    <t xml:space="preserve">Prepared 16 Oct 2026. Latest financial data: quarter ended 30 Jun 2026 (CoreWeave 10-Q, Nebius Q2'26 letter, IREN FY26 results). Prices: Oct-2026 indices.</t>
  </si>
  <si>
    <t xml:space="preserve">Purpose</t>
  </si>
  <si>
    <t xml:space="preserve">Quantify how long the revenue of GPU 'neoclouds' is locked up under take-or-pay / committed contracts, and how much of each company's revenue is exposed to the spot / on-demand GPU rental market (either directly, or indirectly via near-term re-contracting).</t>
  </si>
  <si>
    <t xml:space="preserve">Duration metric 1</t>
  </si>
  <si>
    <t xml:space="preserve">Backlog coverage (years) = contracted backlog / annualized revenue run-rate. Naive but comparable; overstated while capacity is still ramping (backlog includes undelivered capacity).</t>
  </si>
  <si>
    <t xml:space="preserve">Duration metric 2</t>
  </si>
  <si>
    <t xml:space="preserve">RPO-schedule-weighted remaining duration (CoreWeave only): the 10-Q discloses % of RPO recognized in months 0-24 / 25-48 / 49-78. Weighted average of bucket midpoints = average remaining life of a contracted dollar.</t>
  </si>
  <si>
    <t xml:space="preserve">Duration metric 3</t>
  </si>
  <si>
    <t xml:space="preserve">TCV-weighted contract term: bottom-up from individually disclosed contracts (term from first revenue to expiry). Remaining duration = TCV-weighted years from the as-of date to expiry.</t>
  </si>
  <si>
    <t xml:space="preserve">Spot exposure</t>
  </si>
  <si>
    <t xml:space="preserve">Share of run-rate revenue that is (a) on-demand / pay-as-you-go today, plus (b) contracted capacity whose initial term expires within 12 / 24 months and must be re-priced at market. Sensitivity = exposed revenue x spot price shock.</t>
  </si>
  <si>
    <t xml:space="preserve">Colour code</t>
  </si>
  <si>
    <t xml:space="preserve">Yellow = editable assumption / input. Green = formula output. White = disclosed data point (source in column notes and on the 'Sources' sheet).</t>
  </si>
  <si>
    <t xml:space="preserve">Caveats</t>
  </si>
  <si>
    <t xml:space="preserve">Backlog, RPO and 'customer commitments' are not like-for-like across companies (CoreWeave RPO is net of variable consideration; Nebius 'commitments' and private-company TCV figures are gross and may include optional capacity). Private-company figures are from press / IPO-filing coverage, not audited statements. Analyst assumptions are labelled as such; replace them with your own view.</t>
  </si>
  <si>
    <t xml:space="preserve">Sheet guide</t>
  </si>
  <si>
    <t xml:space="preserve">Summary</t>
  </si>
  <si>
    <t xml:space="preserve">One row per company: backlog, run-rate, coverage, duration, spot-exposed share, exposure rating.</t>
  </si>
  <si>
    <t xml:space="preserve">CRWV_Duration</t>
  </si>
  <si>
    <t xml:space="preserve">CoreWeave: quarterly backlog series, RPO recognition schedule -&gt; weighted duration and revenue cliff, disclosed contracts.</t>
  </si>
  <si>
    <t xml:space="preserve">NBIS_Duration</t>
  </si>
  <si>
    <t xml:space="preserve">Nebius: ARR series, contract-by-contract TCV-weighted term and remaining duration, deal taxonomy.</t>
  </si>
  <si>
    <t xml:space="preserve">Peer_Contracts</t>
  </si>
  <si>
    <t xml:space="preserve">IREN, Lambda, Nscale, Crusoe, Fluidstack and GPU-hosting landlords (APLD, CIFR, WULF, HUT, CORZ, GLXY): contract list and TCV-weighted terms.</t>
  </si>
  <si>
    <t xml:space="preserve">GPU_Spot_Prices</t>
  </si>
  <si>
    <t xml:space="preserve">H100 spot/contract price history (SemiAnalysis), current cross-provider spot/on-demand/reserved (Bargo, flatkey), term ladder (CCIR).</t>
  </si>
  <si>
    <t xml:space="preserve">Spot_Exposure</t>
  </si>
  <si>
    <t xml:space="preserve">Scenario model: revenue at risk under spot price shocks; mark-to-market of legacy contract rates vs today's spot.</t>
  </si>
  <si>
    <t xml:space="preserve">Sources</t>
  </si>
  <si>
    <t xml:space="preserve">Every source URL with retrieval date.</t>
  </si>
  <si>
    <t xml:space="preserve">Summary - contract duration &amp; spot GPU-price exposure by neocloud</t>
  </si>
  <si>
    <t xml:space="preserve">As of 16-Oct-2026; financials as of quarter ended 30-Jun-2026 unless noted. Green = linked formulas; see component sheets for sources.</t>
  </si>
  <si>
    <t xml:space="preserve">Company</t>
  </si>
  <si>
    <t xml:space="preserve">Ticker / status</t>
  </si>
  <si>
    <t xml:space="preserve">Model</t>
  </si>
  <si>
    <t xml:space="preserve">Backlog / commitments ($B)</t>
  </si>
  <si>
    <t xml:space="preserve">Run-rate basis ($B)</t>
  </si>
  <si>
    <t xml:space="preserve">Run-rate definition</t>
  </si>
  <si>
    <t xml:space="preserve">Backlog coverage (yrs)</t>
  </si>
  <si>
    <t xml:space="preserve">Wtd remaining duration (yrs)</t>
  </si>
  <si>
    <t xml:space="preserve">TCV-wtd original term (yrs)</t>
  </si>
  <si>
    <t xml:space="preserve">Longest tenor (yrs)</t>
  </si>
  <si>
    <t xml:space="preserve">On-demand / spot share</t>
  </si>
  <si>
    <t xml:space="preserve">Spot-exposed share (24 mo)</t>
  </si>
  <si>
    <t xml:space="preserve">Exposure rating</t>
  </si>
  <si>
    <t xml:space="preserve">Key counterparties / notes</t>
  </si>
  <si>
    <t xml:space="preserve">CoreWeave</t>
  </si>
  <si>
    <t xml:space="preserve">CRWV (Nasdaq)</t>
  </si>
  <si>
    <t xml:space="preserve">GPU cloud</t>
  </si>
  <si>
    <t xml:space="preserve">YE26 exit ARR guide mid</t>
  </si>
  <si>
    <t xml:space="preserve">Microsoft (~36%), OpenAI (~26%), Meta (~10%), NVIDIA backstop, Jane Street. 98% committed/take-or-pay. RPO: 41% &lt;24 mo, 39% 25-48 mo, 20% 49-78 mo. Shift toward 2-3 yr enterprise deals via DTL 5.5.</t>
  </si>
  <si>
    <t xml:space="preserve">Nebius Group</t>
  </si>
  <si>
    <t xml:space="preserve">NBIS (Nasdaq)</t>
  </si>
  <si>
    <t xml:space="preserve">YE26 ARR guide mid</t>
  </si>
  <si>
    <t xml:space="preserve">Microsoft $17.4B (to 2031), Meta $3B + $12B firm (+$15B option) - ~80% IG. Four &gt;$1B 1-3 yr AI-lab deals in Q2'26. Deliberately holds capacity for &lt;=6-mo premium deals / auctions.</t>
  </si>
  <si>
    <t xml:space="preserve">IREN</t>
  </si>
  <si>
    <t xml:space="preserve">IREN (Nasdaq)</t>
  </si>
  <si>
    <t xml:space="preserve">GPU cloud (ex-BTC miner)</t>
  </si>
  <si>
    <t xml:space="preserve">Contracted ARR for 2026 capacity (implied TCV = ARR x term)</t>
  </si>
  <si>
    <t xml:space="preserve">Microsoft $9.7B / 5-yr avg (20% prepay) = ~$1.9B ARR; frontier lab + Together, Fluidstack, Fireworks, Poolside, Cohere on 1-3 yr terms. RPO $5.1B (Jun-26). Recent 3-yr deals &gt;$20M/MW.</t>
  </si>
  <si>
    <t xml:space="preserve">Lambda</t>
  </si>
  <si>
    <t xml:space="preserve">Private</t>
  </si>
  <si>
    <t xml:space="preserve">n/d</t>
  </si>
  <si>
    <t xml:space="preserve">Medium</t>
  </si>
  <si>
    <t xml:space="preserve">Anthropic $35B / 6 yr (~70% of backlog); Microsoft multi-year; public on-demand cloud is spot-priced.</t>
  </si>
  <si>
    <t xml:space="preserve">Nscale</t>
  </si>
  <si>
    <t xml:space="preserve">IPO filing (NYSE)</t>
  </si>
  <si>
    <t xml:space="preserve">GPU cloud / AI factory</t>
  </si>
  <si>
    <t xml:space="preserve">Low</t>
  </si>
  <si>
    <t xml:space="preserve">Microsoft $43.8B through 2033; Anthropic $44.6B / 6 yr (contingent on financing). ~85% of TCV in two names.</t>
  </si>
  <si>
    <t xml:space="preserve">Crusoe</t>
  </si>
  <si>
    <t xml:space="preserve">GPU cloud + AI DCs</t>
  </si>
  <si>
    <t xml:space="preserve">Low-Medium</t>
  </si>
  <si>
    <t xml:space="preserve">&gt;$140B TCV, ~4.9 GW contracted; term mix not disclosed (Abilene lease to Oracle/OpenAI ~15 yr).</t>
  </si>
  <si>
    <t xml:space="preserve">Fluidstack</t>
  </si>
  <si>
    <t xml:space="preserve">GPU cloud + marketplace</t>
  </si>
  <si>
    <t xml:space="preserve">Medium-High</t>
  </si>
  <si>
    <t xml:space="preserve">Private cloud 2-3 yr; marketplace spot; 10-25 yr fixed hosting leases at WULF/CIFR/HUT with Google backstop.</t>
  </si>
  <si>
    <t xml:space="preserve">Applied Digital</t>
  </si>
  <si>
    <t xml:space="preserve">APLD (Nasdaq)</t>
  </si>
  <si>
    <t xml:space="preserve">Hosting landlord</t>
  </si>
  <si>
    <t xml:space="preserve">n/a</t>
  </si>
  <si>
    <t xml:space="preserve">None</t>
  </si>
  <si>
    <t xml:space="preserve">1,410 MW on 15-yr take-or-pay leases; CoreWeave 400 MW; ~$86B incl. renewal options.</t>
  </si>
  <si>
    <t xml:space="preserve">Cipher Digital</t>
  </si>
  <si>
    <t xml:space="preserve">CIFR (Nasdaq)</t>
  </si>
  <si>
    <t xml:space="preserve">AWS 15 yr; Fluidstack 10 yr + AI-lab 10-yr follow-on (20 yr site life).</t>
  </si>
  <si>
    <t xml:space="preserve">TeraWulf</t>
  </si>
  <si>
    <t xml:space="preserve">WULF (Nasdaq)</t>
  </si>
  <si>
    <t xml:space="preserve">Fluidstack 10 yr (Google backstop); Anthropic $19B / 20 yr.</t>
  </si>
  <si>
    <t xml:space="preserve">Hut 8</t>
  </si>
  <si>
    <t xml:space="preserve">HUT (Nasdaq)</t>
  </si>
  <si>
    <t xml:space="preserve">Fluidstack-for-Anthropic $7B / 15 yr; Google backstop.</t>
  </si>
  <si>
    <t xml:space="preserve">Core Scientific</t>
  </si>
  <si>
    <t xml:space="preserve">CORZ (Nasdaq)</t>
  </si>
  <si>
    <t xml:space="preserve">CoreWeave ~$10.2B / 12 yr.</t>
  </si>
  <si>
    <t xml:space="preserve">Galaxy Digital</t>
  </si>
  <si>
    <t xml:space="preserve">GLXY (Nasdaq)</t>
  </si>
  <si>
    <t xml:space="preserve">CoreWeave Helios 15 yr; &gt;$1.2B avg annual revenue.</t>
  </si>
  <si>
    <t xml:space="preserve">Key takeaways</t>
  </si>
  <si>
    <t xml:space="preserve">- CoreWeave: the average contracted dollar has ~2.6 years of remaining life (RPO-weighted), down from ~2.9 at Q1'26 as 2-3 yr enterprise deals are layered in; but the book still carries 5.5 years of YE26 run-rate and the longest tenors run to Dec-2032. Only 2% of revenue is on-demand. The real spot exposure is the yr-5+ cliff: contracted run-rate falls ~59% from yrs 3-4 to yrs 5-6.5 absent new bookings or re-contracting.</t>
  </si>
  <si>
    <t xml:space="preserve">- Nebius: ~80% of the $40B book is 5-yr investment-grade (Microsoft, Meta), giving a TCV-weighted term of ~4.4 yrs and ~5 yrs of YE26 ARR coverage. But management is explicitly running a barbell - 1-3 yr 'mid-term' AI-lab deals plus &lt;=6-month premium/auction capacity - so a larger share of revenue re-prices at market than at CoreWeave. Prepayments (70% of deals, &gt;$9B in 2026) mitigate credit, not price, risk.</t>
  </si>
  <si>
    <t xml:space="preserve">- IREN: Microsoft 5-yr (20% prepaid, IG-financed at 6%) anchors ~half of contracted ARR; the rest is 1-3 yr AI-lab paper that re-prices from 2027. Little on-demand; exposure is medium and skewed to renewal pricing.</t>
  </si>
  <si>
    <t xml:space="preserve">- Private peers are longer-dated on paper (Nscale 6-7 yr, Lambda 6 yr Anthropic) but concentrated in one or two AI-lab counterparties whose contracts are contingent on financing - credit/delivery risk rather than spot-price risk.</t>
  </si>
  <si>
    <t xml:space="preserve">- Spot today is ABOVE legacy contract rates: H100 spot ~$2.6 and on-demand ~$3.5 vs. 2024-25 vintage multi-year contracts at ~$1.4-2.1. 1-yr contract rates rose ~40% from the Oct-25 trough and on-demand sold out Feb-Apr 2026; CoreWeave lifted list prices ~25% in Jul-26. Near-term, re-pricing is an upside; the downside case is a repeat of the 2H23-2025 drawdown (-58%) landing on the 2028-29 renewal wave.</t>
  </si>
  <si>
    <t xml:space="preserve">- Hosting landlords (APLD, CIFR, WULF, HUT, CORZ, GLXY) have 10-20 yr fixed $/MW leases and zero direct GPU-price exposure; their risk is tenant credit - which loops back to CoreWeave's and Fluidstack's own re-contracting exposure.</t>
  </si>
  <si>
    <t xml:space="preserve">CoreWeave (CRWV) - contract duration from disclosed backlog &amp; RPO schedule</t>
  </si>
  <si>
    <t xml:space="preserve">Sources: 10-Q for quarter ended 30-Jun-2026; Q2'26 earnings presentation &amp; call (12-Aug-2026); prior quarterly press releases.</t>
  </si>
  <si>
    <t xml:space="preserve">A. Revenue backlog vs. revenue run-rate</t>
  </si>
  <si>
    <t xml:space="preserve">Quarter</t>
  </si>
  <si>
    <t xml:space="preserve">Period end</t>
  </si>
  <si>
    <t xml:space="preserve">Revenue ($M)</t>
  </si>
  <si>
    <t xml:space="preserve">Annualized revenue ($B)</t>
  </si>
  <si>
    <t xml:space="preserve">Revenue backlog ($B)</t>
  </si>
  <si>
    <t xml:space="preserve">Backlog coverage (yrs) = E / D</t>
  </si>
  <si>
    <t xml:space="preserve">QoQ backlog growth</t>
  </si>
  <si>
    <t xml:space="preserve">Note</t>
  </si>
  <si>
    <t xml:space="preserve">Q2'25</t>
  </si>
  <si>
    <t xml:space="preserve">Backlog = RPO ($30.1B); no 'other' amounts</t>
  </si>
  <si>
    <t xml:space="preserve">Q3'25</t>
  </si>
  <si>
    <t xml:space="preserve">OpenAI +$6.5B (Sep-25), Meta $14.2B (Sep-25), NVIDIA $6.3B backstop</t>
  </si>
  <si>
    <t xml:space="preserve">Q4'25</t>
  </si>
  <si>
    <t xml:space="preserve">FY25 revenue $5.1B</t>
  </si>
  <si>
    <t xml:space="preserve">Q1'26</t>
  </si>
  <si>
    <t xml:space="preserve">Meta $21B order form (Mar-26); RPO $98.8B</t>
  </si>
  <si>
    <t xml:space="preserve">Q2'26</t>
  </si>
  <si>
    <t xml:space="preserve">RPO $103.7B + $0.5B other; excludes &gt;$25B net new commitments added early Q3'26</t>
  </si>
  <si>
    <t xml:space="preserve">FY2026 revenue guidance ($B, low / high / mid)</t>
  </si>
  <si>
    <t xml:space="preserve">Raised on Q2'26 call (from $11.7-12.5B)</t>
  </si>
  <si>
    <t xml:space="preserve">YE2026 exit annualized run-rate revenue guidance ($B)</t>
  </si>
  <si>
    <t xml:space="preserve">Q2'26 call</t>
  </si>
  <si>
    <t xml:space="preserve">Net new commitments added early Q3'26 ($B, not in Q2 backlog)</t>
  </si>
  <si>
    <t xml:space="preserve">'More than $25 billion' - Q2'26 release footnote</t>
  </si>
  <si>
    <t xml:space="preserve">Backlog coverage vs. YE26 exit ARR (yrs)</t>
  </si>
  <si>
    <t xml:space="preserve">Less flattering than vs. trailing revenue because run-rate is ramping fast</t>
  </si>
  <si>
    <t xml:space="preserve">Pro-forma coverage incl. early-Q3 adds vs. YE26 exit ARR (yrs)</t>
  </si>
  <si>
    <t xml:space="preserve">B. RPO recognition schedule -&gt; weighted-average remaining contract duration</t>
  </si>
  <si>
    <t xml:space="preserve">Total unsatisfied RPO, 30-Jun-2026 ($B)</t>
  </si>
  <si>
    <t xml:space="preserve">Total unsatisfied RPO, 31-Mar-2026 ($B)</t>
  </si>
  <si>
    <t xml:space="preserve">Bucket (months after period end)</t>
  </si>
  <si>
    <t xml:space="preserve">Start month</t>
  </si>
  <si>
    <t xml:space="preserve">End month</t>
  </si>
  <si>
    <t xml:space="preserve">Midpoint (yrs)</t>
  </si>
  <si>
    <t xml:space="preserve">% of RPO - Q2'26</t>
  </si>
  <si>
    <t xml:space="preserve">RPO $B - Q2'26</t>
  </si>
  <si>
    <t xml:space="preserve">Annualized recognition $B/yr - Q2'26</t>
  </si>
  <si>
    <t xml:space="preserve">% of RPO - Q1'26 (bucket 3 = months 49-84)</t>
  </si>
  <si>
    <t xml:space="preserve">Months 1-24</t>
  </si>
  <si>
    <t xml:space="preserve">Months 25-48</t>
  </si>
  <si>
    <t xml:space="preserve">Months 49-78 (Q1'26: 49-84)</t>
  </si>
  <si>
    <t xml:space="preserve">Check: % sums to 100%</t>
  </si>
  <si>
    <t xml:space="preserve">Weighted-avg remaining duration, Q2'26 (yrs)</t>
  </si>
  <si>
    <t xml:space="preserve">SUMPRODUCT(bucket midpoint in yrs, % of RPO) - the average remaining life of a contracted dollar.</t>
  </si>
  <si>
    <t xml:space="preserve">Weighted-avg remaining duration, Q1'26 (yrs)</t>
  </si>
  <si>
    <t xml:space="preserve">Q1'26 third bucket ran to month 84 (midpoint 66 mo). Duration shortened QoQ as 2-3 yr enterprise deals were added.</t>
  </si>
  <si>
    <t xml:space="preserve">Maximum remaining tenor, Q2'26 (yrs)</t>
  </si>
  <si>
    <t xml:space="preserve">Longest-dated contract runs to ~Dec-2032 (Meta order form, Mar-2026)</t>
  </si>
  <si>
    <t xml:space="preserve">Contracted revenue 'cliff': yr 5-6.5 run-rate vs yr 3-4 run-rate</t>
  </si>
  <si>
    <t xml:space="preserve">Share of yr-3/4 contracted run-rate that must be re-contracted (at market) to hold revenue flat beyond yr 4, absent new bookings.</t>
  </si>
  <si>
    <t xml:space="preserve">Yr 1-2 contracted run-rate vs FY26 revenue guidance midpoint</t>
  </si>
  <si>
    <t xml:space="preserve">Backlog implies ~1.7x FY26 revenue per year over the next 24 months - consistent with YE26 exit ARR guide of $18.5-19.5B.</t>
  </si>
  <si>
    <t xml:space="preserve">C. Individually disclosed committed contracts (TCV-weighted term)</t>
  </si>
  <si>
    <t xml:space="preserve">Customer</t>
  </si>
  <si>
    <t xml:space="preserve">Signed / announced</t>
  </si>
  <si>
    <t xml:space="preserve">TCV ($B)</t>
  </si>
  <si>
    <t xml:space="preserve">Stated expiry</t>
  </si>
  <si>
    <t xml:space="preserve">Term from signing (yrs)</t>
  </si>
  <si>
    <t xml:space="preserve">Remaining from 30-Jun-26 (yrs)</t>
  </si>
  <si>
    <t xml:space="preserve">Credit tier</t>
  </si>
  <si>
    <t xml:space="preserve">Notes / source</t>
  </si>
  <si>
    <t xml:space="preserve">OpenAI (initial MSA order)</t>
  </si>
  <si>
    <t xml:space="preserve">AI lab (VC-funded)</t>
  </si>
  <si>
    <t xml:space="preserve">5-year agreement announced Mar-2025; expiry approximated as 5 yrs from signing</t>
  </si>
  <si>
    <t xml:space="preserve">OpenAI (expansion)</t>
  </si>
  <si>
    <t xml:space="preserve">Expansion announced May-2025, runs through Apr-2029</t>
  </si>
  <si>
    <t xml:space="preserve">OpenAI (Sep-25 order form)</t>
  </si>
  <si>
    <t xml:space="preserve">10-Q: 'committed to pay us up to approximately $6.5 billion through May 31, 2031'</t>
  </si>
  <si>
    <t xml:space="preserve">Meta (Sep-25 order form)</t>
  </si>
  <si>
    <t xml:space="preserve">Investment grade</t>
  </si>
  <si>
    <t xml:space="preserve">8-K Sep-2025: through 14-Dec-2031</t>
  </si>
  <si>
    <t xml:space="preserve">Meta (Mar-26 order form)</t>
  </si>
  <si>
    <t xml:space="preserve">10-Q: 'up to approximately $21.0 billion' incl. new capacity through 20-Dec-2032 and option exercise through 10-Apr-2032</t>
  </si>
  <si>
    <t xml:space="preserve">NVIDIA (unsold-capacity backstop)</t>
  </si>
  <si>
    <t xml:space="preserve">Commitment to purchase residual unsold capacity through 13-Apr-2032</t>
  </si>
  <si>
    <t xml:space="preserve">Jane Street</t>
  </si>
  <si>
    <t xml:space="preserve">Private financial (unrated)</t>
  </si>
  <si>
    <t xml:space="preserve">10-Q: 'committed approximately $6.0 billion'; term not disclosed - excluded from weighted term</t>
  </si>
  <si>
    <t xml:space="preserve">Microsoft</t>
  </si>
  <si>
    <t xml:space="preserve">Largest customer (Customer A: 71% of Q2'25 and ~36% of Q2'26 revenue); contract values and expiries not disclosed</t>
  </si>
  <si>
    <t xml:space="preserve">Disclosed TCV with known expiry ($B) / TCV-weighted</t>
  </si>
  <si>
    <t xml:space="preserve">TCV-weighted original term (col E) and remaining duration (col F) of the individually disclosed book (~2/3 of RPO). Contracts without a disclosed expiry are excluded. Longer than the RPO-weighted figure because the disclosed mega-deals are the newest, longest-dated contracts; the undisclosed third (Microsoft 2023-24 vintage, enterprise) is shorter.</t>
  </si>
  <si>
    <t xml:space="preserve">Share of 30-Jun-26 RPO individually disclosed above</t>
  </si>
  <si>
    <t xml:space="preserve">D. Revenue mix: committed vs on-demand; customer concentration (10-Q)</t>
  </si>
  <si>
    <t xml:space="preserve">Metric</t>
  </si>
  <si>
    <t xml:space="preserve">6M'26</t>
  </si>
  <si>
    <t xml:space="preserve">6M'25</t>
  </si>
  <si>
    <t xml:space="preserve">Revenue from committed (take-or-pay) contracts, % of revenue</t>
  </si>
  <si>
    <t xml:space="preserve">10-Q: 'represented 98% of total revenue'</t>
  </si>
  <si>
    <t xml:space="preserve">Revenue from on-demand / pay-as-you-go, % of revenue</t>
  </si>
  <si>
    <t xml:space="preserve">Residual = direct spot/on-demand exposure</t>
  </si>
  <si>
    <t xml:space="preserve">Customer A (Microsoft, inferred), % of revenue</t>
  </si>
  <si>
    <t xml:space="preserve">Letters may map to different customers across periods</t>
  </si>
  <si>
    <t xml:space="preserve">Customer B (OpenAI, inferred), % of revenue</t>
  </si>
  <si>
    <t xml:space="preserve">Customer C, % of revenue</t>
  </si>
  <si>
    <t xml:space="preserve">Top-3 customers, % of revenue</t>
  </si>
  <si>
    <t xml:space="preserve">E. Management commentary on contract tenor (Q2'26 call, 12-Aug-2026)</t>
  </si>
  <si>
    <t xml:space="preserve">- 'A typical 5-year contract' remains the reference unit for hyperscaler / AI-lab deals; cost (capex) is front-loaded, financed by debt + customer prepayments.</t>
  </si>
  <si>
    <t xml:space="preserve">- DTL 5.5 financing lets CoreWeave finance 2- and 3-year enterprise contracts: 'These clients want to buy compute for two years or three years' - mix is shifting shorter at the margin.</t>
  </si>
  <si>
    <t xml:space="preserve">- Re-contracting: 'limited fleet expires soon'; an A100 (2020 architecture) contract was re-signed through 2029 'at an attractive price'; prior-generation pricing 'at or above where it was years ago'.</t>
  </si>
  <si>
    <t xml:space="preserve">- July 2026 list-price increase of ~25% across SKUs plus pass-through of component cost inflation; new Q2 contracts carried 5-10 pt higher contribution margins.</t>
  </si>
  <si>
    <t xml:space="preserve">- Business 'does not rely on re-contracting after initial customer term' - i.e. unit economics assume payback inside the first contract; residual value is upside.</t>
  </si>
  <si>
    <t xml:space="preserve">Nebius Group (NBIS) - contract duration from disclosed customer commitments</t>
  </si>
  <si>
    <t xml:space="preserve">Sources: Q2'26 shareholder letter &amp; press release (12-Aug-2026), Q2'26 earnings call, Q1'26 letter, company press releases on Microsoft / Meta agreements.</t>
  </si>
  <si>
    <t xml:space="preserve">A. Customer commitments vs. revenue run-rate</t>
  </si>
  <si>
    <t xml:space="preserve">ARR ($B, company-defined)</t>
  </si>
  <si>
    <t xml:space="preserve">Customer commitments ($B)</t>
  </si>
  <si>
    <t xml:space="preserve">Coverage vs ARR (yrs)</t>
  </si>
  <si>
    <t xml:space="preserve">Q4'25 revenue implied from Q1'26 +75% QoQ; ARR $1.25B</t>
  </si>
  <si>
    <t xml:space="preserve">Meta $27B framework ($12B firm + up to $15B) signed Mar-26</t>
  </si>
  <si>
    <t xml:space="preserve">'More than $40 billion of customer commitments'; AI cloud revenue $574.9M (98% of group)</t>
  </si>
  <si>
    <t xml:space="preserve">FY2026 guidance: revenue ($B) low / high / mid</t>
  </si>
  <si>
    <t xml:space="preserve">Reaffirmed on Q2'26 call</t>
  </si>
  <si>
    <t xml:space="preserve">FY2026 guidance: year-end ARR ($B) low / high / mid</t>
  </si>
  <si>
    <t xml:space="preserve">Coverage: commitments / YE26 ARR guidance midpoint (yrs)</t>
  </si>
  <si>
    <t xml:space="preserve">Comparable basis to CoreWeave 'coverage vs exit ARR'</t>
  </si>
  <si>
    <t xml:space="preserve">Expected 2026 customer prepayments ($B)</t>
  </si>
  <si>
    <t xml:space="preserve">'Over $9 billion'; 70% of Q2 deals included prepayment covering 50-60% of associated capex</t>
  </si>
  <si>
    <t xml:space="preserve">B. Contract-by-contract: TCV-weighted term and remaining duration (as of 30-Jun-2026)</t>
  </si>
  <si>
    <t xml:space="preserve">Counterparty</t>
  </si>
  <si>
    <t xml:space="preserve">Announced</t>
  </si>
  <si>
    <t xml:space="preserve">TCV ($B, firm)</t>
  </si>
  <si>
    <t xml:space="preserve">Stated term (yrs)</t>
  </si>
  <si>
    <t xml:space="preserve">Est. revenue start</t>
  </si>
  <si>
    <t xml:space="preserve">Est. expiry = start + term</t>
  </si>
  <si>
    <t xml:space="preserve">Microsoft (Vineland, NJ)</t>
  </si>
  <si>
    <t xml:space="preserve">$17.4B 'through 2031', expandable to $19.4B; all tranches delivered by Aug-2026. Start set to mid-point of tranche deliveries (Q4'25-Q3'26).</t>
  </si>
  <si>
    <t xml:space="preserve">Meta - agreement #1</t>
  </si>
  <si>
    <t xml:space="preserve">'Approximately $3B over five years' (Nov-2025)</t>
  </si>
  <si>
    <t xml:space="preserve">Meta - agreement #2 (dedicated capacity)</t>
  </si>
  <si>
    <t xml:space="preserve">$12B dedicated 5-yr capacity coming online early 2027; up to a further $15B of optional capacity NOT included here</t>
  </si>
  <si>
    <t xml:space="preserve">Reflection AI (mid-term)</t>
  </si>
  <si>
    <t xml:space="preserve">One of four Q2'26 landmark deals, '&gt;$1B average' each; mgmt: core AI-cloud contracts are 1-3 yrs -&gt; 2 yrs assumed (yellow)</t>
  </si>
  <si>
    <t xml:space="preserve">Cohere (mid-term)</t>
  </si>
  <si>
    <t xml:space="preserve">As above</t>
  </si>
  <si>
    <t xml:space="preserve">Unnamed US frontier lab (mid-term)</t>
  </si>
  <si>
    <t xml:space="preserve">Unnamed US quant trading firm (mid-term)</t>
  </si>
  <si>
    <t xml:space="preserve">Other / undisclosed (plug to $40B)</t>
  </si>
  <si>
    <t xml:space="preserve">Mixed</t>
  </si>
  <si>
    <t xml:space="preserve">Residual of the '&gt;$40B' headline not individually disclosed; 2-yr term assumed (yellow)</t>
  </si>
  <si>
    <t xml:space="preserve">Total / TCV-weighted</t>
  </si>
  <si>
    <t xml:space="preserve">TCV-weighted original term (col D) and remaining duration (col G) of the $40B book</t>
  </si>
  <si>
    <t xml:space="preserve">Share of commitments from investment-grade counterparties</t>
  </si>
  <si>
    <t xml:space="preserve">Share of commitments with term &lt;= 3 yrs (re-prices at market by 2028-29)</t>
  </si>
  <si>
    <t xml:space="preserve">Implied straight-line annual revenue from long-term IG book ($B/yr) = IG TCV / 5</t>
  </si>
  <si>
    <t xml:space="preserve">~$6.5B/yr once Meta #2 is live (2027) - i.e. most of the 2026 exit-ARR guide of $7-9B is IG long-term; remainder is 1-3 yr / short-term</t>
  </si>
  <si>
    <t xml:space="preserve">C. Management's three deal types (Q2'26 call) - the basis for spot-exposure assumptions</t>
  </si>
  <si>
    <t xml:space="preserve">Deal type</t>
  </si>
  <si>
    <t xml:space="preserve">Typical term</t>
  </si>
  <si>
    <t xml:space="preserve">Customer type</t>
  </si>
  <si>
    <t xml:space="preserve">Pricing</t>
  </si>
  <si>
    <t xml:space="preserve">Prepayment</t>
  </si>
  <si>
    <t xml:space="preserve">Role</t>
  </si>
  <si>
    <t xml:space="preserve">Spot-price exposure</t>
  </si>
  <si>
    <t xml:space="preserve">1. Long-term strategic</t>
  </si>
  <si>
    <t xml:space="preserve">5 yrs</t>
  </si>
  <si>
    <t xml:space="preserve">Investment-grade hyperscalers (Microsoft, Meta)</t>
  </si>
  <si>
    <t xml:space="preserve">Fixed; $17-27B TCV</t>
  </si>
  <si>
    <t xml:space="preserve">Yes - basis for asset-backed debt ($775M at SOFR+250)</t>
  </si>
  <si>
    <t xml:space="preserve">Finance build-out; collateral</t>
  </si>
  <si>
    <t xml:space="preserve">None during term; re-price at expiry (2031-32)</t>
  </si>
  <si>
    <t xml:space="preserve">2. Mid-term 'core AI cloud'</t>
  </si>
  <si>
    <t xml:space="preserve">1-3 yrs</t>
  </si>
  <si>
    <t xml:space="preserve">AI labs, enterprises, quant funds (Reflection, Cohere, etc.)</t>
  </si>
  <si>
    <t xml:space="preserve">$20-25M ACV per MW; payback 1y10m</t>
  </si>
  <si>
    <t xml:space="preserve">70% of Q2 deals; 50-60% of capex</t>
  </si>
  <si>
    <t xml:space="preserve">Core margin engine</t>
  </si>
  <si>
    <t xml:space="preserve">Re-prices at market every 1-3 yrs -&gt; medium exposure</t>
  </si>
  <si>
    <t xml:space="preserve">3. Short-term / capacity auctions</t>
  </si>
  <si>
    <t xml:space="preserve">&lt;= 6 months</t>
  </si>
  <si>
    <t xml:space="preserve">Time-bounded, high-urgency needs</t>
  </si>
  <si>
    <t xml:space="preserve">'Significant premium' to mid-term; first capacity auction Q2'26</t>
  </si>
  <si>
    <t xml:space="preserve">Varies</t>
  </si>
  <si>
    <t xml:space="preserve">Monetize unallocated capacity; mgmt deliberately withholds some 2027 capacity for this</t>
  </si>
  <si>
    <t xml:space="preserve">Direct spot exposure - priced off current market</t>
  </si>
  <si>
    <t xml:space="preserve">D. Other duration-relevant disclosures</t>
  </si>
  <si>
    <t xml:space="preserve">- Server &amp; network equipment depreciated over 5 years from 2026 (was 4) - 'based on usage patterns and current utilization commitments'.</t>
  </si>
  <si>
    <t xml:space="preserve">- Contracted power 5 GW by YE26; 'almost all of that power will come online over the next 3 to 3.5 years' - i.e. 2027-29 capacity is largely not yet contracted to customers.</t>
  </si>
  <si>
    <t xml:space="preserve">- 'We could sell today our entire 2027 capacity on these [mid-term] terms if we wanted to. But we are not doing this' - management is choosing to keep spot/short-term optionality.</t>
  </si>
  <si>
    <t xml:space="preserve">- 'We have tactically shortened how far in advance we sell capacity... selling closer to deployment' - improves price, lowers forward visibility.</t>
  </si>
  <si>
    <t xml:space="preserve">Other neoclouds &amp; GPU-hosting landlords - disclosed contracts and TCV-weighted terms</t>
  </si>
  <si>
    <t xml:space="preserve">GPU clouds sell compute ($/GPU-hr); hosting landlords lease powered shells ($/MW-yr) and carry no direct GPU-price exposure. Private-company figures from IPO filings / press.</t>
  </si>
  <si>
    <t xml:space="preserve">Business model</t>
  </si>
  <si>
    <t xml:space="preserve">Term (yrs)</t>
  </si>
  <si>
    <t xml:space="preserve">MW (IT)</t>
  </si>
  <si>
    <t xml:space="preserve">$M per MW-yr</t>
  </si>
  <si>
    <t xml:space="preserve">Prepay / credit support</t>
  </si>
  <si>
    <t xml:space="preserve">Microsoft (GB300, Childress TX)</t>
  </si>
  <si>
    <t xml:space="preserve">20% prepayment; $3.6B IG GPU financing at 6.0%</t>
  </si>
  <si>
    <t xml:space="preserve">'Average term of five years'; ~$1.94B ARR when fully commissioned; Horizon 1 delivered Aug-26, H2-4 by Q4'26</t>
  </si>
  <si>
    <t xml:space="preserve">Leading frontier AI lab (unnamed)</t>
  </si>
  <si>
    <t xml:space="preserve">Prepayments 45-55% of GPU capex</t>
  </si>
  <si>
    <t xml:space="preserve">FY26 results: 'recent 3-year contracts &gt;$20M revenue per MW (IT), ~2 year payback'; TCV n/d</t>
  </si>
  <si>
    <t xml:space="preserve">Together AI, Fluidstack, Fireworks, Poolside, Cohere, Perplexity, Figure, Fal, Higgsfield</t>
  </si>
  <si>
    <t xml:space="preserve">Prepayments on newer deals</t>
  </si>
  <si>
    <t xml:space="preserve">Multi-year (1-3 yr) contracts; $4B contracted ARR for 2026 capacity, $1B operating ARR (Aug-26); RPO $5.1B at 30-Jun-26</t>
  </si>
  <si>
    <t xml:space="preserve">Private (IPO filed/expected)</t>
  </si>
  <si>
    <t xml:space="preserve">Anthropic</t>
  </si>
  <si>
    <t xml:space="preserve">Asset-backed financing</t>
  </si>
  <si>
    <t xml:space="preserve">Reported $35B six-year deal; ~70% of ~$50B backlog</t>
  </si>
  <si>
    <t xml:space="preserve">Microsoft (GB300 NVL72)</t>
  </si>
  <si>
    <t xml:space="preserve">'Multibillion-dollar', 'multi-year'; term not disclosed</t>
  </si>
  <si>
    <t xml:space="preserve">S-1: $43.8B 'through 2033'; ~7-yr term assumed from 2026 start (yellow)</t>
  </si>
  <si>
    <t xml:space="preserve">Anthropic (West Virginia)</t>
  </si>
  <si>
    <t xml:space="preserve">Contingent on Nscale securing financing; cancellable on missed milestones</t>
  </si>
  <si>
    <t xml:space="preserve">Six-year supply agreement; together with Microsoft = ~85% of $103B TCV</t>
  </si>
  <si>
    <t xml:space="preserve">Other (plug to $103B)</t>
  </si>
  <si>
    <t xml:space="preserve">Residual of disclosed $103B total contract value</t>
  </si>
  <si>
    <t xml:space="preserve">Private ($30.9B valuation, Sep-26)</t>
  </si>
  <si>
    <t xml:space="preserve">GPU cloud + AI data centers</t>
  </si>
  <si>
    <t xml:space="preserve">Portfolio (OpenAI/Oracle Abilene et al.)</t>
  </si>
  <si>
    <t xml:space="preserve">'More than $140B total contracted value', ~4.9 GW contracted; customer-level terms not disclosed (Abilene lease to Oracle widely reported at 15 yrs)</t>
  </si>
  <si>
    <t xml:space="preserve">GPU cloud (private cloud + marketplace)</t>
  </si>
  <si>
    <t xml:space="preserve">Meta, sovereigns, AI labs (private cloud)</t>
  </si>
  <si>
    <t xml:space="preserve">25-50% upfront</t>
  </si>
  <si>
    <t xml:space="preserve">Private-cloud contracts typically 2-3 yrs; marketplace / brokerage side is spot-priced</t>
  </si>
  <si>
    <t xml:space="preserve">CoreWeave (Polaris Forge 1)</t>
  </si>
  <si>
    <t xml:space="preserve">Take-or-pay, non-cancellable</t>
  </si>
  <si>
    <t xml:space="preserve">10-K FY26: 400 MW, ~$11.0B, 15 yrs</t>
  </si>
  <si>
    <t xml:space="preserve">IG hyperscaler (Polaris Forge 2)</t>
  </si>
  <si>
    <t xml:space="preserve">Take-or-pay</t>
  </si>
  <si>
    <t xml:space="preserve">10-K FY26</t>
  </si>
  <si>
    <t xml:space="preserve">High-IG hyperscaler (Polaris Forge 3)</t>
  </si>
  <si>
    <t xml:space="preserve">High-IG hyperscaler (Delta Forge 1)</t>
  </si>
  <si>
    <t xml:space="preserve">High-IG hyperscaler (Delta Forge 2)</t>
  </si>
  <si>
    <t xml:space="preserve">10-K FY26; portfolio ~$86B if all renewal options exercised</t>
  </si>
  <si>
    <t xml:space="preserve">AWS (Black Pearl TX)</t>
  </si>
  <si>
    <t xml:space="preserve">IG tenant</t>
  </si>
  <si>
    <t xml:space="preserve">DCD / company release</t>
  </si>
  <si>
    <t xml:space="preserve">Fluidstack (Barber Lake TX)</t>
  </si>
  <si>
    <t xml:space="preserve">Google backstops $1.4B of Fluidstack obligations; warrants</t>
  </si>
  <si>
    <t xml:space="preserve">Initial 168 MW ($3.0B) + 39 MW expansion</t>
  </si>
  <si>
    <t xml:space="preserve">Unnamed AI lab (Barber Lake, follow-on)</t>
  </si>
  <si>
    <t xml:space="preserve">Binding commitment</t>
  </si>
  <si>
    <t xml:space="preserve">Ten-year lease starting when Fluidstack term ends -&gt; site contracted life 20 yrs, &gt;$9B</t>
  </si>
  <si>
    <t xml:space="preserve">Fluidstack (Lake Mariner NY, 2 deals)</t>
  </si>
  <si>
    <t xml:space="preserve">Google backstops $3.2B total</t>
  </si>
  <si>
    <t xml:space="preserve">$3.7B + $3.0B, 10-yr initial terms</t>
  </si>
  <si>
    <t xml:space="preserve">Anthropic (Hawesville KY)</t>
  </si>
  <si>
    <t xml:space="preserve">Expected IG credit support</t>
  </si>
  <si>
    <t xml:space="preserve">20-yr lease</t>
  </si>
  <si>
    <t xml:space="preserve">Fluidstack for Anthropic</t>
  </si>
  <si>
    <t xml:space="preserve">Google backstops lease payments for 15-yr base term</t>
  </si>
  <si>
    <t xml:space="preserve">DCD</t>
  </si>
  <si>
    <t xml:space="preserve">CoreWeave (series of contracts)</t>
  </si>
  <si>
    <t xml:space="preserve">~$10.2B over 12 yrs (2024-Feb 2025 series)</t>
  </si>
  <si>
    <t xml:space="preserve">CoreWeave (Helios TX)</t>
  </si>
  <si>
    <t xml:space="preserve">15-yr lease; Galaxy guides &gt;$1.2B average annual revenue -&gt; ~$18B TCV (yellow estimate)</t>
  </si>
  <si>
    <t xml:space="preserve">Roll-up by company (TCV-weighted term over contracts with both TCV and term disclosed)</t>
  </si>
  <si>
    <t xml:space="preserve">Disclosed TCV ($B)</t>
  </si>
  <si>
    <t xml:space="preserve">TCV with term ($B)</t>
  </si>
  <si>
    <t xml:space="preserve">TCV-weighted term (yrs)</t>
  </si>
  <si>
    <t xml:space="preserve">Longest term (yrs)</t>
  </si>
  <si>
    <t xml:space="preserve">Direct GPU spot exposure</t>
  </si>
  <si>
    <t xml:space="preserve">Comment</t>
  </si>
  <si>
    <t xml:space="preserve">Microsoft 5-yr = ~48% of $4B contracted ARR; balance is 1-3 yr AI-lab deals that re-price 2027-29; no meaningful on-demand book</t>
  </si>
  <si>
    <t xml:space="preserve">Anthropic 6-yr dominates backlog, but Lambda also runs a public on-demand cloud (1-Click Clusters) - spot-priced</t>
  </si>
  <si>
    <t xml:space="preserve">~85% of TCV in 6-7 yr Microsoft/Anthropic deals; Anthropic deal contingent on financing</t>
  </si>
  <si>
    <t xml:space="preserve">Portfolio TCV only; mix of long-dated DC leases (Abilene) and cloud contracts; on-demand cloud is small</t>
  </si>
  <si>
    <t xml:space="preserve">Marketplace brokerage is spot-priced; private cloud 2-3 yr; its own 10-25 yr hosting leases are fixed obligations (negative carry if GPU prices fall)</t>
  </si>
  <si>
    <t xml:space="preserve">Fixed $/MW-yr take-or-pay leases; exposure is tenant credit (CoreWeave) not GPU price</t>
  </si>
  <si>
    <t xml:space="preserve">As above; Google backstop on Fluidstack lease</t>
  </si>
  <si>
    <t xml:space="preserve">As above; 20-yr Anthropic lease</t>
  </si>
  <si>
    <t xml:space="preserve">CoreWeave is the tenant</t>
  </si>
  <si>
    <t xml:space="preserve">IREN - contracted-ARR build: ARR-weighted term, remaining duration and implied backlog coverage</t>
  </si>
  <si>
    <t xml:space="preserve">Component</t>
  </si>
  <si>
    <t xml:space="preserve">Contracted ARR ($B)</t>
  </si>
  <si>
    <t xml:space="preserve">Share of ARR</t>
  </si>
  <si>
    <t xml:space="preserve">Est. expiry</t>
  </si>
  <si>
    <t xml:space="preserve">Implied TCV ($B) = ARR x term</t>
  </si>
  <si>
    <t xml:space="preserve">Notes</t>
  </si>
  <si>
    <t xml:space="preserve">Microsoft (GB300, Childress)</t>
  </si>
  <si>
    <t xml:space="preserve">~$1.94B ARR when fully commissioned; tranches Aug-26 to Q4-26 -&gt; Oct-26 midpoint start; $9.7B TCV ties</t>
  </si>
  <si>
    <t xml:space="preserve">Other contracted ARR for 2026 capacity (AI labs, 1-3 yr)</t>
  </si>
  <si>
    <t xml:space="preserve">Residual of $4B contracted ARR; mix of 2025 1-2 yr deals and 2026 3-yr deals -&gt; 2.5-yr avg term, Apr-26 avg start (yellow assumptions)</t>
  </si>
  <si>
    <t xml:space="preserve">Total contracted ARR for 2026 capacity / ARR-weighted</t>
  </si>
  <si>
    <t xml:space="preserve">'$4bn contracted ARR for 2026 capacity' (FY26 release, Aug-26); $1B operating today</t>
  </si>
  <si>
    <t xml:space="preserve">Implied backlog coverage = implied TCV / contracted ARR (yrs)</t>
  </si>
  <si>
    <t xml:space="preserve">Cross-check: reported RPO was $5.1B at 30-Jun-26 (excludes tranches not yet accepted)</t>
  </si>
  <si>
    <t xml:space="preserve">GPU rental price benchmarks - spot, on-demand, reserved and term contracts ($/GPU-hour)</t>
  </si>
  <si>
    <t xml:space="preserve">Sources: SemiAnalysis GPU Spot-Contract Composite Index (H100, Bloomberg SAH100SC); Bargo cross-provider tracker (15-Oct-2026); CCIR term ladder (Oct-2026); flatkey.ai index (12-Oct-2026).</t>
  </si>
  <si>
    <t xml:space="preserve">A. H100 price history - SemiAnalysis composite index and 1-yr contract range (25th-75th pct)</t>
  </si>
  <si>
    <t xml:space="preserve">Period</t>
  </si>
  <si>
    <t xml:space="preserve">Composite index ($/hr)</t>
  </si>
  <si>
    <t xml:space="preserve">On-demand low</t>
  </si>
  <si>
    <t xml:space="preserve">On-demand high</t>
  </si>
  <si>
    <t xml:space="preserve">1-yr contract low</t>
  </si>
  <si>
    <t xml:space="preserve">1-yr contract high</t>
  </si>
  <si>
    <t xml:space="preserve">1-yr contract mid</t>
  </si>
  <si>
    <t xml:space="preserve">Index change vs 2H23 peak</t>
  </si>
  <si>
    <t xml:space="preserve">1H 2023</t>
  </si>
  <si>
    <t xml:space="preserve">Pre-index; contract range only</t>
  </si>
  <si>
    <t xml:space="preserve">2H 2023</t>
  </si>
  <si>
    <t xml:space="preserve">Peak scarcity pricing</t>
  </si>
  <si>
    <t xml:space="preserve">1Q 2024</t>
  </si>
  <si>
    <t xml:space="preserve">2Q 2024</t>
  </si>
  <si>
    <t xml:space="preserve">3Q 2024</t>
  </si>
  <si>
    <t xml:space="preserve">4Q 2024</t>
  </si>
  <si>
    <t xml:space="preserve">1Q 2025</t>
  </si>
  <si>
    <t xml:space="preserve">2Q 2025</t>
  </si>
  <si>
    <t xml:space="preserve">Jul 2025</t>
  </si>
  <si>
    <t xml:space="preserve">Aug 2025</t>
  </si>
  <si>
    <t xml:space="preserve">Sep 2025</t>
  </si>
  <si>
    <t xml:space="preserve">Oct 2025</t>
  </si>
  <si>
    <t xml:space="preserve">Trough in 1-yr contract pricing</t>
  </si>
  <si>
    <t xml:space="preserve">Nov 2025</t>
  </si>
  <si>
    <t xml:space="preserve">Dec 2025</t>
  </si>
  <si>
    <t xml:space="preserve">Jan 2026</t>
  </si>
  <si>
    <t xml:space="preserve">Feb 2026</t>
  </si>
  <si>
    <t xml:space="preserve">On-demand 'sold out' Feb-Apr 2026</t>
  </si>
  <si>
    <t xml:space="preserve">Mar 2026</t>
  </si>
  <si>
    <t xml:space="preserve">Apr 2026</t>
  </si>
  <si>
    <t xml:space="preserve">Latest SemiAnalysis public print; index ~$2.82 (Oct-2026 page)</t>
  </si>
  <si>
    <t xml:space="preserve">H100 composite: peak (2H23) -&gt; Mar-2026</t>
  </si>
  <si>
    <t xml:space="preserve">Spot/blended H100 price fell ~58% from peak over ~2.5 years</t>
  </si>
  <si>
    <t xml:space="preserve">H100 1-yr contract mid: 2H23 -&gt; Oct-2025 trough</t>
  </si>
  <si>
    <t xml:space="preserve">H100 1-yr contract mid: Oct-2025 trough -&gt; Apr-2026</t>
  </si>
  <si>
    <t xml:space="preserve">Contract pricing re-tightened +40% in 6 months as on-demand sold out - consistent with CoreWeave's ~25% list price hike (Jul-26)</t>
  </si>
  <si>
    <t xml:space="preserve">B. Current cross-provider averages (Bargo, updated 15-Oct-2026)</t>
  </si>
  <si>
    <t xml:space="preserve">GPU</t>
  </si>
  <si>
    <t xml:space="preserve">On-demand ($/hr)</t>
  </si>
  <si>
    <t xml:space="preserve">Spot ($/hr)</t>
  </si>
  <si>
    <t xml:space="preserve">Reserved ($/hr)</t>
  </si>
  <si>
    <t xml:space="preserve">Spot discount to on-demand</t>
  </si>
  <si>
    <t xml:space="preserve">Reserved discount to on-demand</t>
  </si>
  <si>
    <t xml:space="preserve"># providers</t>
  </si>
  <si>
    <t xml:space="preserve">On-demand YoY</t>
  </si>
  <si>
    <t xml:space="preserve">B200</t>
  </si>
  <si>
    <t xml:space="preserve">GB200 rack = B200 compute building block</t>
  </si>
  <si>
    <t xml:space="preserve">H200</t>
  </si>
  <si>
    <t xml:space="preserve">H100</t>
  </si>
  <si>
    <t xml:space="preserve">YoY n/d</t>
  </si>
  <si>
    <t xml:space="preserve">MI300X</t>
  </si>
  <si>
    <t xml:space="preserve">C. Term ladder - posted vs. contracted rates by tenor (CCIR, Oct-2026)</t>
  </si>
  <si>
    <t xml:space="preserve">GPU / layer</t>
  </si>
  <si>
    <t xml:space="preserve">On-demand</t>
  </si>
  <si>
    <t xml:space="preserve">3M</t>
  </si>
  <si>
    <t xml:space="preserve">6M</t>
  </si>
  <si>
    <t xml:space="preserve">1Y</t>
  </si>
  <si>
    <t xml:space="preserve">2Y</t>
  </si>
  <si>
    <t xml:space="preserve">3Y</t>
  </si>
  <si>
    <t xml:space="preserve">5Y</t>
  </si>
  <si>
    <t xml:space="preserve">B300 - posted</t>
  </si>
  <si>
    <t xml:space="preserve">B300 - contracted (filed deals)</t>
  </si>
  <si>
    <t xml:space="preserve">'b' = bundled deal</t>
  </si>
  <si>
    <t xml:space="preserve">B200 - posted</t>
  </si>
  <si>
    <t xml:space="preserve">B200 - contracted (filed deals)</t>
  </si>
  <si>
    <t xml:space="preserve">H200 - posted</t>
  </si>
  <si>
    <t xml:space="preserve">H200 - contracted (filed deals)</t>
  </si>
  <si>
    <t xml:space="preserve">-59% vs posted 1Y</t>
  </si>
  <si>
    <t xml:space="preserve">H100 - posted</t>
  </si>
  <si>
    <t xml:space="preserve">H100 - contracted (filed deals)</t>
  </si>
  <si>
    <t xml:space="preserve">-47% vs posted 2Y</t>
  </si>
  <si>
    <t xml:space="preserve">H100 posted term discount vs on-demand</t>
  </si>
  <si>
    <t xml:space="preserve">A 3-yr H100 commitment is priced ~48% below on-demand - the 'duration discount' a neocloud gives up for visibility</t>
  </si>
  <si>
    <t xml:space="preserve">D. flatkey.ai live index (12-Oct-2026) - marketplace asks</t>
  </si>
  <si>
    <t xml:space="preserve">Realtime on-demand</t>
  </si>
  <si>
    <t xml:space="preserve">Spot (interruptible)</t>
  </si>
  <si>
    <t xml:space="preserve">1-yr</t>
  </si>
  <si>
    <t xml:space="preserve">3-yr</t>
  </si>
  <si>
    <t xml:space="preserve">5-yr</t>
  </si>
  <si>
    <t xml:space="preserve">30-day trend</t>
  </si>
  <si>
    <t xml:space="preserve">B300</t>
  </si>
  <si>
    <t xml:space="preserve">2 live asks</t>
  </si>
  <si>
    <t xml:space="preserve">26 live asks</t>
  </si>
  <si>
    <t xml:space="preserve">37 live asks</t>
  </si>
  <si>
    <t xml:space="preserve">21 live asks; 1y/3y/5y = realtime x 0.75 / 0.55 / 0.45</t>
  </si>
  <si>
    <t xml:space="preserve">E. Reading across the indices</t>
  </si>
  <si>
    <t xml:space="preserve">- Index levels differ by construction: SemiAnalysis is hyperscaler-weighted (~$2.80), Bargo is a simple cross-provider list-price average ($3.49 on-demand / $2.62 spot), flatkey is marketplace asks ($2.49 / $1.99). Use the spread as the uncertainty band.</t>
  </si>
  <si>
    <t xml:space="preserve">- Legacy 2024-25 vintage multi-year H100 contracts were struck at ~$1.40-2.10/hr (CCIR contracted 2Y $1.40; SemiAnalysis 1-yr range $1.45-2.10 in H2'25). Today's spot ($2.0-2.6) and on-demand ($2.5-3.5) sit ABOVE those legacy rates -&gt; renewals are currently accretive, not dilutive.</t>
  </si>
  <si>
    <t xml:space="preserve">- Blackwell (B200/B300) contracted rates are 35-50% below posted - large committed buyers are capturing most of the duration discount; neocloud margin expansion is coming from utilization/mix and 2026 price hikes rather than from list price.</t>
  </si>
  <si>
    <t xml:space="preserve">- Hosting landlords (APLD, CIFR, WULF, HUT) price in $/MW-yr ($1.65-2.4M), not $/GPU-hr - no direct exposure to this sheet.</t>
  </si>
  <si>
    <t xml:space="preserve">Spot GPU-price exposure - scenario model (public neoclouds)</t>
  </si>
  <si>
    <t xml:space="preserve">Exposed revenue = run-rate x (on-demand share + share of contracts re-pricing within the horizon). Yellow cells are analyst assumptions - edit them.</t>
  </si>
  <si>
    <t xml:space="preserve">A. Inputs</t>
  </si>
  <si>
    <t xml:space="preserve">Run-rate revenue basis ($B)</t>
  </si>
  <si>
    <t xml:space="preserve">Basis</t>
  </si>
  <si>
    <t xml:space="preserve">On-demand / spot share of revenue today</t>
  </si>
  <si>
    <t xml:space="preserve">Share re-pricing within 12 mo</t>
  </si>
  <si>
    <t xml:space="preserve">Share re-pricing within 24 mo</t>
  </si>
  <si>
    <t xml:space="preserve">Spot-exposed share (12 mo)</t>
  </si>
  <si>
    <t xml:space="preserve">Backlog coverage vs exit ARR (yrs)</t>
  </si>
  <si>
    <t xml:space="preserve">Wtd remaining contract duration (yrs)</t>
  </si>
  <si>
    <t xml:space="preserve">Exposure rating (24 mo)</t>
  </si>
  <si>
    <t xml:space="preserve">Basis for assumptions</t>
  </si>
  <si>
    <t xml:space="preserve">CoreWeave (CRWV)</t>
  </si>
  <si>
    <t xml:space="preserve">YE26 exit ARR guide midpoint</t>
  </si>
  <si>
    <t xml:space="preserve">On-demand = 2% (10-Q). Re-pricing: 2023-24 vintage H100/A100 fleet on 3-4 yr terms (FY23 rev $0.2B, FY24 $1.9B) rolls off 2026-28; mgmt: 'limited fleet expires soon'. 5% / 12% of a ~$19B exit run-rate = ~$1B / $2.3B of annual revenue re-pricing - analyst assumption.</t>
  </si>
  <si>
    <t xml:space="preserve">Nebius (NBIS)</t>
  </si>
  <si>
    <t xml:space="preserve">YE26 ARR guide midpoint</t>
  </si>
  <si>
    <t xml:space="preserve">Not disclosed. IG long-term book = ~$6.5B/yr at full run, but Meta #2 ($12B) only starts 2027, so in 2026 IG contributes ~$4B/yr = ~50% of the $8B exit ARR. The other ~50% is 1-3 yr mid-term AI-lab paper (~38%) plus self-serve / &lt;=6-month premium deals / capacity auctions (~12%, treated as spot). Roughly half of the mid-term book (avg 2-yr term) re-prices within 24 mo -&gt; ~20%. Analyst assumptions.</t>
  </si>
  <si>
    <t xml:space="preserve">IREN (IREN)</t>
  </si>
  <si>
    <t xml:space="preserve">Contracted ARR for 2026 capacity (Aug-26)</t>
  </si>
  <si>
    <t xml:space="preserve">Microsoft $9.7B / 5 yr = ~$1.9B ARR (48% of $4B). Balance is 1-3 yr contracts with AI labs signed 2025-26 (Poolside, Together, Fluidstack, Fireworks, Cohere...), ~30% of which re-price within 24 mo. Dedicated clusters -&gt; negligible on-demand. Analyst assumptions.</t>
  </si>
  <si>
    <t xml:space="preserve">Rating thresholds (24-mo spot-exposed share): Low &lt; 15%, Medium 15-35%, High &gt; 35%</t>
  </si>
  <si>
    <t xml:space="preserve">B. Revenue sensitivity to a spot-price shock applied to the exposed share (12-month horizon)</t>
  </si>
  <si>
    <t xml:space="preserve">Spot price shock -&gt;</t>
  </si>
  <si>
    <t xml:space="preserve">Shocks are vs. today's spot; +25% = CoreWeave's Jul-26 list increase; -40% approximates the 2024-25 H100 drawdown (see GPU_Spot_Prices)</t>
  </si>
  <si>
    <t xml:space="preserve">Revenue impact, $B (12-mo exposed share)</t>
  </si>
  <si>
    <t xml:space="preserve">Scenario 1</t>
  </si>
  <si>
    <t xml:space="preserve">Scenario 2</t>
  </si>
  <si>
    <t xml:space="preserve">Scenario 3</t>
  </si>
  <si>
    <t xml:space="preserve">Scenario 4</t>
  </si>
  <si>
    <t xml:space="preserve">Scenario 5</t>
  </si>
  <si>
    <t xml:space="preserve">Scenario 6</t>
  </si>
  <si>
    <t xml:space="preserve">Revenue impact, % of run-rate (12-mo)</t>
  </si>
  <si>
    <t xml:space="preserve">Revenue impact, % of run-rate (24-mo exposed share)</t>
  </si>
  <si>
    <t xml:space="preserve">C. Mark-to-market: legacy contracted H100 rate vs. today's market (renewal upside / downside buffer)</t>
  </si>
  <si>
    <t xml:space="preserve">Value</t>
  </si>
  <si>
    <t xml:space="preserve">Legacy multi-year contracted H100 rate ($/hr) - 2024-25 vintage</t>
  </si>
  <si>
    <t xml:space="preserve">Midpoint of CCIR contracted 2Y ($1.40) and SemiAnalysis H2'25 1-yr range ($1.45-2.10); edit for your own book</t>
  </si>
  <si>
    <t xml:space="preserve">Current H100 spot ($/hr, Bargo)</t>
  </si>
  <si>
    <t xml:space="preserve">Current H100 on-demand ($/hr, Bargo)</t>
  </si>
  <si>
    <t xml:space="preserve">Current H100 posted 3-yr rate ($/hr, CCIR)</t>
  </si>
  <si>
    <t xml:space="preserve">Spot premium / (discount) to legacy contract rate</t>
  </si>
  <si>
    <t xml:space="preserve">Positive = expiring contracts can be re-let above their old rate (spot exposure is currently an upside)</t>
  </si>
  <si>
    <t xml:space="preserve">Spot decline that would make renewals dilutive (buffer)</t>
  </si>
  <si>
    <t xml:space="preserve">Spot would need to fall this much before a legacy-rate renewal loses revenue</t>
  </si>
  <si>
    <t xml:space="preserve">3-yr re-contract today vs legacy rate</t>
  </si>
  <si>
    <t xml:space="preserve">Locking a new 3-yr term today is roughly flat to legacy economics - the duration discount offsets the spot premium</t>
  </si>
  <si>
    <t xml:space="preserve">Peak-to-trough H100 drawdown 2H23 -&gt; Mar-26 (reference downside)</t>
  </si>
  <si>
    <t xml:space="preserve">The worst historical realized spot move for a GPU generation - use as a stress case for the shock grid</t>
  </si>
  <si>
    <t xml:space="preserve">D. Qualitative exposure - private neoclouds and landlords</t>
  </si>
  <si>
    <t xml:space="preserve">Direct spot exposure</t>
  </si>
  <si>
    <t xml:space="preserve">Indirect (re-contracting) exposure</t>
  </si>
  <si>
    <t xml:space="preserve">Lambda (private)</t>
  </si>
  <si>
    <t xml:space="preserve">Public on-demand cloud and 1-Click Clusters are spot-priced; Anthropic 6-yr ($35B) and Microsoft multi-year deals now ~70%+ of ~$50B backlog.</t>
  </si>
  <si>
    <t xml:space="preserve">Nscale (IPO)</t>
  </si>
  <si>
    <t xml:space="preserve">~85% of $103B TCV in 6-7 yr Microsoft/Anthropic contracts; risk is delivery/financing, not spot price.</t>
  </si>
  <si>
    <t xml:space="preserve">Crusoe (private)</t>
  </si>
  <si>
    <t xml:space="preserve">&gt;$140B TCV, ~4.9 GW; largely long-dated AI-factory leases; cloud on-demand is a small share.</t>
  </si>
  <si>
    <t xml:space="preserve">Fluidstack (private)</t>
  </si>
  <si>
    <t xml:space="preserve">High (marketplace)</t>
  </si>
  <si>
    <t xml:space="preserve">Medium (2-3 yr private cloud)</t>
  </si>
  <si>
    <t xml:space="preserve">Brokerage resells third-party capacity at spot; carries 10-25 yr fixed hosting leases (WULF, CIFR, HUT) - negative carry if GPU rents fall; Google backstops rent.</t>
  </si>
  <si>
    <t xml:space="preserve">Hosting landlords (APLD, CIFR, WULF, HUT, CORZ, GLXY)</t>
  </si>
  <si>
    <t xml:space="preserve">None (10-20 yr fixed $/MW leases)</t>
  </si>
  <si>
    <t xml:space="preserve">Exposure is tenant credit (CoreWeave / Fluidstack) rather than GPU price; renewal options extend to 25-30 yrs.</t>
  </si>
  <si>
    <t xml:space="preserve">Sources (retrieved 16-Oct-2026)</t>
  </si>
  <si>
    <t xml:space="preserve">#</t>
  </si>
  <si>
    <t xml:space="preserve">Company / topic</t>
  </si>
  <si>
    <t xml:space="preserve">Document</t>
  </si>
  <si>
    <t xml:space="preserve">URL</t>
  </si>
  <si>
    <t xml:space="preserve">Used for</t>
  </si>
  <si>
    <t xml:space="preserve">Form 10-Q, quarter ended 30-Jun-2026 (filed Aug-2026)</t>
  </si>
  <si>
    <t xml:space="preserve">https://www.sec.gov/Archives/edgar/data/1769628/000176962826000366/crwv-20260630.htm</t>
  </si>
  <si>
    <t xml:space="preserve">RPO $103.7B and 41/39/20 schedule; 98% committed revenue; customer concentration; OpenAI/Meta/Jane Street contract terms</t>
  </si>
  <si>
    <t xml:space="preserve">Form 10-Q, quarter ended 31-Mar-2026</t>
  </si>
  <si>
    <t xml:space="preserve">https://www.sec.gov/Archives/edgar/data/1769628/000176962826000222/crwv-20260331.htm</t>
  </si>
  <si>
    <t xml:space="preserve">RPO $98.8B and 36/39/25 schedule (49-84 mo)</t>
  </si>
  <si>
    <t xml:space="preserve">Q2'26 earnings presentation (12-Aug-2026)</t>
  </si>
  <si>
    <t xml:space="preserve">https://static.seekingalpha.com/uploads/sa_presentations/36/134036/original.pdf</t>
  </si>
  <si>
    <t xml:space="preserve">Revenue backlog $104.2B reconciliation; &gt;$25B early-Q3 commitments; contracted power</t>
  </si>
  <si>
    <t xml:space="preserve">Q2'26 earnings call transcript</t>
  </si>
  <si>
    <t xml:space="preserve">https://gloom.sh/stocks/crwv/transcripts/q2-2026</t>
  </si>
  <si>
    <t xml:space="preserve">FY26 guidance ($12.4-13.2B rev; $18.5-19.5B exit ARR); DTL 5.5 / 2-3 yr enterprise contracts; A100 re-contract to 2029; ~25% July price increase</t>
  </si>
  <si>
    <t xml:space="preserve">Q3'25, Q4'25, Q1'26, Q2'26 results press releases</t>
  </si>
  <si>
    <t xml:space="preserve">https://investors.coreweave.com/news/</t>
  </si>
  <si>
    <t xml:space="preserve">Quarterly revenue and backlog series ($55.6B / $66.8B / $99.4B / ~$104B)</t>
  </si>
  <si>
    <t xml:space="preserve">Nebius</t>
  </si>
  <si>
    <t xml:space="preserve">Q2'26 shareholder letter (12-Aug-2026)</t>
  </si>
  <si>
    <t xml:space="preserve">https://assets.nebius.com/assets/4462517b-ce83-41f2-96ed-f2ac1bc06a05/SHLQ226%20%281%29.pdf-0</t>
  </si>
  <si>
    <t xml:space="preserve">&gt;$40B customer commitments; ARR $3.0B; prepayments; payback 1y10m; 5-yr depreciation; 5 GW contracted power</t>
  </si>
  <si>
    <t xml:space="preserve">Q2'26 results press release / 6-K</t>
  </si>
  <si>
    <t xml:space="preserve">https://www.sec.gov/Archives/edgar/data/1513845/000110465926094568/tm2622968d1_ex99-2.htm</t>
  </si>
  <si>
    <t xml:space="preserve">Revenue $582.3M; AI cloud $574.9M</t>
  </si>
  <si>
    <t xml:space="preserve">https://www.fool.com/earnings/call-transcripts/2026/08/19/nebius-nbis-q2-2026-earnings-call-transcript/</t>
  </si>
  <si>
    <t xml:space="preserve">Three deal types (5-yr IG / 1-3 yr mid-term / &lt;=6-mo short-term); FY26 guidance ($3.0-3.4B rev, $7-9B ARR, $20-25B capex); $775M ABS at SOFR+250</t>
  </si>
  <si>
    <t xml:space="preserve">Q1'26 shareholder letter</t>
  </si>
  <si>
    <t xml:space="preserve">https://assets.nebius.com/assets/aa1bc2e6-df83-40cd-a6a2-95e7cda3d16c/Nebius%20SHL%5FQ1%202026.pdf</t>
  </si>
  <si>
    <t xml:space="preserve">Meta $27B framework ($12B firm + $15B); ARR $1.92B / $1.25B</t>
  </si>
  <si>
    <t xml:space="preserve">NBIS Tracker - customer commitments</t>
  </si>
  <si>
    <t xml:space="preserve">https://nbistracker.com/demand</t>
  </si>
  <si>
    <t xml:space="preserve">Contract-level list (Microsoft $17.4B, Meta $12B + $3B, four ~$1B mid-term deals); 89% IG of disclosed</t>
  </si>
  <si>
    <t xml:space="preserve">FY26 results release (27-Aug-2026)</t>
  </si>
  <si>
    <t xml:space="preserve">https://www.sec.gov/Archives/edgar/data/1878848/000187884826000051/irenreportsfy26results.htm</t>
  </si>
  <si>
    <t xml:space="preserve">$4B contracted ARR / $1B operating ARR; 3-yr contracts &gt;$20M/MW; prepayments 45-55%; GPU financings</t>
  </si>
  <si>
    <t xml:space="preserve">Q1 FY26 results release (6-Nov-2025) and Microsoft agreement blog</t>
  </si>
  <si>
    <t xml:space="preserve">https://iren.com/resources/blog/iren-signs97-billion-agreement-with-microsoft-to-deploy-ai-cloud-infrastructure</t>
  </si>
  <si>
    <t xml:space="preserve">Microsoft $9.7B, 5-yr average term, 20% prepayment, ~$1.94B ARR</t>
  </si>
  <si>
    <t xml:space="preserve">10-Q (Mar-2026) revenue note / 10-K FY26 revenue note</t>
  </si>
  <si>
    <t xml:space="preserve">https://app.edgar.tools/companies/IREN/disclosures/revenue</t>
  </si>
  <si>
    <t xml:space="preserve">RPO $5.1B at 30-Jun-2026; deferred revenue</t>
  </si>
  <si>
    <t xml:space="preserve">Lambda / Crusoe / Nscale</t>
  </si>
  <si>
    <t xml:space="preserve">New Market Pitch - neocloud survey</t>
  </si>
  <si>
    <t xml:space="preserve">https://newmarketpitch.com/blogs/news/neocloud-top-startups</t>
  </si>
  <si>
    <t xml:space="preserve">Lambda ~$50B backlog incl. $35B Anthropic; Crusoe &gt;$140B TCV / ~4.9 GW</t>
  </si>
  <si>
    <t xml:space="preserve">Lambda-Microsoft agreement release (3-Nov-2025)</t>
  </si>
  <si>
    <t xml:space="preserve">https://lambda.ai/blog/lambda-announces-multibillion-dollar-agreement-with-microsoft-to-deploy-ai-infrastructure-powered-by-tens-of-thousands-of-nvidia-gpus</t>
  </si>
  <si>
    <t xml:space="preserve">Multi-year Microsoft contract</t>
  </si>
  <si>
    <t xml:space="preserve">Data Center Index - Lambda $35B Anthropic deal</t>
  </si>
  <si>
    <t xml:space="preserve">https://datacenterindex.ai/insights/lambdas-35-billion-one-tenant-deal-rewrites-the-customer-concentration-math</t>
  </si>
  <si>
    <t xml:space="preserve">$35B six-year term; Microsoft/Nebius up to $19.4B</t>
  </si>
  <si>
    <t xml:space="preserve">TechCrunch on Nscale IPO filing (22-Sep-2026); Bloomberg (21-Sep-2026)</t>
  </si>
  <si>
    <t xml:space="preserve">https://techcrunch.com/2026/09/22/nscales-ipo-will-test-wall-streets-appetite-for-concentrated-ai-bets-once-again/</t>
  </si>
  <si>
    <t xml:space="preserve">$103B TCV; Microsoft $43.8B through 2033; Anthropic $44.6B contingent on financing</t>
  </si>
  <si>
    <t xml:space="preserve">Sacra - Fluidstack business model</t>
  </si>
  <si>
    <t xml:space="preserve">https://sacra.com/chat/h/b3863997-808e-4513-bb34-0075ee0813a9/</t>
  </si>
  <si>
    <t xml:space="preserve">Private cloud 2-3 yr contracts, 25-50% upfront; marketplace brokerage</t>
  </si>
  <si>
    <t xml:space="preserve">Form 10-K FY26 (May-2026) and Q4 FY26 release</t>
  </si>
  <si>
    <t xml:space="preserve">https://ir.applieddigital.com/news-events/press-releases/detail/159/applied-digital-reports-fiscal-fourth-quarter-and-full-year</t>
  </si>
  <si>
    <t xml:space="preserve">1,410 MW / $36.2B / 15-yr leases; CoreWeave 400 MW ~$11B; ~$86B incl. renewals</t>
  </si>
  <si>
    <t xml:space="preserve">DCD - Barber Lake extension to 20 yrs (Sep-2026)</t>
  </si>
  <si>
    <t xml:space="preserve">https://www.datacenterdynamics.com/en/news/cipher-extends-barber-lake-data-center-lease-commitments-to-20-years/</t>
  </si>
  <si>
    <t xml:space="preserve">Fluidstack 10 yr $3.8B + AI-lab 10 yr $5.2B; AWS 15 yr</t>
  </si>
  <si>
    <t xml:space="preserve">Miners / landlords</t>
  </si>
  <si>
    <t xml:space="preserve">BlockWest - bitcoin miner AI hosting tracker 2026</t>
  </si>
  <si>
    <t xml:space="preserve">https://blockwest.co/research/bitcoin-miner-ai-hpc-hosting-tracker-2026/</t>
  </si>
  <si>
    <t xml:space="preserve">TeraWulf, Cipher, Core Scientific, Galaxy lease terms and values</t>
  </si>
  <si>
    <t xml:space="preserve">American Compute - offtake tracker</t>
  </si>
  <si>
    <t xml:space="preserve">https://www.amcompute.com/offtake-tracker</t>
  </si>
  <si>
    <t xml:space="preserve">Hut 8 $7B / 15 yr; TeraWulf Anthropic $19B / 20 yr; $/MW-yr; Google backstops</t>
  </si>
  <si>
    <t xml:space="preserve">GPU prices</t>
  </si>
  <si>
    <t xml:space="preserve">SemiAnalysis GPU Spot-Contract Composite Index</t>
  </si>
  <si>
    <t xml:space="preserve">https://gpu-index.semianalysis.com/</t>
  </si>
  <si>
    <t xml:space="preserve">H100 index history 2H23-Apr26; 1-yr contract ranges; B200 index</t>
  </si>
  <si>
    <t xml:space="preserve">Bargo GPU rental price tracker (15-Oct-2026)</t>
  </si>
  <si>
    <t xml:space="preserve">https://www.bargo.ai/gpu-prices</t>
  </si>
  <si>
    <t xml:space="preserve">Cross-provider on-demand / spot / reserved for B200, H200, H100, MI300X</t>
  </si>
  <si>
    <t xml:space="preserve">CCIR term rates (Oct-2026)</t>
  </si>
  <si>
    <t xml:space="preserve">https://ccir.io/term</t>
  </si>
  <si>
    <t xml:space="preserve">Posted vs contracted rates by tenor (3M-5Y)</t>
  </si>
  <si>
    <t xml:space="preserve">flatkey.ai GPU price index (12-Oct-2026)</t>
  </si>
  <si>
    <t xml:space="preserve">https://flatkey.ai/compute/prices</t>
  </si>
  <si>
    <t xml:space="preserve">Marketplace realtime / spot asks and term multipliers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</si>
</sst>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.0;[RED]\(#,##0.0\);\-"/>
    <numFmt numFmtId="166" formatCode="0.0&quot; yrs&quot;"/>
    <numFmt numFmtId="167" formatCode="0%;[RED]\-0%;\-"/>
    <numFmt numFmtId="168" formatCode="0%"/>
    <numFmt numFmtId="169" formatCode="mmm\-yyyy"/>
    <numFmt numFmtId="170" formatCode="#,##0"/>
    <numFmt numFmtId="171" formatCode="0"/>
    <numFmt numFmtId="172" formatCode="#,##0.00;[RED]\(#,##0.00\);\-"/>
    <numFmt numFmtId="173" formatCode="0.00&quot; yrs&quot;"/>
    <numFmt numFmtId="174" formatCode="0.00\x"/>
    <numFmt numFmtId="175" formatCode="0.00&quot; yrs&quot;;;\-"/>
    <numFmt numFmtId="176" formatCode="#,##0.0"/>
    <numFmt numFmtId="177" formatCode="0.0"/>
    <numFmt numFmtId="178" formatCode="0.0&quot; yrs&quot;;;\-"/>
    <numFmt numFmtId="179" formatCode="\$#,##0.00"/>
    <numFmt numFmtId="180" formatCode="0.0%;[RED]\-0.0%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1F386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u val="single"/>
      <sz val="11"/>
      <color rgb="FF0563C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1769628/000176962826000366/crwv-20260630.htm" TargetMode="External"/><Relationship Id="rId2" Type="http://schemas.openxmlformats.org/officeDocument/2006/relationships/hyperlink" Target="https://www.sec.gov/Archives/edgar/data/1769628/000176962826000222/crwv-20260331.htm" TargetMode="External"/><Relationship Id="rId3" Type="http://schemas.openxmlformats.org/officeDocument/2006/relationships/hyperlink" Target="https://static.seekingalpha.com/uploads/sa_presentations/36/134036/original.pdf" TargetMode="External"/><Relationship Id="rId4" Type="http://schemas.openxmlformats.org/officeDocument/2006/relationships/hyperlink" Target="https://gloom.sh/stocks/crwv/transcripts/q2-2026" TargetMode="External"/><Relationship Id="rId5" Type="http://schemas.openxmlformats.org/officeDocument/2006/relationships/hyperlink" Target="https://investors.coreweave.com/news/" TargetMode="External"/><Relationship Id="rId6" Type="http://schemas.openxmlformats.org/officeDocument/2006/relationships/hyperlink" Target="https://assets.nebius.com/assets/4462517b-ce83-41f2-96ed-f2ac1bc06a05/SHLQ226%20%281%29.pdf-0" TargetMode="External"/><Relationship Id="rId7" Type="http://schemas.openxmlformats.org/officeDocument/2006/relationships/hyperlink" Target="https://www.sec.gov/Archives/edgar/data/1513845/000110465926094568/tm2622968d1_ex99-2.htm" TargetMode="External"/><Relationship Id="rId8" Type="http://schemas.openxmlformats.org/officeDocument/2006/relationships/hyperlink" Target="https://www.fool.com/earnings/call-transcripts/2026/08/19/nebius-nbis-q2-2026-earnings-call-transcript/" TargetMode="External"/><Relationship Id="rId9" Type="http://schemas.openxmlformats.org/officeDocument/2006/relationships/hyperlink" Target="https://assets.nebius.com/assets/aa1bc2e6-df83-40cd-a6a2-95e7cda3d16c/Nebius%20SHL%5FQ1%202026.pdf" TargetMode="External"/><Relationship Id="rId10" Type="http://schemas.openxmlformats.org/officeDocument/2006/relationships/hyperlink" Target="https://nbistracker.com/demand" TargetMode="External"/><Relationship Id="rId11" Type="http://schemas.openxmlformats.org/officeDocument/2006/relationships/hyperlink" Target="https://www.sec.gov/Archives/edgar/data/1878848/000187884826000051/irenreportsfy26results.htm" TargetMode="External"/><Relationship Id="rId12" Type="http://schemas.openxmlformats.org/officeDocument/2006/relationships/hyperlink" Target="https://iren.com/resources/blog/iren-signs97-billion-agreement-with-microsoft-to-deploy-ai-cloud-infrastructure" TargetMode="External"/><Relationship Id="rId13" Type="http://schemas.openxmlformats.org/officeDocument/2006/relationships/hyperlink" Target="https://app.edgar.tools/companies/IREN/disclosures/revenue" TargetMode="External"/><Relationship Id="rId14" Type="http://schemas.openxmlformats.org/officeDocument/2006/relationships/hyperlink" Target="https://newmarketpitch.com/blogs/news/neocloud-top-startups" TargetMode="External"/><Relationship Id="rId15" Type="http://schemas.openxmlformats.org/officeDocument/2006/relationships/hyperlink" Target="https://lambda.ai/blog/lambda-announces-multibillion-dollar-agreement-with-microsoft-to-deploy-ai-infrastructure-powered-by-tens-of-thousands-of-nvidia-gpus" TargetMode="External"/><Relationship Id="rId16" Type="http://schemas.openxmlformats.org/officeDocument/2006/relationships/hyperlink" Target="https://datacenterindex.ai/insights/lambdas-35-billion-one-tenant-deal-rewrites-the-customer-concentration-math" TargetMode="External"/><Relationship Id="rId17" Type="http://schemas.openxmlformats.org/officeDocument/2006/relationships/hyperlink" Target="https://techcrunch.com/2026/09/22/nscales-ipo-will-test-wall-streets-appetite-for-concentrated-ai-bets-once-again/" TargetMode="External"/><Relationship Id="rId18" Type="http://schemas.openxmlformats.org/officeDocument/2006/relationships/hyperlink" Target="https://sacra.com/chat/h/b3863997-808e-4513-bb34-0075ee0813a9/" TargetMode="External"/><Relationship Id="rId19" Type="http://schemas.openxmlformats.org/officeDocument/2006/relationships/hyperlink" Target="https://ir.applieddigital.com/news-events/press-releases/detail/159/applied-digital-reports-fiscal-fourth-quarter-and-full-year" TargetMode="External"/><Relationship Id="rId20" Type="http://schemas.openxmlformats.org/officeDocument/2006/relationships/hyperlink" Target="https://www.datacenterdynamics.com/en/news/cipher-extends-barber-lake-data-center-lease-commitments-to-20-years/" TargetMode="External"/><Relationship Id="rId21" Type="http://schemas.openxmlformats.org/officeDocument/2006/relationships/hyperlink" Target="https://blockwest.co/research/bitcoin-miner-ai-hpc-hosting-tracker-2026/" TargetMode="External"/><Relationship Id="rId22" Type="http://schemas.openxmlformats.org/officeDocument/2006/relationships/hyperlink" Target="https://www.amcompute.com/offtake-tracker" TargetMode="External"/><Relationship Id="rId23" Type="http://schemas.openxmlformats.org/officeDocument/2006/relationships/hyperlink" Target="https://gpu-index.semianalysis.com/" TargetMode="External"/><Relationship Id="rId24" Type="http://schemas.openxmlformats.org/officeDocument/2006/relationships/hyperlink" Target="https://www.bargo.ai/gpu-prices" TargetMode="External"/><Relationship Id="rId25" Type="http://schemas.openxmlformats.org/officeDocument/2006/relationships/hyperlink" Target="https://ccir.io/term" TargetMode="External"/><Relationship Id="rId26" Type="http://schemas.openxmlformats.org/officeDocument/2006/relationships/hyperlink" Target="https://flatkey.ai/compute/pric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8" hidden="false" customHeight="true" outlineLevel="0" collapsed="false">
      <c r="A4" s="3" t="s">
        <v>2</v>
      </c>
      <c r="B4" s="4" t="s">
        <v>3</v>
      </c>
    </row>
    <row r="5" customFormat="false" ht="48" hidden="false" customHeight="true" outlineLevel="0" collapsed="false">
      <c r="A5" s="3" t="s">
        <v>4</v>
      </c>
      <c r="B5" s="4" t="s">
        <v>5</v>
      </c>
    </row>
    <row r="6" customFormat="false" ht="48" hidden="false" customHeight="true" outlineLevel="0" collapsed="false">
      <c r="A6" s="3" t="s">
        <v>6</v>
      </c>
      <c r="B6" s="4" t="s">
        <v>7</v>
      </c>
    </row>
    <row r="7" customFormat="false" ht="48" hidden="false" customHeight="true" outlineLevel="0" collapsed="false">
      <c r="A7" s="3" t="s">
        <v>8</v>
      </c>
      <c r="B7" s="4" t="s">
        <v>9</v>
      </c>
    </row>
    <row r="8" customFormat="false" ht="48" hidden="false" customHeight="true" outlineLevel="0" collapsed="false">
      <c r="A8" s="3" t="s">
        <v>10</v>
      </c>
      <c r="B8" s="4" t="s">
        <v>11</v>
      </c>
    </row>
    <row r="9" customFormat="false" ht="48" hidden="false" customHeight="true" outlineLevel="0" collapsed="false">
      <c r="A9" s="3" t="s">
        <v>12</v>
      </c>
      <c r="B9" s="4" t="s">
        <v>13</v>
      </c>
    </row>
    <row r="10" customFormat="false" ht="48" hidden="false" customHeight="true" outlineLevel="0" collapsed="false">
      <c r="A10" s="3" t="s">
        <v>14</v>
      </c>
      <c r="B10" s="4" t="s">
        <v>15</v>
      </c>
    </row>
    <row r="12" customFormat="false" ht="15" hidden="false" customHeight="false" outlineLevel="0" collapsed="false">
      <c r="A12" s="5" t="s">
        <v>16</v>
      </c>
      <c r="B12" s="6"/>
    </row>
    <row r="13" customFormat="false" ht="16.4" hidden="false" customHeight="false" outlineLevel="0" collapsed="false">
      <c r="A13" s="7" t="s">
        <v>17</v>
      </c>
      <c r="B13" s="4" t="s">
        <v>18</v>
      </c>
    </row>
    <row r="14" customFormat="false" ht="16.4" hidden="false" customHeight="false" outlineLevel="0" collapsed="false">
      <c r="A14" s="7" t="s">
        <v>19</v>
      </c>
      <c r="B14" s="4" t="s">
        <v>20</v>
      </c>
    </row>
    <row r="15" customFormat="false" ht="16.4" hidden="false" customHeight="false" outlineLevel="0" collapsed="false">
      <c r="A15" s="7" t="s">
        <v>21</v>
      </c>
      <c r="B15" s="4" t="s">
        <v>22</v>
      </c>
    </row>
    <row r="16" customFormat="false" ht="31.3" hidden="false" customHeight="false" outlineLevel="0" collapsed="false">
      <c r="A16" s="7" t="s">
        <v>23</v>
      </c>
      <c r="B16" s="4" t="s">
        <v>24</v>
      </c>
    </row>
    <row r="17" customFormat="false" ht="16.4" hidden="false" customHeight="false" outlineLevel="0" collapsed="false">
      <c r="A17" s="7" t="s">
        <v>25</v>
      </c>
      <c r="B17" s="4" t="s">
        <v>26</v>
      </c>
    </row>
    <row r="18" customFormat="false" ht="16.4" hidden="false" customHeight="false" outlineLevel="0" collapsed="false">
      <c r="A18" s="7" t="s">
        <v>27</v>
      </c>
      <c r="B18" s="4" t="s">
        <v>28</v>
      </c>
    </row>
    <row r="19" customFormat="false" ht="16.4" hidden="false" customHeight="false" outlineLevel="0" collapsed="false">
      <c r="A19" s="7" t="s">
        <v>29</v>
      </c>
      <c r="B19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9" min="8" style="0" width="13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90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31.5" hidden="false" customHeight="true" outlineLevel="0" collapsed="false">
      <c r="A4" s="8" t="s">
        <v>33</v>
      </c>
      <c r="B4" s="8" t="s">
        <v>34</v>
      </c>
      <c r="C4" s="8" t="s">
        <v>35</v>
      </c>
      <c r="D4" s="8" t="s">
        <v>36</v>
      </c>
      <c r="E4" s="8" t="s">
        <v>37</v>
      </c>
      <c r="F4" s="8" t="s">
        <v>38</v>
      </c>
      <c r="G4" s="8" t="s">
        <v>39</v>
      </c>
      <c r="H4" s="8" t="s">
        <v>40</v>
      </c>
      <c r="I4" s="8" t="s">
        <v>41</v>
      </c>
      <c r="J4" s="8" t="s">
        <v>42</v>
      </c>
      <c r="K4" s="8" t="s">
        <v>43</v>
      </c>
      <c r="L4" s="8" t="s">
        <v>44</v>
      </c>
      <c r="M4" s="8" t="s">
        <v>45</v>
      </c>
      <c r="N4" s="8" t="s">
        <v>46</v>
      </c>
    </row>
    <row r="5" customFormat="false" ht="57.75" hidden="false" customHeight="true" outlineLevel="0" collapsed="false">
      <c r="A5" s="7" t="s">
        <v>47</v>
      </c>
      <c r="B5" s="9" t="s">
        <v>48</v>
      </c>
      <c r="C5" s="9" t="s">
        <v>49</v>
      </c>
      <c r="D5" s="10" t="n">
        <f aca="false">CRWV_Duration!E10</f>
        <v>104.2</v>
      </c>
      <c r="E5" s="10" t="n">
        <f aca="false">CRWV_Duration!E13</f>
        <v>19</v>
      </c>
      <c r="F5" s="4" t="s">
        <v>50</v>
      </c>
      <c r="G5" s="11" t="n">
        <f aca="false">CRWV_Duration!E15</f>
        <v>5.48421052631579</v>
      </c>
      <c r="H5" s="11" t="n">
        <f aca="false">CRWV_Duration!$E$25</f>
        <v>2.63</v>
      </c>
      <c r="I5" s="11" t="n">
        <f aca="false">CRWV_Duration!$E$41</f>
        <v>6.0012960874227</v>
      </c>
      <c r="J5" s="11" t="n">
        <f aca="false">CRWV_Duration!C23/12</f>
        <v>6.5</v>
      </c>
      <c r="K5" s="12" t="n">
        <f aca="false">Spot_Exposure!D6</f>
        <v>0.02</v>
      </c>
      <c r="L5" s="12" t="n">
        <f aca="false">Spot_Exposure!H6</f>
        <v>0.14</v>
      </c>
      <c r="M5" s="13" t="str">
        <f aca="false">Spot_Exposure!K6</f>
        <v>Low</v>
      </c>
      <c r="N5" s="4" t="s">
        <v>51</v>
      </c>
    </row>
    <row r="6" customFormat="false" ht="57.75" hidden="false" customHeight="true" outlineLevel="0" collapsed="false">
      <c r="A6" s="7" t="s">
        <v>52</v>
      </c>
      <c r="B6" s="9" t="s">
        <v>53</v>
      </c>
      <c r="C6" s="9" t="s">
        <v>49</v>
      </c>
      <c r="D6" s="10" t="n">
        <f aca="false">NBIS_Duration!F8</f>
        <v>40</v>
      </c>
      <c r="E6" s="10" t="n">
        <f aca="false">NBIS_Duration!E11</f>
        <v>8</v>
      </c>
      <c r="F6" s="4" t="s">
        <v>54</v>
      </c>
      <c r="G6" s="11" t="n">
        <f aca="false">NBIS_Duration!E12</f>
        <v>5</v>
      </c>
      <c r="H6" s="11" t="n">
        <f aca="false">NBIS_Duration!$G$25</f>
        <v>4.40531143052704</v>
      </c>
      <c r="I6" s="11" t="n">
        <f aca="false">NBIS_Duration!$D$25</f>
        <v>4.43</v>
      </c>
      <c r="J6" s="11" t="n">
        <f aca="false">MAX(NBIS_Duration!D17:D24)</f>
        <v>5</v>
      </c>
      <c r="K6" s="12" t="n">
        <f aca="false">Spot_Exposure!D7</f>
        <v>0.12</v>
      </c>
      <c r="L6" s="12" t="n">
        <f aca="false">Spot_Exposure!H7</f>
        <v>0.32</v>
      </c>
      <c r="M6" s="13" t="str">
        <f aca="false">Spot_Exposure!K7</f>
        <v>Medium</v>
      </c>
      <c r="N6" s="4" t="s">
        <v>55</v>
      </c>
    </row>
    <row r="7" customFormat="false" ht="57.75" hidden="false" customHeight="true" outlineLevel="0" collapsed="false">
      <c r="A7" s="7" t="s">
        <v>56</v>
      </c>
      <c r="B7" s="9" t="s">
        <v>57</v>
      </c>
      <c r="C7" s="9" t="s">
        <v>58</v>
      </c>
      <c r="D7" s="10" t="n">
        <f aca="false">Peer_Contracts!$H$47</f>
        <v>14.85</v>
      </c>
      <c r="E7" s="10" t="n">
        <f aca="false">Spot_Exposure!B8</f>
        <v>4</v>
      </c>
      <c r="F7" s="4" t="s">
        <v>59</v>
      </c>
      <c r="G7" s="11" t="n">
        <f aca="false">Peer_Contracts!$H$48</f>
        <v>3.7125</v>
      </c>
      <c r="H7" s="11" t="n">
        <f aca="false">Peer_Contracts!$G$47</f>
        <v>3.70999315537303</v>
      </c>
      <c r="I7" s="11" t="n">
        <f aca="false">Peer_Contracts!$D$47</f>
        <v>3.7125</v>
      </c>
      <c r="J7" s="11" t="n">
        <f aca="false">Peer_Contracts!F31</f>
        <v>5</v>
      </c>
      <c r="K7" s="12" t="n">
        <f aca="false">Spot_Exposure!D8</f>
        <v>0.02</v>
      </c>
      <c r="L7" s="12" t="n">
        <f aca="false">Spot_Exposure!H8</f>
        <v>0.32</v>
      </c>
      <c r="M7" s="13" t="str">
        <f aca="false">Spot_Exposure!K8</f>
        <v>Medium</v>
      </c>
      <c r="N7" s="4" t="s">
        <v>60</v>
      </c>
    </row>
    <row r="8" customFormat="false" ht="57.75" hidden="false" customHeight="true" outlineLevel="0" collapsed="false">
      <c r="A8" s="7" t="s">
        <v>61</v>
      </c>
      <c r="B8" s="9" t="s">
        <v>62</v>
      </c>
      <c r="C8" s="9" t="s">
        <v>49</v>
      </c>
      <c r="D8" s="14" t="n">
        <v>50</v>
      </c>
      <c r="E8" s="14"/>
      <c r="F8" s="4" t="s">
        <v>63</v>
      </c>
      <c r="G8" s="15"/>
      <c r="H8" s="15"/>
      <c r="I8" s="11" t="n">
        <f aca="false">Peer_Contracts!E32</f>
        <v>6</v>
      </c>
      <c r="J8" s="11" t="n">
        <f aca="false">Peer_Contracts!F32</f>
        <v>6</v>
      </c>
      <c r="K8" s="16"/>
      <c r="L8" s="16"/>
      <c r="M8" s="9" t="s">
        <v>64</v>
      </c>
      <c r="N8" s="4" t="s">
        <v>65</v>
      </c>
    </row>
    <row r="9" customFormat="false" ht="57.75" hidden="false" customHeight="true" outlineLevel="0" collapsed="false">
      <c r="A9" s="7" t="s">
        <v>66</v>
      </c>
      <c r="B9" s="9" t="s">
        <v>67</v>
      </c>
      <c r="C9" s="9" t="s">
        <v>68</v>
      </c>
      <c r="D9" s="14" t="n">
        <v>103</v>
      </c>
      <c r="E9" s="14"/>
      <c r="F9" s="4" t="s">
        <v>63</v>
      </c>
      <c r="G9" s="15"/>
      <c r="H9" s="15"/>
      <c r="I9" s="11" t="n">
        <f aca="false">Peer_Contracts!E33</f>
        <v>6.49547511312217</v>
      </c>
      <c r="J9" s="11" t="n">
        <f aca="false">Peer_Contracts!F33</f>
        <v>7</v>
      </c>
      <c r="K9" s="16"/>
      <c r="L9" s="16"/>
      <c r="M9" s="9" t="s">
        <v>69</v>
      </c>
      <c r="N9" s="4" t="s">
        <v>70</v>
      </c>
    </row>
    <row r="10" customFormat="false" ht="57.75" hidden="false" customHeight="true" outlineLevel="0" collapsed="false">
      <c r="A10" s="7" t="s">
        <v>71</v>
      </c>
      <c r="B10" s="9" t="s">
        <v>62</v>
      </c>
      <c r="C10" s="9" t="s">
        <v>72</v>
      </c>
      <c r="D10" s="14" t="n">
        <v>140</v>
      </c>
      <c r="E10" s="14"/>
      <c r="F10" s="4" t="s">
        <v>63</v>
      </c>
      <c r="G10" s="15"/>
      <c r="H10" s="15"/>
      <c r="I10" s="15"/>
      <c r="J10" s="15"/>
      <c r="K10" s="16"/>
      <c r="L10" s="16"/>
      <c r="M10" s="9" t="s">
        <v>73</v>
      </c>
      <c r="N10" s="4" t="s">
        <v>74</v>
      </c>
    </row>
    <row r="11" customFormat="false" ht="57.75" hidden="false" customHeight="true" outlineLevel="0" collapsed="false">
      <c r="A11" s="7" t="s">
        <v>75</v>
      </c>
      <c r="B11" s="9" t="s">
        <v>62</v>
      </c>
      <c r="C11" s="9" t="s">
        <v>76</v>
      </c>
      <c r="D11" s="14"/>
      <c r="E11" s="14"/>
      <c r="F11" s="4" t="s">
        <v>63</v>
      </c>
      <c r="G11" s="15"/>
      <c r="H11" s="15"/>
      <c r="I11" s="11" t="str">
        <f aca="false">Peer_Contracts!E35</f>
        <v/>
      </c>
      <c r="J11" s="15"/>
      <c r="K11" s="16"/>
      <c r="L11" s="16"/>
      <c r="M11" s="9" t="s">
        <v>77</v>
      </c>
      <c r="N11" s="4" t="s">
        <v>78</v>
      </c>
    </row>
    <row r="12" customFormat="false" ht="57.75" hidden="false" customHeight="true" outlineLevel="0" collapsed="false">
      <c r="A12" s="7" t="s">
        <v>79</v>
      </c>
      <c r="B12" s="9" t="s">
        <v>80</v>
      </c>
      <c r="C12" s="9" t="s">
        <v>81</v>
      </c>
      <c r="D12" s="10" t="n">
        <f aca="false">Peer_Contracts!C36</f>
        <v>36.2</v>
      </c>
      <c r="E12" s="14"/>
      <c r="F12" s="4" t="s">
        <v>82</v>
      </c>
      <c r="G12" s="15"/>
      <c r="H12" s="15"/>
      <c r="I12" s="11" t="n">
        <f aca="false">Peer_Contracts!E36</f>
        <v>15</v>
      </c>
      <c r="J12" s="11" t="n">
        <f aca="false">Peer_Contracts!F36</f>
        <v>15</v>
      </c>
      <c r="K12" s="17" t="n">
        <v>0</v>
      </c>
      <c r="L12" s="17" t="n">
        <v>0</v>
      </c>
      <c r="M12" s="9" t="s">
        <v>83</v>
      </c>
      <c r="N12" s="4" t="s">
        <v>84</v>
      </c>
    </row>
    <row r="13" customFormat="false" ht="57.75" hidden="false" customHeight="true" outlineLevel="0" collapsed="false">
      <c r="A13" s="7" t="s">
        <v>85</v>
      </c>
      <c r="B13" s="9" t="s">
        <v>86</v>
      </c>
      <c r="C13" s="9" t="s">
        <v>81</v>
      </c>
      <c r="D13" s="10" t="n">
        <f aca="false">Peer_Contracts!C37</f>
        <v>14.5</v>
      </c>
      <c r="E13" s="14"/>
      <c r="F13" s="4" t="s">
        <v>82</v>
      </c>
      <c r="G13" s="15"/>
      <c r="H13" s="15"/>
      <c r="I13" s="11" t="n">
        <f aca="false">Peer_Contracts!E37</f>
        <v>11.8965517241379</v>
      </c>
      <c r="J13" s="11" t="n">
        <f aca="false">Peer_Contracts!F37</f>
        <v>15</v>
      </c>
      <c r="K13" s="17" t="n">
        <v>0</v>
      </c>
      <c r="L13" s="17" t="n">
        <v>0</v>
      </c>
      <c r="M13" s="9" t="s">
        <v>83</v>
      </c>
      <c r="N13" s="4" t="s">
        <v>87</v>
      </c>
    </row>
    <row r="14" customFormat="false" ht="57.75" hidden="false" customHeight="true" outlineLevel="0" collapsed="false">
      <c r="A14" s="7" t="s">
        <v>88</v>
      </c>
      <c r="B14" s="9" t="s">
        <v>89</v>
      </c>
      <c r="C14" s="9" t="s">
        <v>81</v>
      </c>
      <c r="D14" s="10" t="n">
        <f aca="false">Peer_Contracts!C38</f>
        <v>25.7</v>
      </c>
      <c r="E14" s="14"/>
      <c r="F14" s="4" t="s">
        <v>82</v>
      </c>
      <c r="G14" s="15"/>
      <c r="H14" s="15"/>
      <c r="I14" s="11" t="n">
        <f aca="false">Peer_Contracts!E38</f>
        <v>17.3929961089494</v>
      </c>
      <c r="J14" s="11" t="n">
        <f aca="false">Peer_Contracts!F38</f>
        <v>20</v>
      </c>
      <c r="K14" s="17" t="n">
        <v>0</v>
      </c>
      <c r="L14" s="17" t="n">
        <v>0</v>
      </c>
      <c r="M14" s="9" t="s">
        <v>83</v>
      </c>
      <c r="N14" s="4" t="s">
        <v>90</v>
      </c>
    </row>
    <row r="15" customFormat="false" ht="57.75" hidden="false" customHeight="true" outlineLevel="0" collapsed="false">
      <c r="A15" s="7" t="s">
        <v>91</v>
      </c>
      <c r="B15" s="9" t="s">
        <v>92</v>
      </c>
      <c r="C15" s="9" t="s">
        <v>81</v>
      </c>
      <c r="D15" s="10" t="n">
        <f aca="false">Peer_Contracts!C39</f>
        <v>7</v>
      </c>
      <c r="E15" s="14"/>
      <c r="F15" s="4" t="s">
        <v>82</v>
      </c>
      <c r="G15" s="15"/>
      <c r="H15" s="15"/>
      <c r="I15" s="11" t="n">
        <f aca="false">Peer_Contracts!E39</f>
        <v>15</v>
      </c>
      <c r="J15" s="11" t="n">
        <f aca="false">Peer_Contracts!F39</f>
        <v>15</v>
      </c>
      <c r="K15" s="17" t="n">
        <v>0</v>
      </c>
      <c r="L15" s="17" t="n">
        <v>0</v>
      </c>
      <c r="M15" s="9" t="s">
        <v>83</v>
      </c>
      <c r="N15" s="4" t="s">
        <v>93</v>
      </c>
    </row>
    <row r="16" customFormat="false" ht="57.75" hidden="false" customHeight="true" outlineLevel="0" collapsed="false">
      <c r="A16" s="7" t="s">
        <v>94</v>
      </c>
      <c r="B16" s="9" t="s">
        <v>95</v>
      </c>
      <c r="C16" s="9" t="s">
        <v>81</v>
      </c>
      <c r="D16" s="10" t="n">
        <f aca="false">Peer_Contracts!C40</f>
        <v>10.2</v>
      </c>
      <c r="E16" s="14"/>
      <c r="F16" s="4" t="s">
        <v>82</v>
      </c>
      <c r="G16" s="15"/>
      <c r="H16" s="15"/>
      <c r="I16" s="11" t="n">
        <f aca="false">Peer_Contracts!E40</f>
        <v>12</v>
      </c>
      <c r="J16" s="11" t="n">
        <f aca="false">Peer_Contracts!F40</f>
        <v>12</v>
      </c>
      <c r="K16" s="17" t="n">
        <v>0</v>
      </c>
      <c r="L16" s="17" t="n">
        <v>0</v>
      </c>
      <c r="M16" s="9" t="s">
        <v>83</v>
      </c>
      <c r="N16" s="4" t="s">
        <v>96</v>
      </c>
    </row>
    <row r="17" customFormat="false" ht="57.75" hidden="false" customHeight="true" outlineLevel="0" collapsed="false">
      <c r="A17" s="7" t="s">
        <v>97</v>
      </c>
      <c r="B17" s="9" t="s">
        <v>98</v>
      </c>
      <c r="C17" s="9" t="s">
        <v>81</v>
      </c>
      <c r="D17" s="10" t="n">
        <f aca="false">Peer_Contracts!C41</f>
        <v>18</v>
      </c>
      <c r="E17" s="14"/>
      <c r="F17" s="4" t="s">
        <v>82</v>
      </c>
      <c r="G17" s="15"/>
      <c r="H17" s="15"/>
      <c r="I17" s="11" t="n">
        <f aca="false">Peer_Contracts!E41</f>
        <v>15</v>
      </c>
      <c r="J17" s="11" t="n">
        <f aca="false">Peer_Contracts!F41</f>
        <v>15</v>
      </c>
      <c r="K17" s="17" t="n">
        <v>0</v>
      </c>
      <c r="L17" s="17" t="n">
        <v>0</v>
      </c>
      <c r="M17" s="9" t="s">
        <v>83</v>
      </c>
      <c r="N17" s="4" t="s">
        <v>99</v>
      </c>
    </row>
    <row r="19" customFormat="false" ht="15" hidden="false" customHeight="false" outlineLevel="0" collapsed="false">
      <c r="A19" s="5" t="s">
        <v>100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customFormat="false" ht="57.75" hidden="false" customHeight="true" outlineLevel="0" collapsed="false">
      <c r="A20" s="4" t="s">
        <v>101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customFormat="false" ht="57.75" hidden="false" customHeight="true" outlineLevel="0" collapsed="false">
      <c r="A21" s="4" t="s">
        <v>102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customFormat="false" ht="57.75" hidden="false" customHeight="true" outlineLevel="0" collapsed="false">
      <c r="A22" s="4" t="s">
        <v>103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customFormat="false" ht="57.75" hidden="false" customHeight="true" outlineLevel="0" collapsed="false">
      <c r="A23" s="4" t="s">
        <v>104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customFormat="false" ht="57.75" hidden="false" customHeight="true" outlineLevel="0" collapsed="false">
      <c r="A24" s="4" t="s">
        <v>105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customFormat="false" ht="57.75" hidden="false" customHeight="true" outlineLevel="0" collapsed="false">
      <c r="A25" s="4" t="s">
        <v>106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</sheetData>
  <mergeCells count="6">
    <mergeCell ref="A20:N20"/>
    <mergeCell ref="A21:N21"/>
    <mergeCell ref="A22:N22"/>
    <mergeCell ref="A23:N23"/>
    <mergeCell ref="A24:N24"/>
    <mergeCell ref="A25:N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4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4" customFormat="false" ht="15" hidden="false" customHeight="false" outlineLevel="0" collapsed="false">
      <c r="A4" s="5" t="s">
        <v>109</v>
      </c>
      <c r="B4" s="6"/>
      <c r="C4" s="6"/>
      <c r="D4" s="6"/>
      <c r="E4" s="6"/>
      <c r="F4" s="6"/>
      <c r="G4" s="6"/>
      <c r="H4" s="6"/>
    </row>
    <row r="5" customFormat="false" ht="31.5" hidden="false" customHeight="true" outlineLevel="0" collapsed="false">
      <c r="A5" s="8" t="s">
        <v>110</v>
      </c>
      <c r="B5" s="8" t="s">
        <v>111</v>
      </c>
      <c r="C5" s="8" t="s">
        <v>112</v>
      </c>
      <c r="D5" s="8" t="s">
        <v>113</v>
      </c>
      <c r="E5" s="8" t="s">
        <v>114</v>
      </c>
      <c r="F5" s="8" t="s">
        <v>115</v>
      </c>
      <c r="G5" s="8" t="s">
        <v>116</v>
      </c>
      <c r="H5" s="8" t="s">
        <v>117</v>
      </c>
    </row>
    <row r="6" customFormat="false" ht="16.4" hidden="false" customHeight="false" outlineLevel="0" collapsed="false">
      <c r="A6" s="7" t="s">
        <v>118</v>
      </c>
      <c r="B6" s="18" t="n">
        <v>45838</v>
      </c>
      <c r="C6" s="19" t="n">
        <v>1212</v>
      </c>
      <c r="D6" s="10" t="n">
        <f aca="false">C6*4/1000</f>
        <v>4.848</v>
      </c>
      <c r="E6" s="14" t="n">
        <v>30.1</v>
      </c>
      <c r="F6" s="11" t="n">
        <f aca="false">E6/D6</f>
        <v>6.20874587458746</v>
      </c>
      <c r="G6" s="12"/>
      <c r="H6" s="4" t="s">
        <v>119</v>
      </c>
    </row>
    <row r="7" customFormat="false" ht="16.4" hidden="false" customHeight="false" outlineLevel="0" collapsed="false">
      <c r="A7" s="7" t="s">
        <v>120</v>
      </c>
      <c r="B7" s="18" t="n">
        <v>45930</v>
      </c>
      <c r="C7" s="19" t="n">
        <v>1365</v>
      </c>
      <c r="D7" s="10" t="n">
        <f aca="false">C7*4/1000</f>
        <v>5.46</v>
      </c>
      <c r="E7" s="14" t="n">
        <v>55.6</v>
      </c>
      <c r="F7" s="11" t="n">
        <f aca="false">E7/D7</f>
        <v>10.1831501831502</v>
      </c>
      <c r="G7" s="12" t="n">
        <f aca="false">E7/E6-1</f>
        <v>0.847176079734219</v>
      </c>
      <c r="H7" s="4" t="s">
        <v>121</v>
      </c>
    </row>
    <row r="8" customFormat="false" ht="16.4" hidden="false" customHeight="false" outlineLevel="0" collapsed="false">
      <c r="A8" s="7" t="s">
        <v>122</v>
      </c>
      <c r="B8" s="18" t="n">
        <v>46022</v>
      </c>
      <c r="C8" s="19" t="n">
        <v>1572</v>
      </c>
      <c r="D8" s="10" t="n">
        <f aca="false">C8*4/1000</f>
        <v>6.288</v>
      </c>
      <c r="E8" s="14" t="n">
        <v>66.8</v>
      </c>
      <c r="F8" s="11" t="n">
        <f aca="false">E8/D8</f>
        <v>10.6234096692112</v>
      </c>
      <c r="G8" s="12" t="n">
        <f aca="false">E8/E7-1</f>
        <v>0.201438848920863</v>
      </c>
      <c r="H8" s="4" t="s">
        <v>123</v>
      </c>
    </row>
    <row r="9" customFormat="false" ht="16.4" hidden="false" customHeight="false" outlineLevel="0" collapsed="false">
      <c r="A9" s="7" t="s">
        <v>124</v>
      </c>
      <c r="B9" s="18" t="n">
        <v>46112</v>
      </c>
      <c r="C9" s="19" t="n">
        <v>2078</v>
      </c>
      <c r="D9" s="10" t="n">
        <f aca="false">C9*4/1000</f>
        <v>8.312</v>
      </c>
      <c r="E9" s="14" t="n">
        <v>99.4</v>
      </c>
      <c r="F9" s="11" t="n">
        <f aca="false">E9/D9</f>
        <v>11.9586140519731</v>
      </c>
      <c r="G9" s="12" t="n">
        <f aca="false">E9/E8-1</f>
        <v>0.488023952095809</v>
      </c>
      <c r="H9" s="4" t="s">
        <v>125</v>
      </c>
    </row>
    <row r="10" customFormat="false" ht="31.3" hidden="false" customHeight="false" outlineLevel="0" collapsed="false">
      <c r="A10" s="7" t="s">
        <v>126</v>
      </c>
      <c r="B10" s="18" t="n">
        <v>46203</v>
      </c>
      <c r="C10" s="19" t="n">
        <v>2575</v>
      </c>
      <c r="D10" s="10" t="n">
        <f aca="false">C10*4/1000</f>
        <v>10.3</v>
      </c>
      <c r="E10" s="14" t="n">
        <v>104.2</v>
      </c>
      <c r="F10" s="11" t="n">
        <f aca="false">E10/D10</f>
        <v>10.1165048543689</v>
      </c>
      <c r="G10" s="12" t="n">
        <f aca="false">E10/E9-1</f>
        <v>0.0482897384305834</v>
      </c>
      <c r="H10" s="4" t="s">
        <v>127</v>
      </c>
    </row>
    <row r="12" customFormat="false" ht="16.4" hidden="false" customHeight="false" outlineLevel="0" collapsed="false">
      <c r="A12" s="7" t="s">
        <v>128</v>
      </c>
      <c r="C12" s="14" t="n">
        <v>12.4</v>
      </c>
      <c r="D12" s="14" t="n">
        <v>13.2</v>
      </c>
      <c r="E12" s="10" t="n">
        <f aca="false">AVERAGE(C12,D12)</f>
        <v>12.8</v>
      </c>
      <c r="H12" s="4" t="s">
        <v>129</v>
      </c>
    </row>
    <row r="13" customFormat="false" ht="16.4" hidden="false" customHeight="false" outlineLevel="0" collapsed="false">
      <c r="A13" s="7" t="s">
        <v>130</v>
      </c>
      <c r="C13" s="14" t="n">
        <v>18.5</v>
      </c>
      <c r="D13" s="14" t="n">
        <v>19.5</v>
      </c>
      <c r="E13" s="10" t="n">
        <f aca="false">AVERAGE(C13,D13)</f>
        <v>19</v>
      </c>
      <c r="H13" s="4" t="s">
        <v>131</v>
      </c>
    </row>
    <row r="14" customFormat="false" ht="16.4" hidden="false" customHeight="false" outlineLevel="0" collapsed="false">
      <c r="A14" s="7" t="s">
        <v>132</v>
      </c>
      <c r="E14" s="14" t="n">
        <v>25</v>
      </c>
      <c r="H14" s="4" t="s">
        <v>133</v>
      </c>
    </row>
    <row r="15" customFormat="false" ht="16.4" hidden="false" customHeight="false" outlineLevel="0" collapsed="false">
      <c r="A15" s="7" t="s">
        <v>134</v>
      </c>
      <c r="E15" s="11" t="n">
        <f aca="false">E10/E13</f>
        <v>5.48421052631579</v>
      </c>
      <c r="H15" s="4" t="s">
        <v>135</v>
      </c>
    </row>
    <row r="16" customFormat="false" ht="15" hidden="false" customHeight="false" outlineLevel="0" collapsed="false">
      <c r="A16" s="7" t="s">
        <v>136</v>
      </c>
      <c r="E16" s="11" t="n">
        <f aca="false">(E10+E14)/E13</f>
        <v>6.8</v>
      </c>
    </row>
    <row r="18" customFormat="false" ht="15" hidden="false" customHeight="false" outlineLevel="0" collapsed="false">
      <c r="A18" s="5" t="s">
        <v>137</v>
      </c>
      <c r="B18" s="6"/>
      <c r="C18" s="6"/>
      <c r="D18" s="6"/>
      <c r="E18" s="6"/>
      <c r="F18" s="6"/>
      <c r="G18" s="6"/>
      <c r="H18" s="6"/>
    </row>
    <row r="19" customFormat="false" ht="15" hidden="false" customHeight="false" outlineLevel="0" collapsed="false">
      <c r="A19" s="7" t="s">
        <v>138</v>
      </c>
      <c r="C19" s="14" t="n">
        <v>103.7</v>
      </c>
      <c r="E19" s="7" t="s">
        <v>139</v>
      </c>
      <c r="G19" s="14" t="n">
        <v>98.8</v>
      </c>
    </row>
    <row r="20" customFormat="false" ht="31.5" hidden="false" customHeight="true" outlineLevel="0" collapsed="false">
      <c r="A20" s="8" t="s">
        <v>140</v>
      </c>
      <c r="B20" s="8" t="s">
        <v>141</v>
      </c>
      <c r="C20" s="8" t="s">
        <v>142</v>
      </c>
      <c r="D20" s="8" t="s">
        <v>143</v>
      </c>
      <c r="E20" s="8" t="s">
        <v>144</v>
      </c>
      <c r="F20" s="8" t="s">
        <v>145</v>
      </c>
      <c r="G20" s="8" t="s">
        <v>146</v>
      </c>
      <c r="H20" s="8" t="s">
        <v>147</v>
      </c>
    </row>
    <row r="21" customFormat="false" ht="15" hidden="false" customHeight="false" outlineLevel="0" collapsed="false">
      <c r="A21" s="7" t="s">
        <v>148</v>
      </c>
      <c r="B21" s="20" t="n">
        <v>0</v>
      </c>
      <c r="C21" s="20" t="n">
        <v>24</v>
      </c>
      <c r="D21" s="21" t="n">
        <f aca="false">AVERAGE(B21,C21)/12</f>
        <v>1</v>
      </c>
      <c r="E21" s="16" t="n">
        <v>0.41</v>
      </c>
      <c r="F21" s="10" t="n">
        <f aca="false">E21*$C$19</f>
        <v>42.517</v>
      </c>
      <c r="G21" s="10" t="n">
        <f aca="false">F21/((C21-B21)/12)</f>
        <v>21.2585</v>
      </c>
      <c r="H21" s="16" t="n">
        <v>0.36</v>
      </c>
    </row>
    <row r="22" customFormat="false" ht="15" hidden="false" customHeight="false" outlineLevel="0" collapsed="false">
      <c r="A22" s="7" t="s">
        <v>149</v>
      </c>
      <c r="B22" s="20" t="n">
        <v>24</v>
      </c>
      <c r="C22" s="20" t="n">
        <v>48</v>
      </c>
      <c r="D22" s="21" t="n">
        <f aca="false">AVERAGE(B22,C22)/12</f>
        <v>3</v>
      </c>
      <c r="E22" s="16" t="n">
        <v>0.39</v>
      </c>
      <c r="F22" s="10" t="n">
        <f aca="false">E22*$C$19</f>
        <v>40.443</v>
      </c>
      <c r="G22" s="10" t="n">
        <f aca="false">F22/((C22-B22)/12)</f>
        <v>20.2215</v>
      </c>
      <c r="H22" s="16" t="n">
        <v>0.39</v>
      </c>
    </row>
    <row r="23" customFormat="false" ht="15" hidden="false" customHeight="false" outlineLevel="0" collapsed="false">
      <c r="A23" s="7" t="s">
        <v>150</v>
      </c>
      <c r="B23" s="20" t="n">
        <v>48</v>
      </c>
      <c r="C23" s="20" t="n">
        <v>78</v>
      </c>
      <c r="D23" s="21" t="n">
        <f aca="false">AVERAGE(B23,C23)/12</f>
        <v>5.25</v>
      </c>
      <c r="E23" s="16" t="n">
        <v>0.2</v>
      </c>
      <c r="F23" s="10" t="n">
        <f aca="false">E23*$C$19</f>
        <v>20.74</v>
      </c>
      <c r="G23" s="10" t="n">
        <f aca="false">F23/((C23-B23)/12)</f>
        <v>8.296</v>
      </c>
      <c r="H23" s="16" t="n">
        <v>0.25</v>
      </c>
    </row>
    <row r="24" customFormat="false" ht="15" hidden="false" customHeight="false" outlineLevel="0" collapsed="false">
      <c r="A24" s="7" t="s">
        <v>151</v>
      </c>
      <c r="E24" s="12" t="n">
        <f aca="false">SUM(E21:E23)</f>
        <v>1</v>
      </c>
      <c r="H24" s="12" t="n">
        <f aca="false">SUM(H21:H23)</f>
        <v>1</v>
      </c>
    </row>
    <row r="25" customFormat="false" ht="31.3" hidden="false" customHeight="false" outlineLevel="0" collapsed="false">
      <c r="A25" s="7" t="s">
        <v>152</v>
      </c>
      <c r="E25" s="22" t="n">
        <f aca="false">SUMPRODUCT(D21:D23,E21:E23)</f>
        <v>2.63</v>
      </c>
      <c r="H25" s="4" t="s">
        <v>153</v>
      </c>
    </row>
    <row r="26" customFormat="false" ht="31.3" hidden="false" customHeight="false" outlineLevel="0" collapsed="false">
      <c r="A26" s="7" t="s">
        <v>154</v>
      </c>
      <c r="E26" s="22" t="n">
        <f aca="false">D21*H21+D22*H22+(AVERAGE(48,84)/12)*H23</f>
        <v>2.905</v>
      </c>
      <c r="H26" s="4" t="s">
        <v>155</v>
      </c>
    </row>
    <row r="27" customFormat="false" ht="16.4" hidden="false" customHeight="false" outlineLevel="0" collapsed="false">
      <c r="A27" s="7" t="s">
        <v>156</v>
      </c>
      <c r="E27" s="11" t="n">
        <f aca="false">C23/12</f>
        <v>6.5</v>
      </c>
      <c r="H27" s="4" t="s">
        <v>157</v>
      </c>
    </row>
    <row r="28" customFormat="false" ht="31.3" hidden="false" customHeight="false" outlineLevel="0" collapsed="false">
      <c r="A28" s="7" t="s">
        <v>158</v>
      </c>
      <c r="E28" s="12" t="n">
        <f aca="false">G23/G22-1</f>
        <v>-0.58974358974359</v>
      </c>
      <c r="H28" s="4" t="s">
        <v>159</v>
      </c>
    </row>
    <row r="29" customFormat="false" ht="31.3" hidden="false" customHeight="false" outlineLevel="0" collapsed="false">
      <c r="A29" s="7" t="s">
        <v>160</v>
      </c>
      <c r="E29" s="23" t="n">
        <f aca="false">G21/E12</f>
        <v>1.6608203125</v>
      </c>
      <c r="H29" s="4" t="s">
        <v>161</v>
      </c>
    </row>
    <row r="31" customFormat="false" ht="15" hidden="false" customHeight="false" outlineLevel="0" collapsed="false">
      <c r="A31" s="5" t="s">
        <v>162</v>
      </c>
      <c r="B31" s="6"/>
      <c r="C31" s="6"/>
      <c r="D31" s="6"/>
      <c r="E31" s="6"/>
      <c r="F31" s="6"/>
      <c r="G31" s="6"/>
      <c r="H31" s="6"/>
    </row>
    <row r="32" customFormat="false" ht="31.5" hidden="false" customHeight="true" outlineLevel="0" collapsed="false">
      <c r="A32" s="8" t="s">
        <v>163</v>
      </c>
      <c r="B32" s="8" t="s">
        <v>164</v>
      </c>
      <c r="C32" s="8" t="s">
        <v>165</v>
      </c>
      <c r="D32" s="8" t="s">
        <v>166</v>
      </c>
      <c r="E32" s="8" t="s">
        <v>167</v>
      </c>
      <c r="F32" s="8" t="s">
        <v>168</v>
      </c>
      <c r="G32" s="8" t="s">
        <v>169</v>
      </c>
      <c r="H32" s="8" t="s">
        <v>170</v>
      </c>
    </row>
    <row r="33" customFormat="false" ht="30" hidden="false" customHeight="true" outlineLevel="0" collapsed="false">
      <c r="A33" s="7" t="s">
        <v>171</v>
      </c>
      <c r="B33" s="18" t="n">
        <v>45726</v>
      </c>
      <c r="C33" s="14" t="n">
        <v>11.9</v>
      </c>
      <c r="D33" s="18" t="n">
        <v>47573</v>
      </c>
      <c r="E33" s="24" t="n">
        <f aca="false">IF(AND(ISNUMBER(B33),ISNUMBER(D33)),(D33-B33)/365.25,0)</f>
        <v>5.05681040383299</v>
      </c>
      <c r="F33" s="24" t="n">
        <f aca="false">IF(ISNUMBER(D33),MAX(0,(D33-DATE(2026,6,30))/365.25),0)</f>
        <v>3.75085557837098</v>
      </c>
      <c r="G33" s="9" t="s">
        <v>172</v>
      </c>
      <c r="H33" s="4" t="s">
        <v>173</v>
      </c>
    </row>
    <row r="34" customFormat="false" ht="30" hidden="false" customHeight="true" outlineLevel="0" collapsed="false">
      <c r="A34" s="7" t="s">
        <v>174</v>
      </c>
      <c r="B34" s="18" t="n">
        <v>45792</v>
      </c>
      <c r="C34" s="14" t="n">
        <v>4</v>
      </c>
      <c r="D34" s="18" t="n">
        <v>47238</v>
      </c>
      <c r="E34" s="24" t="n">
        <f aca="false">IF(AND(ISNUMBER(B34),ISNUMBER(D34)),(D34-B34)/365.25,0)</f>
        <v>3.95893223819302</v>
      </c>
      <c r="F34" s="24" t="n">
        <f aca="false">IF(ISNUMBER(D34),MAX(0,(D34-DATE(2026,6,30))/365.25),0)</f>
        <v>2.83367556468173</v>
      </c>
      <c r="G34" s="9" t="s">
        <v>172</v>
      </c>
      <c r="H34" s="4" t="s">
        <v>175</v>
      </c>
    </row>
    <row r="35" customFormat="false" ht="30" hidden="false" customHeight="true" outlineLevel="0" collapsed="false">
      <c r="A35" s="7" t="s">
        <v>176</v>
      </c>
      <c r="B35" s="18" t="n">
        <v>45925</v>
      </c>
      <c r="C35" s="14" t="n">
        <v>6.5</v>
      </c>
      <c r="D35" s="18" t="n">
        <v>47999</v>
      </c>
      <c r="E35" s="24" t="n">
        <f aca="false">IF(AND(ISNUMBER(B35),ISNUMBER(D35)),(D35-B35)/365.25,0)</f>
        <v>5.67830253251198</v>
      </c>
      <c r="F35" s="24" t="n">
        <f aca="false">IF(ISNUMBER(D35),MAX(0,(D35-DATE(2026,6,30))/365.25),0)</f>
        <v>4.91718001368925</v>
      </c>
      <c r="G35" s="9" t="s">
        <v>172</v>
      </c>
      <c r="H35" s="4" t="s">
        <v>177</v>
      </c>
    </row>
    <row r="36" customFormat="false" ht="30" hidden="false" customHeight="true" outlineLevel="0" collapsed="false">
      <c r="A36" s="7" t="s">
        <v>178</v>
      </c>
      <c r="B36" s="18" t="n">
        <v>45930</v>
      </c>
      <c r="C36" s="14" t="n">
        <v>14.2</v>
      </c>
      <c r="D36" s="18" t="n">
        <v>48196</v>
      </c>
      <c r="E36" s="24" t="n">
        <f aca="false">IF(AND(ISNUMBER(B36),ISNUMBER(D36)),(D36-B36)/365.25,0)</f>
        <v>6.20396988364134</v>
      </c>
      <c r="F36" s="24" t="n">
        <f aca="false">IF(ISNUMBER(D36),MAX(0,(D36-DATE(2026,6,30))/365.25),0)</f>
        <v>5.45653661875428</v>
      </c>
      <c r="G36" s="9" t="s">
        <v>179</v>
      </c>
      <c r="H36" s="4" t="s">
        <v>180</v>
      </c>
    </row>
    <row r="37" customFormat="false" ht="30" hidden="false" customHeight="true" outlineLevel="0" collapsed="false">
      <c r="A37" s="7" t="s">
        <v>181</v>
      </c>
      <c r="B37" s="18" t="n">
        <v>46112</v>
      </c>
      <c r="C37" s="14" t="n">
        <v>21</v>
      </c>
      <c r="D37" s="18" t="n">
        <v>48568</v>
      </c>
      <c r="E37" s="24" t="n">
        <f aca="false">IF(AND(ISNUMBER(B37),ISNUMBER(D37)),(D37-B37)/365.25,0)</f>
        <v>6.72416153319644</v>
      </c>
      <c r="F37" s="24" t="n">
        <f aca="false">IF(ISNUMBER(D37),MAX(0,(D37-DATE(2026,6,30))/365.25),0)</f>
        <v>6.47501711156742</v>
      </c>
      <c r="G37" s="9" t="s">
        <v>179</v>
      </c>
      <c r="H37" s="4" t="s">
        <v>182</v>
      </c>
    </row>
    <row r="38" customFormat="false" ht="30" hidden="false" customHeight="true" outlineLevel="0" collapsed="false">
      <c r="A38" s="7" t="s">
        <v>183</v>
      </c>
      <c r="B38" s="18" t="n">
        <v>45925</v>
      </c>
      <c r="C38" s="14" t="n">
        <v>6.3</v>
      </c>
      <c r="D38" s="18" t="n">
        <v>48317</v>
      </c>
      <c r="E38" s="24" t="n">
        <f aca="false">IF(AND(ISNUMBER(B38),ISNUMBER(D38)),(D38-B38)/365.25,0)</f>
        <v>6.54893908281999</v>
      </c>
      <c r="F38" s="24" t="n">
        <f aca="false">IF(ISNUMBER(D38),MAX(0,(D38-DATE(2026,6,30))/365.25),0)</f>
        <v>5.78781656399726</v>
      </c>
      <c r="G38" s="9" t="s">
        <v>179</v>
      </c>
      <c r="H38" s="4" t="s">
        <v>184</v>
      </c>
    </row>
    <row r="39" customFormat="false" ht="30" hidden="false" customHeight="true" outlineLevel="0" collapsed="false">
      <c r="A39" s="7" t="s">
        <v>185</v>
      </c>
      <c r="B39" s="18" t="n">
        <v>46127</v>
      </c>
      <c r="C39" s="14" t="n">
        <v>6</v>
      </c>
      <c r="D39" s="18"/>
      <c r="E39" s="24" t="n">
        <f aca="false">IF(AND(ISNUMBER(B39),ISNUMBER(D39)),(D39-B39)/365.25,0)</f>
        <v>0</v>
      </c>
      <c r="F39" s="24" t="n">
        <f aca="false">IF(ISNUMBER(D39),MAX(0,(D39-DATE(2026,6,30))/365.25),0)</f>
        <v>0</v>
      </c>
      <c r="G39" s="9" t="s">
        <v>186</v>
      </c>
      <c r="H39" s="4" t="s">
        <v>187</v>
      </c>
    </row>
    <row r="40" customFormat="false" ht="30" hidden="false" customHeight="true" outlineLevel="0" collapsed="false">
      <c r="A40" s="7" t="s">
        <v>188</v>
      </c>
      <c r="B40" s="18"/>
      <c r="C40" s="14"/>
      <c r="D40" s="18"/>
      <c r="E40" s="24" t="n">
        <f aca="false">IF(AND(ISNUMBER(B40),ISNUMBER(D40)),(D40-B40)/365.25,0)</f>
        <v>0</v>
      </c>
      <c r="F40" s="24" t="n">
        <f aca="false">IF(ISNUMBER(D40),MAX(0,(D40-DATE(2026,6,30))/365.25),0)</f>
        <v>0</v>
      </c>
      <c r="G40" s="9" t="s">
        <v>179</v>
      </c>
      <c r="H40" s="4" t="s">
        <v>189</v>
      </c>
    </row>
    <row r="41" customFormat="false" ht="76.1" hidden="false" customHeight="false" outlineLevel="0" collapsed="false">
      <c r="A41" s="7" t="s">
        <v>190</v>
      </c>
      <c r="C41" s="10" t="n">
        <f aca="false">SUMPRODUCT(--(F33:F40&gt;0),C33:C40)</f>
        <v>63.9</v>
      </c>
      <c r="E41" s="22" t="n">
        <f aca="false">SUMPRODUCT(C33:C40,E33:E40)/C41</f>
        <v>6.0012960874227</v>
      </c>
      <c r="F41" s="22" t="n">
        <f aca="false">SUMPRODUCT(C33:C40,F33:F40)/C41</f>
        <v>5.2872140440177</v>
      </c>
      <c r="H41" s="4" t="s">
        <v>191</v>
      </c>
    </row>
    <row r="42" customFormat="false" ht="15" hidden="false" customHeight="false" outlineLevel="0" collapsed="false">
      <c r="A42" s="7" t="s">
        <v>192</v>
      </c>
      <c r="C42" s="12" t="n">
        <f aca="false">SUM(C33:C40)/$C$19</f>
        <v>0.674059787849566</v>
      </c>
    </row>
    <row r="44" customFormat="false" ht="15" hidden="false" customHeight="false" outlineLevel="0" collapsed="false">
      <c r="A44" s="5" t="s">
        <v>193</v>
      </c>
      <c r="B44" s="6"/>
      <c r="C44" s="6"/>
      <c r="D44" s="6"/>
      <c r="E44" s="6"/>
      <c r="F44" s="6"/>
      <c r="G44" s="6"/>
      <c r="H44" s="6"/>
    </row>
    <row r="45" customFormat="false" ht="31.5" hidden="false" customHeight="true" outlineLevel="0" collapsed="false">
      <c r="A45" s="8" t="s">
        <v>194</v>
      </c>
      <c r="B45" s="8" t="s">
        <v>126</v>
      </c>
      <c r="C45" s="8" t="s">
        <v>118</v>
      </c>
      <c r="D45" s="8" t="s">
        <v>195</v>
      </c>
      <c r="E45" s="8" t="s">
        <v>196</v>
      </c>
      <c r="F45" s="8"/>
      <c r="G45" s="8"/>
      <c r="H45" s="8" t="s">
        <v>117</v>
      </c>
    </row>
    <row r="46" customFormat="false" ht="31.3" hidden="false" customHeight="false" outlineLevel="0" collapsed="false">
      <c r="A46" s="3" t="s">
        <v>197</v>
      </c>
      <c r="B46" s="16" t="n">
        <v>0.98</v>
      </c>
      <c r="C46" s="16" t="n">
        <v>0.98</v>
      </c>
      <c r="D46" s="16" t="n">
        <v>0.98</v>
      </c>
      <c r="E46" s="16" t="n">
        <v>0.98</v>
      </c>
      <c r="H46" s="4" t="s">
        <v>198</v>
      </c>
    </row>
    <row r="47" customFormat="false" ht="16.4" hidden="false" customHeight="false" outlineLevel="0" collapsed="false">
      <c r="A47" s="3" t="s">
        <v>199</v>
      </c>
      <c r="B47" s="12" t="n">
        <f aca="false">1-B46</f>
        <v>0.02</v>
      </c>
      <c r="C47" s="12" t="n">
        <f aca="false">1-C46</f>
        <v>0.02</v>
      </c>
      <c r="D47" s="12" t="n">
        <f aca="false">1-D46</f>
        <v>0.02</v>
      </c>
      <c r="E47" s="12" t="n">
        <f aca="false">1-E46</f>
        <v>0.02</v>
      </c>
      <c r="H47" s="4" t="s">
        <v>200</v>
      </c>
    </row>
    <row r="48" customFormat="false" ht="16.4" hidden="false" customHeight="false" outlineLevel="0" collapsed="false">
      <c r="A48" s="3" t="s">
        <v>201</v>
      </c>
      <c r="B48" s="16" t="n">
        <v>0.36</v>
      </c>
      <c r="C48" s="16" t="n">
        <v>0.71</v>
      </c>
      <c r="D48" s="16" t="n">
        <v>0.4</v>
      </c>
      <c r="E48" s="16" t="n">
        <v>0.72</v>
      </c>
      <c r="H48" s="4" t="s">
        <v>202</v>
      </c>
    </row>
    <row r="49" customFormat="false" ht="16.4" hidden="false" customHeight="false" outlineLevel="0" collapsed="false">
      <c r="A49" s="3" t="s">
        <v>203</v>
      </c>
      <c r="B49" s="16" t="n">
        <v>0.26</v>
      </c>
      <c r="C49" s="16"/>
      <c r="D49" s="16" t="n">
        <v>0.23</v>
      </c>
      <c r="E49" s="16"/>
      <c r="H49" s="4"/>
    </row>
    <row r="50" customFormat="false" ht="16.4" hidden="false" customHeight="false" outlineLevel="0" collapsed="false">
      <c r="A50" s="3" t="s">
        <v>204</v>
      </c>
      <c r="B50" s="16" t="n">
        <v>0.1</v>
      </c>
      <c r="C50" s="16"/>
      <c r="D50" s="16"/>
      <c r="E50" s="16"/>
      <c r="H50" s="4"/>
    </row>
    <row r="51" customFormat="false" ht="16.4" hidden="false" customHeight="false" outlineLevel="0" collapsed="false">
      <c r="A51" s="3" t="s">
        <v>205</v>
      </c>
      <c r="B51" s="12" t="n">
        <f aca="false">SUM(B48:B50)</f>
        <v>0.72</v>
      </c>
      <c r="C51" s="16"/>
      <c r="D51" s="16"/>
      <c r="E51" s="16"/>
      <c r="H51" s="4"/>
    </row>
    <row r="53" customFormat="false" ht="15" hidden="false" customHeight="false" outlineLevel="0" collapsed="false">
      <c r="A53" s="5" t="s">
        <v>206</v>
      </c>
      <c r="B53" s="6"/>
      <c r="C53" s="6"/>
      <c r="D53" s="6"/>
      <c r="E53" s="6"/>
      <c r="F53" s="6"/>
      <c r="G53" s="6"/>
      <c r="H53" s="6"/>
    </row>
    <row r="54" customFormat="false" ht="30" hidden="false" customHeight="true" outlineLevel="0" collapsed="false">
      <c r="A54" s="4" t="s">
        <v>207</v>
      </c>
      <c r="B54" s="4"/>
      <c r="C54" s="4"/>
      <c r="D54" s="4"/>
      <c r="E54" s="4"/>
      <c r="F54" s="4"/>
      <c r="G54" s="4"/>
      <c r="H54" s="4"/>
    </row>
    <row r="55" customFormat="false" ht="30" hidden="false" customHeight="true" outlineLevel="0" collapsed="false">
      <c r="A55" s="4" t="s">
        <v>208</v>
      </c>
      <c r="B55" s="4"/>
      <c r="C55" s="4"/>
      <c r="D55" s="4"/>
      <c r="E55" s="4"/>
      <c r="F55" s="4"/>
      <c r="G55" s="4"/>
      <c r="H55" s="4"/>
    </row>
    <row r="56" customFormat="false" ht="30" hidden="false" customHeight="true" outlineLevel="0" collapsed="false">
      <c r="A56" s="4" t="s">
        <v>209</v>
      </c>
      <c r="B56" s="4"/>
      <c r="C56" s="4"/>
      <c r="D56" s="4"/>
      <c r="E56" s="4"/>
      <c r="F56" s="4"/>
      <c r="G56" s="4"/>
      <c r="H56" s="4"/>
    </row>
    <row r="57" customFormat="false" ht="30" hidden="false" customHeight="true" outlineLevel="0" collapsed="false">
      <c r="A57" s="4" t="s">
        <v>210</v>
      </c>
      <c r="B57" s="4"/>
      <c r="C57" s="4"/>
      <c r="D57" s="4"/>
      <c r="E57" s="4"/>
      <c r="F57" s="4"/>
      <c r="G57" s="4"/>
      <c r="H57" s="4"/>
    </row>
    <row r="58" customFormat="false" ht="30" hidden="false" customHeight="true" outlineLevel="0" collapsed="false">
      <c r="A58" s="4" t="s">
        <v>211</v>
      </c>
      <c r="B58" s="4"/>
      <c r="C58" s="4"/>
      <c r="D58" s="4"/>
      <c r="E58" s="4"/>
      <c r="F58" s="4"/>
      <c r="G58" s="4"/>
      <c r="H58" s="4"/>
    </row>
  </sheetData>
  <mergeCells count="5">
    <mergeCell ref="A54:H54"/>
    <mergeCell ref="A55:H55"/>
    <mergeCell ref="A56:H56"/>
    <mergeCell ref="A57:H57"/>
    <mergeCell ref="A58:H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3"/>
    <col collapsed="false" customWidth="true" hidden="false" outlineLevel="0" max="4" min="3" style="0" width="14"/>
    <col collapsed="false" customWidth="true" hidden="false" outlineLevel="0" max="5" min="5" style="0" width="15"/>
    <col collapsed="false" customWidth="true" hidden="false" outlineLevel="0" max="7" min="6" style="0" width="18"/>
    <col collapsed="false" customWidth="true" hidden="false" outlineLevel="0" max="8" min="8" style="0" width="22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1" t="s">
        <v>212</v>
      </c>
    </row>
    <row r="2" customFormat="false" ht="15" hidden="false" customHeight="false" outlineLevel="0" collapsed="false">
      <c r="A2" s="2" t="s">
        <v>213</v>
      </c>
    </row>
    <row r="4" customFormat="false" ht="15" hidden="false" customHeight="false" outlineLevel="0" collapsed="false">
      <c r="A4" s="5" t="s">
        <v>214</v>
      </c>
      <c r="B4" s="6"/>
      <c r="C4" s="6"/>
      <c r="D4" s="6"/>
      <c r="E4" s="6"/>
      <c r="F4" s="6"/>
      <c r="G4" s="6"/>
      <c r="H4" s="6"/>
    </row>
    <row r="5" customFormat="false" ht="31.5" hidden="false" customHeight="true" outlineLevel="0" collapsed="false">
      <c r="A5" s="8" t="s">
        <v>110</v>
      </c>
      <c r="B5" s="8" t="s">
        <v>111</v>
      </c>
      <c r="C5" s="8" t="s">
        <v>112</v>
      </c>
      <c r="D5" s="8" t="s">
        <v>113</v>
      </c>
      <c r="E5" s="8" t="s">
        <v>215</v>
      </c>
      <c r="F5" s="8" t="s">
        <v>216</v>
      </c>
      <c r="G5" s="8" t="s">
        <v>217</v>
      </c>
      <c r="H5" s="8" t="s">
        <v>117</v>
      </c>
    </row>
    <row r="6" customFormat="false" ht="46.25" hidden="false" customHeight="false" outlineLevel="0" collapsed="false">
      <c r="A6" s="7" t="s">
        <v>122</v>
      </c>
      <c r="B6" s="18" t="n">
        <v>46022</v>
      </c>
      <c r="C6" s="25" t="n">
        <v>228</v>
      </c>
      <c r="D6" s="10" t="n">
        <f aca="false">C6*4/1000</f>
        <v>0.912</v>
      </c>
      <c r="E6" s="26" t="n">
        <v>1.25</v>
      </c>
      <c r="F6" s="14"/>
      <c r="G6" s="11" t="str">
        <f aca="false">IF(ISNUMBER(F6),F6/E6,"")</f>
        <v/>
      </c>
      <c r="H6" s="4" t="s">
        <v>218</v>
      </c>
    </row>
    <row r="7" customFormat="false" ht="46.25" hidden="false" customHeight="false" outlineLevel="0" collapsed="false">
      <c r="A7" s="7" t="s">
        <v>124</v>
      </c>
      <c r="B7" s="18" t="n">
        <v>46112</v>
      </c>
      <c r="C7" s="25" t="n">
        <v>399</v>
      </c>
      <c r="D7" s="10" t="n">
        <f aca="false">C7*4/1000</f>
        <v>1.596</v>
      </c>
      <c r="E7" s="26" t="n">
        <v>1.92</v>
      </c>
      <c r="F7" s="14"/>
      <c r="G7" s="11" t="str">
        <f aca="false">IF(ISNUMBER(F7),F7/E7,"")</f>
        <v/>
      </c>
      <c r="H7" s="4" t="s">
        <v>219</v>
      </c>
    </row>
    <row r="8" customFormat="false" ht="76.1" hidden="false" customHeight="false" outlineLevel="0" collapsed="false">
      <c r="A8" s="7" t="s">
        <v>126</v>
      </c>
      <c r="B8" s="18" t="n">
        <v>46203</v>
      </c>
      <c r="C8" s="25" t="n">
        <v>582.3</v>
      </c>
      <c r="D8" s="10" t="n">
        <f aca="false">C8*4/1000</f>
        <v>2.3292</v>
      </c>
      <c r="E8" s="26" t="n">
        <v>3</v>
      </c>
      <c r="F8" s="14" t="n">
        <v>40</v>
      </c>
      <c r="G8" s="11" t="n">
        <f aca="false">IF(ISNUMBER(F8),F8/E8,"")</f>
        <v>13.3333333333333</v>
      </c>
      <c r="H8" s="4" t="s">
        <v>220</v>
      </c>
    </row>
    <row r="10" customFormat="false" ht="16.4" hidden="false" customHeight="false" outlineLevel="0" collapsed="false">
      <c r="A10" s="7" t="s">
        <v>221</v>
      </c>
      <c r="C10" s="14" t="n">
        <v>3</v>
      </c>
      <c r="D10" s="14" t="n">
        <v>3.4</v>
      </c>
      <c r="E10" s="10" t="n">
        <f aca="false">AVERAGE(C10,D10)</f>
        <v>3.2</v>
      </c>
      <c r="H10" s="4" t="s">
        <v>222</v>
      </c>
    </row>
    <row r="11" customFormat="false" ht="15" hidden="false" customHeight="false" outlineLevel="0" collapsed="false">
      <c r="A11" s="7" t="s">
        <v>223</v>
      </c>
      <c r="C11" s="14" t="n">
        <v>7</v>
      </c>
      <c r="D11" s="14" t="n">
        <v>9</v>
      </c>
      <c r="E11" s="10" t="n">
        <f aca="false">AVERAGE(C11,D11)</f>
        <v>8</v>
      </c>
    </row>
    <row r="12" customFormat="false" ht="46.25" hidden="false" customHeight="false" outlineLevel="0" collapsed="false">
      <c r="A12" s="7" t="s">
        <v>224</v>
      </c>
      <c r="E12" s="11" t="n">
        <f aca="false">F8/E11</f>
        <v>5</v>
      </c>
      <c r="H12" s="4" t="s">
        <v>225</v>
      </c>
    </row>
    <row r="13" customFormat="false" ht="76.1" hidden="false" customHeight="false" outlineLevel="0" collapsed="false">
      <c r="A13" s="7" t="s">
        <v>226</v>
      </c>
      <c r="E13" s="14" t="n">
        <v>9</v>
      </c>
      <c r="H13" s="4" t="s">
        <v>227</v>
      </c>
    </row>
    <row r="15" customFormat="false" ht="15" hidden="false" customHeight="false" outlineLevel="0" collapsed="false">
      <c r="A15" s="5" t="s">
        <v>228</v>
      </c>
      <c r="B15" s="6"/>
      <c r="C15" s="6"/>
      <c r="D15" s="6"/>
      <c r="E15" s="6"/>
      <c r="F15" s="6"/>
      <c r="G15" s="6"/>
      <c r="H15" s="6"/>
      <c r="I15" s="6"/>
    </row>
    <row r="16" customFormat="false" ht="31.5" hidden="false" customHeight="true" outlineLevel="0" collapsed="false">
      <c r="A16" s="8" t="s">
        <v>229</v>
      </c>
      <c r="B16" s="8" t="s">
        <v>230</v>
      </c>
      <c r="C16" s="8" t="s">
        <v>231</v>
      </c>
      <c r="D16" s="8" t="s">
        <v>232</v>
      </c>
      <c r="E16" s="8" t="s">
        <v>233</v>
      </c>
      <c r="F16" s="8" t="s">
        <v>234</v>
      </c>
      <c r="G16" s="8" t="s">
        <v>168</v>
      </c>
      <c r="H16" s="8" t="s">
        <v>169</v>
      </c>
      <c r="I16" s="8" t="s">
        <v>170</v>
      </c>
    </row>
    <row r="17" customFormat="false" ht="30" hidden="false" customHeight="true" outlineLevel="0" collapsed="false">
      <c r="A17" s="7" t="s">
        <v>235</v>
      </c>
      <c r="B17" s="18" t="n">
        <v>45908</v>
      </c>
      <c r="C17" s="14" t="n">
        <v>17.4</v>
      </c>
      <c r="D17" s="27" t="n">
        <v>5</v>
      </c>
      <c r="E17" s="28" t="n">
        <v>46023</v>
      </c>
      <c r="F17" s="29" t="n">
        <f aca="false">EDATE(E17,ROUND(D17*12,0))</f>
        <v>47849</v>
      </c>
      <c r="G17" s="22" t="n">
        <f aca="false">MAX(0,(F17-DATE(2026,6,30))/365.25)</f>
        <v>4.50650239561944</v>
      </c>
      <c r="H17" s="9" t="s">
        <v>179</v>
      </c>
      <c r="I17" s="4" t="s">
        <v>236</v>
      </c>
    </row>
    <row r="18" customFormat="false" ht="30" hidden="false" customHeight="true" outlineLevel="0" collapsed="false">
      <c r="A18" s="7" t="s">
        <v>237</v>
      </c>
      <c r="B18" s="18" t="n">
        <v>45962</v>
      </c>
      <c r="C18" s="14" t="n">
        <v>3</v>
      </c>
      <c r="D18" s="27" t="n">
        <v>5</v>
      </c>
      <c r="E18" s="28" t="n">
        <v>46023</v>
      </c>
      <c r="F18" s="29" t="n">
        <f aca="false">EDATE(E18,ROUND(D18*12,0))</f>
        <v>47849</v>
      </c>
      <c r="G18" s="22" t="n">
        <f aca="false">MAX(0,(F18-DATE(2026,6,30))/365.25)</f>
        <v>4.50650239561944</v>
      </c>
      <c r="H18" s="9" t="s">
        <v>179</v>
      </c>
      <c r="I18" s="4" t="s">
        <v>238</v>
      </c>
    </row>
    <row r="19" customFormat="false" ht="30" hidden="false" customHeight="true" outlineLevel="0" collapsed="false">
      <c r="A19" s="7" t="s">
        <v>239</v>
      </c>
      <c r="B19" s="18" t="n">
        <v>46096</v>
      </c>
      <c r="C19" s="14" t="n">
        <v>12</v>
      </c>
      <c r="D19" s="27" t="n">
        <v>5</v>
      </c>
      <c r="E19" s="28" t="n">
        <v>46447</v>
      </c>
      <c r="F19" s="29" t="n">
        <f aca="false">EDATE(E19,ROUND(D19*12,0))</f>
        <v>48274</v>
      </c>
      <c r="G19" s="22" t="n">
        <f aca="false">MAX(0,(F19-DATE(2026,6,30))/365.25)</f>
        <v>5.67008898015058</v>
      </c>
      <c r="H19" s="9" t="s">
        <v>179</v>
      </c>
      <c r="I19" s="4" t="s">
        <v>240</v>
      </c>
    </row>
    <row r="20" customFormat="false" ht="30" hidden="false" customHeight="true" outlineLevel="0" collapsed="false">
      <c r="A20" s="7" t="s">
        <v>241</v>
      </c>
      <c r="B20" s="18" t="n">
        <v>46157</v>
      </c>
      <c r="C20" s="14" t="n">
        <v>1</v>
      </c>
      <c r="D20" s="30" t="n">
        <v>2</v>
      </c>
      <c r="E20" s="28" t="n">
        <v>46296</v>
      </c>
      <c r="F20" s="29" t="n">
        <f aca="false">EDATE(E20,ROUND(D20*12,0))</f>
        <v>47027</v>
      </c>
      <c r="G20" s="22" t="n">
        <f aca="false">MAX(0,(F20-DATE(2026,6,30))/365.25)</f>
        <v>2.25598904859685</v>
      </c>
      <c r="H20" s="9" t="s">
        <v>172</v>
      </c>
      <c r="I20" s="4" t="s">
        <v>242</v>
      </c>
    </row>
    <row r="21" customFormat="false" ht="30" hidden="false" customHeight="true" outlineLevel="0" collapsed="false">
      <c r="A21" s="7" t="s">
        <v>243</v>
      </c>
      <c r="B21" s="18" t="n">
        <v>46157</v>
      </c>
      <c r="C21" s="14" t="n">
        <v>1</v>
      </c>
      <c r="D21" s="30" t="n">
        <v>2</v>
      </c>
      <c r="E21" s="28" t="n">
        <v>46296</v>
      </c>
      <c r="F21" s="29" t="n">
        <f aca="false">EDATE(E21,ROUND(D21*12,0))</f>
        <v>47027</v>
      </c>
      <c r="G21" s="22" t="n">
        <f aca="false">MAX(0,(F21-DATE(2026,6,30))/365.25)</f>
        <v>2.25598904859685</v>
      </c>
      <c r="H21" s="9" t="s">
        <v>172</v>
      </c>
      <c r="I21" s="4" t="s">
        <v>244</v>
      </c>
    </row>
    <row r="22" customFormat="false" ht="30" hidden="false" customHeight="true" outlineLevel="0" collapsed="false">
      <c r="A22" s="7" t="s">
        <v>245</v>
      </c>
      <c r="B22" s="18" t="n">
        <v>46157</v>
      </c>
      <c r="C22" s="14" t="n">
        <v>1</v>
      </c>
      <c r="D22" s="30" t="n">
        <v>2</v>
      </c>
      <c r="E22" s="28" t="n">
        <v>46296</v>
      </c>
      <c r="F22" s="29" t="n">
        <f aca="false">EDATE(E22,ROUND(D22*12,0))</f>
        <v>47027</v>
      </c>
      <c r="G22" s="22" t="n">
        <f aca="false">MAX(0,(F22-DATE(2026,6,30))/365.25)</f>
        <v>2.25598904859685</v>
      </c>
      <c r="H22" s="9" t="s">
        <v>172</v>
      </c>
      <c r="I22" s="4" t="s">
        <v>244</v>
      </c>
    </row>
    <row r="23" customFormat="false" ht="30" hidden="false" customHeight="true" outlineLevel="0" collapsed="false">
      <c r="A23" s="7" t="s">
        <v>246</v>
      </c>
      <c r="B23" s="18" t="n">
        <v>46157</v>
      </c>
      <c r="C23" s="14" t="n">
        <v>1</v>
      </c>
      <c r="D23" s="30" t="n">
        <v>2</v>
      </c>
      <c r="E23" s="28" t="n">
        <v>46296</v>
      </c>
      <c r="F23" s="29" t="n">
        <f aca="false">EDATE(E23,ROUND(D23*12,0))</f>
        <v>47027</v>
      </c>
      <c r="G23" s="22" t="n">
        <f aca="false">MAX(0,(F23-DATE(2026,6,30))/365.25)</f>
        <v>2.25598904859685</v>
      </c>
      <c r="H23" s="9" t="s">
        <v>186</v>
      </c>
      <c r="I23" s="4" t="s">
        <v>244</v>
      </c>
    </row>
    <row r="24" customFormat="false" ht="30" hidden="false" customHeight="true" outlineLevel="0" collapsed="false">
      <c r="A24" s="7" t="s">
        <v>247</v>
      </c>
      <c r="B24" s="18"/>
      <c r="C24" s="10" t="n">
        <f aca="false">F8-SUM(C17:C23)</f>
        <v>3.6</v>
      </c>
      <c r="D24" s="30" t="n">
        <v>2</v>
      </c>
      <c r="E24" s="28" t="n">
        <v>46204</v>
      </c>
      <c r="F24" s="29" t="n">
        <f aca="false">EDATE(E24,ROUND(D24*12,0))</f>
        <v>46935</v>
      </c>
      <c r="G24" s="22" t="n">
        <f aca="false">MAX(0,(F24-DATE(2026,6,30))/365.25)</f>
        <v>2.0041067761807</v>
      </c>
      <c r="H24" s="9" t="s">
        <v>248</v>
      </c>
      <c r="I24" s="4" t="s">
        <v>249</v>
      </c>
    </row>
    <row r="25" customFormat="false" ht="31.3" hidden="false" customHeight="false" outlineLevel="0" collapsed="false">
      <c r="A25" s="7" t="s">
        <v>250</v>
      </c>
      <c r="C25" s="10" t="n">
        <f aca="false">SUM(C17:C24)</f>
        <v>40</v>
      </c>
      <c r="D25" s="22" t="n">
        <f aca="false">SUMPRODUCT(C17:C24,D17:D24)/C25</f>
        <v>4.43</v>
      </c>
      <c r="G25" s="22" t="n">
        <f aca="false">SUMPRODUCT(C17:C24,G17:G24)/C25</f>
        <v>4.40531143052704</v>
      </c>
      <c r="I25" s="4" t="s">
        <v>251</v>
      </c>
    </row>
    <row r="26" customFormat="false" ht="15" hidden="false" customHeight="false" outlineLevel="0" collapsed="false">
      <c r="A26" s="7" t="s">
        <v>252</v>
      </c>
      <c r="C26" s="12" t="n">
        <f aca="false">SUMIF(H17:H24,"Investment grade",C17:C24)/C25</f>
        <v>0.81</v>
      </c>
    </row>
    <row r="27" customFormat="false" ht="15" hidden="false" customHeight="false" outlineLevel="0" collapsed="false">
      <c r="A27" s="7" t="s">
        <v>253</v>
      </c>
      <c r="C27" s="12" t="n">
        <f aca="false">SUMIF(D17:D24,"&lt;=3",C17:C24)/C25</f>
        <v>0.19</v>
      </c>
    </row>
    <row r="28" customFormat="false" ht="31.3" hidden="false" customHeight="false" outlineLevel="0" collapsed="false">
      <c r="A28" s="7" t="s">
        <v>254</v>
      </c>
      <c r="C28" s="10" t="n">
        <f aca="false">SUMIF(H17:H24,"Investment grade",C17:C24)/5</f>
        <v>6.48</v>
      </c>
      <c r="I28" s="4" t="s">
        <v>255</v>
      </c>
    </row>
    <row r="30" customFormat="false" ht="15" hidden="false" customHeight="false" outlineLevel="0" collapsed="false">
      <c r="A30" s="5" t="s">
        <v>256</v>
      </c>
      <c r="B30" s="6"/>
      <c r="C30" s="6"/>
      <c r="D30" s="6"/>
      <c r="E30" s="6"/>
      <c r="F30" s="6"/>
      <c r="G30" s="6"/>
      <c r="H30" s="6"/>
      <c r="I30" s="6"/>
    </row>
    <row r="31" customFormat="false" ht="31.5" hidden="false" customHeight="true" outlineLevel="0" collapsed="false">
      <c r="A31" s="8" t="s">
        <v>257</v>
      </c>
      <c r="B31" s="8" t="s">
        <v>258</v>
      </c>
      <c r="C31" s="8" t="s">
        <v>259</v>
      </c>
      <c r="D31" s="8" t="s">
        <v>260</v>
      </c>
      <c r="E31" s="8" t="s">
        <v>261</v>
      </c>
      <c r="F31" s="8" t="s">
        <v>262</v>
      </c>
      <c r="G31" s="8"/>
      <c r="H31" s="8"/>
      <c r="I31" s="8" t="s">
        <v>263</v>
      </c>
    </row>
    <row r="32" customFormat="false" ht="45" hidden="false" customHeight="true" outlineLevel="0" collapsed="false">
      <c r="A32" s="4" t="s">
        <v>264</v>
      </c>
      <c r="B32" s="4" t="s">
        <v>265</v>
      </c>
      <c r="C32" s="4" t="s">
        <v>266</v>
      </c>
      <c r="D32" s="4" t="s">
        <v>267</v>
      </c>
      <c r="E32" s="4" t="s">
        <v>268</v>
      </c>
      <c r="F32" s="4" t="s">
        <v>269</v>
      </c>
      <c r="G32" s="4"/>
      <c r="H32" s="4"/>
      <c r="I32" s="4" t="s">
        <v>270</v>
      </c>
    </row>
    <row r="33" customFormat="false" ht="45" hidden="false" customHeight="true" outlineLevel="0" collapsed="false">
      <c r="A33" s="4" t="s">
        <v>271</v>
      </c>
      <c r="B33" s="4" t="s">
        <v>272</v>
      </c>
      <c r="C33" s="4" t="s">
        <v>273</v>
      </c>
      <c r="D33" s="4" t="s">
        <v>274</v>
      </c>
      <c r="E33" s="4" t="s">
        <v>275</v>
      </c>
      <c r="F33" s="4" t="s">
        <v>276</v>
      </c>
      <c r="G33" s="4"/>
      <c r="H33" s="4"/>
      <c r="I33" s="4" t="s">
        <v>277</v>
      </c>
    </row>
    <row r="34" customFormat="false" ht="45" hidden="false" customHeight="true" outlineLevel="0" collapsed="false">
      <c r="A34" s="4" t="s">
        <v>278</v>
      </c>
      <c r="B34" s="4" t="s">
        <v>279</v>
      </c>
      <c r="C34" s="4" t="s">
        <v>280</v>
      </c>
      <c r="D34" s="4" t="s">
        <v>281</v>
      </c>
      <c r="E34" s="4" t="s">
        <v>282</v>
      </c>
      <c r="F34" s="4" t="s">
        <v>283</v>
      </c>
      <c r="G34" s="4"/>
      <c r="H34" s="4"/>
      <c r="I34" s="4" t="s">
        <v>284</v>
      </c>
    </row>
    <row r="36" customFormat="false" ht="15" hidden="false" customHeight="false" outlineLevel="0" collapsed="false">
      <c r="A36" s="5" t="s">
        <v>285</v>
      </c>
      <c r="B36" s="6"/>
      <c r="C36" s="6"/>
      <c r="D36" s="6"/>
      <c r="E36" s="6"/>
      <c r="F36" s="6"/>
      <c r="G36" s="6"/>
      <c r="H36" s="6"/>
      <c r="I36" s="6"/>
    </row>
    <row r="37" customFormat="false" ht="30" hidden="false" customHeight="true" outlineLevel="0" collapsed="false">
      <c r="A37" s="4" t="s">
        <v>286</v>
      </c>
      <c r="B37" s="4"/>
      <c r="C37" s="4"/>
      <c r="D37" s="4"/>
      <c r="E37" s="4"/>
      <c r="F37" s="4"/>
      <c r="G37" s="4"/>
      <c r="H37" s="4"/>
      <c r="I37" s="4"/>
    </row>
    <row r="38" customFormat="false" ht="30" hidden="false" customHeight="true" outlineLevel="0" collapsed="false">
      <c r="A38" s="4" t="s">
        <v>287</v>
      </c>
      <c r="B38" s="4"/>
      <c r="C38" s="4"/>
      <c r="D38" s="4"/>
      <c r="E38" s="4"/>
      <c r="F38" s="4"/>
      <c r="G38" s="4"/>
      <c r="H38" s="4"/>
      <c r="I38" s="4"/>
    </row>
    <row r="39" customFormat="false" ht="30" hidden="false" customHeight="true" outlineLevel="0" collapsed="false">
      <c r="A39" s="4" t="s">
        <v>288</v>
      </c>
      <c r="B39" s="4"/>
      <c r="C39" s="4"/>
      <c r="D39" s="4"/>
      <c r="E39" s="4"/>
      <c r="F39" s="4"/>
      <c r="G39" s="4"/>
      <c r="H39" s="4"/>
      <c r="I39" s="4"/>
    </row>
    <row r="40" customFormat="false" ht="30" hidden="false" customHeight="true" outlineLevel="0" collapsed="false">
      <c r="A40" s="4" t="s">
        <v>289</v>
      </c>
      <c r="B40" s="4"/>
      <c r="C40" s="4"/>
      <c r="D40" s="4"/>
      <c r="E40" s="4"/>
      <c r="F40" s="4"/>
      <c r="G40" s="4"/>
      <c r="H40" s="4"/>
      <c r="I40" s="4"/>
    </row>
  </sheetData>
  <mergeCells count="4">
    <mergeCell ref="A37:I37"/>
    <mergeCell ref="A38:I38"/>
    <mergeCell ref="A39:I39"/>
    <mergeCell ref="A40:I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70"/>
  </cols>
  <sheetData>
    <row r="1" customFormat="false" ht="17.35" hidden="false" customHeight="false" outlineLevel="0" collapsed="false">
      <c r="A1" s="1" t="s">
        <v>290</v>
      </c>
    </row>
    <row r="2" customFormat="false" ht="15" hidden="false" customHeight="false" outlineLevel="0" collapsed="false">
      <c r="A2" s="2" t="s">
        <v>291</v>
      </c>
    </row>
    <row r="4" customFormat="false" ht="31.5" hidden="false" customHeight="true" outlineLevel="0" collapsed="false">
      <c r="A4" s="8" t="s">
        <v>33</v>
      </c>
      <c r="B4" s="8" t="s">
        <v>34</v>
      </c>
      <c r="C4" s="8" t="s">
        <v>292</v>
      </c>
      <c r="D4" s="8" t="s">
        <v>229</v>
      </c>
      <c r="E4" s="8" t="s">
        <v>230</v>
      </c>
      <c r="F4" s="8" t="s">
        <v>165</v>
      </c>
      <c r="G4" s="8" t="s">
        <v>293</v>
      </c>
      <c r="H4" s="8" t="s">
        <v>294</v>
      </c>
      <c r="I4" s="8" t="s">
        <v>295</v>
      </c>
      <c r="J4" s="8" t="s">
        <v>296</v>
      </c>
      <c r="K4" s="8" t="s">
        <v>170</v>
      </c>
    </row>
    <row r="5" customFormat="false" ht="31.5" hidden="false" customHeight="true" outlineLevel="0" collapsed="false">
      <c r="A5" s="7" t="s">
        <v>56</v>
      </c>
      <c r="B5" s="9" t="s">
        <v>57</v>
      </c>
      <c r="C5" s="9" t="s">
        <v>49</v>
      </c>
      <c r="D5" s="4" t="s">
        <v>297</v>
      </c>
      <c r="E5" s="18" t="n">
        <v>45963</v>
      </c>
      <c r="F5" s="14" t="n">
        <v>9.7</v>
      </c>
      <c r="G5" s="27" t="n">
        <v>5</v>
      </c>
      <c r="H5" s="19" t="n">
        <v>200</v>
      </c>
      <c r="I5" s="21" t="n">
        <f aca="false">IF(AND(ISNUMBER(F5),ISNUMBER(G5),ISNUMBER(H5)),F5*1000/G5/H5,"")</f>
        <v>9.7</v>
      </c>
      <c r="J5" s="4" t="s">
        <v>298</v>
      </c>
      <c r="K5" s="4" t="s">
        <v>299</v>
      </c>
    </row>
    <row r="6" customFormat="false" ht="31.5" hidden="false" customHeight="true" outlineLevel="0" collapsed="false">
      <c r="A6" s="7" t="s">
        <v>56</v>
      </c>
      <c r="B6" s="9" t="s">
        <v>57</v>
      </c>
      <c r="C6" s="9" t="s">
        <v>49</v>
      </c>
      <c r="D6" s="4" t="s">
        <v>300</v>
      </c>
      <c r="E6" s="18" t="n">
        <v>46254</v>
      </c>
      <c r="F6" s="14"/>
      <c r="G6" s="30" t="n">
        <v>3</v>
      </c>
      <c r="H6" s="19"/>
      <c r="I6" s="21" t="str">
        <f aca="false">IF(AND(ISNUMBER(F6),ISNUMBER(G6),ISNUMBER(H6)),F6*1000/G6/H6,"")</f>
        <v/>
      </c>
      <c r="J6" s="4" t="s">
        <v>301</v>
      </c>
      <c r="K6" s="4" t="s">
        <v>302</v>
      </c>
    </row>
    <row r="7" customFormat="false" ht="31.5" hidden="false" customHeight="true" outlineLevel="0" collapsed="false">
      <c r="A7" s="7" t="s">
        <v>56</v>
      </c>
      <c r="B7" s="9" t="s">
        <v>57</v>
      </c>
      <c r="C7" s="9" t="s">
        <v>49</v>
      </c>
      <c r="D7" s="4" t="s">
        <v>303</v>
      </c>
      <c r="E7" s="18" t="n">
        <v>45901</v>
      </c>
      <c r="F7" s="14"/>
      <c r="G7" s="30" t="n">
        <v>2</v>
      </c>
      <c r="H7" s="19"/>
      <c r="I7" s="21" t="str">
        <f aca="false">IF(AND(ISNUMBER(F7),ISNUMBER(G7),ISNUMBER(H7)),F7*1000/G7/H7,"")</f>
        <v/>
      </c>
      <c r="J7" s="4" t="s">
        <v>304</v>
      </c>
      <c r="K7" s="4" t="s">
        <v>305</v>
      </c>
    </row>
    <row r="8" customFormat="false" ht="31.5" hidden="false" customHeight="true" outlineLevel="0" collapsed="false">
      <c r="A8" s="7" t="s">
        <v>61</v>
      </c>
      <c r="B8" s="9" t="s">
        <v>306</v>
      </c>
      <c r="C8" s="9" t="s">
        <v>49</v>
      </c>
      <c r="D8" s="4" t="s">
        <v>307</v>
      </c>
      <c r="E8" s="18" t="n">
        <v>46235</v>
      </c>
      <c r="F8" s="14" t="n">
        <v>35</v>
      </c>
      <c r="G8" s="27" t="n">
        <v>6</v>
      </c>
      <c r="H8" s="19"/>
      <c r="I8" s="21" t="str">
        <f aca="false">IF(AND(ISNUMBER(F8),ISNUMBER(G8),ISNUMBER(H8)),F8*1000/G8/H8,"")</f>
        <v/>
      </c>
      <c r="J8" s="4" t="s">
        <v>308</v>
      </c>
      <c r="K8" s="4" t="s">
        <v>309</v>
      </c>
    </row>
    <row r="9" customFormat="false" ht="31.5" hidden="false" customHeight="true" outlineLevel="0" collapsed="false">
      <c r="A9" s="7" t="s">
        <v>61</v>
      </c>
      <c r="B9" s="9" t="s">
        <v>306</v>
      </c>
      <c r="C9" s="9" t="s">
        <v>49</v>
      </c>
      <c r="D9" s="4" t="s">
        <v>310</v>
      </c>
      <c r="E9" s="18" t="n">
        <v>45964</v>
      </c>
      <c r="F9" s="14"/>
      <c r="G9" s="27"/>
      <c r="H9" s="19"/>
      <c r="I9" s="21" t="str">
        <f aca="false">IF(AND(ISNUMBER(F9),ISNUMBER(G9),ISNUMBER(H9)),F9*1000/G9/H9,"")</f>
        <v/>
      </c>
      <c r="J9" s="4" t="s">
        <v>63</v>
      </c>
      <c r="K9" s="4" t="s">
        <v>311</v>
      </c>
    </row>
    <row r="10" customFormat="false" ht="31.5" hidden="false" customHeight="true" outlineLevel="0" collapsed="false">
      <c r="A10" s="7" t="s">
        <v>66</v>
      </c>
      <c r="B10" s="9" t="s">
        <v>67</v>
      </c>
      <c r="C10" s="9" t="s">
        <v>68</v>
      </c>
      <c r="D10" s="4" t="s">
        <v>188</v>
      </c>
      <c r="E10" s="18" t="n">
        <v>45945</v>
      </c>
      <c r="F10" s="14" t="n">
        <v>43.8</v>
      </c>
      <c r="G10" s="30" t="n">
        <v>7</v>
      </c>
      <c r="H10" s="19"/>
      <c r="I10" s="21" t="str">
        <f aca="false">IF(AND(ISNUMBER(F10),ISNUMBER(G10),ISNUMBER(H10)),F10*1000/G10/H10,"")</f>
        <v/>
      </c>
      <c r="J10" s="4" t="s">
        <v>63</v>
      </c>
      <c r="K10" s="4" t="s">
        <v>312</v>
      </c>
    </row>
    <row r="11" customFormat="false" ht="31.5" hidden="false" customHeight="true" outlineLevel="0" collapsed="false">
      <c r="A11" s="7" t="s">
        <v>66</v>
      </c>
      <c r="B11" s="9" t="s">
        <v>67</v>
      </c>
      <c r="C11" s="9" t="s">
        <v>68</v>
      </c>
      <c r="D11" s="4" t="s">
        <v>313</v>
      </c>
      <c r="E11" s="18" t="n">
        <v>46174</v>
      </c>
      <c r="F11" s="14" t="n">
        <v>44.6</v>
      </c>
      <c r="G11" s="30" t="n">
        <v>6</v>
      </c>
      <c r="H11" s="19"/>
      <c r="I11" s="21" t="str">
        <f aca="false">IF(AND(ISNUMBER(F11),ISNUMBER(G11),ISNUMBER(H11)),F11*1000/G11/H11,"")</f>
        <v/>
      </c>
      <c r="J11" s="4" t="s">
        <v>314</v>
      </c>
      <c r="K11" s="4" t="s">
        <v>315</v>
      </c>
    </row>
    <row r="12" customFormat="false" ht="31.5" hidden="false" customHeight="true" outlineLevel="0" collapsed="false">
      <c r="A12" s="7" t="s">
        <v>66</v>
      </c>
      <c r="B12" s="9" t="s">
        <v>67</v>
      </c>
      <c r="C12" s="9" t="s">
        <v>68</v>
      </c>
      <c r="D12" s="4" t="s">
        <v>316</v>
      </c>
      <c r="E12" s="18"/>
      <c r="F12" s="10" t="n">
        <f aca="false">103-F10-F11</f>
        <v>14.6</v>
      </c>
      <c r="G12" s="27"/>
      <c r="H12" s="19"/>
      <c r="I12" s="21" t="str">
        <f aca="false">IF(AND(ISNUMBER(F12),ISNUMBER(G12),ISNUMBER(H12)),F12*1000/G12/H12,"")</f>
        <v/>
      </c>
      <c r="J12" s="4" t="s">
        <v>63</v>
      </c>
      <c r="K12" s="4" t="s">
        <v>317</v>
      </c>
    </row>
    <row r="13" customFormat="false" ht="31.5" hidden="false" customHeight="true" outlineLevel="0" collapsed="false">
      <c r="A13" s="7" t="s">
        <v>71</v>
      </c>
      <c r="B13" s="9" t="s">
        <v>318</v>
      </c>
      <c r="C13" s="9" t="s">
        <v>319</v>
      </c>
      <c r="D13" s="4" t="s">
        <v>320</v>
      </c>
      <c r="E13" s="18" t="n">
        <v>46266</v>
      </c>
      <c r="F13" s="14" t="n">
        <v>140</v>
      </c>
      <c r="G13" s="27"/>
      <c r="H13" s="19" t="n">
        <v>4900</v>
      </c>
      <c r="I13" s="21" t="str">
        <f aca="false">IF(AND(ISNUMBER(F13),ISNUMBER(G13),ISNUMBER(H13)),F13*1000/G13/H13,"")</f>
        <v/>
      </c>
      <c r="J13" s="4" t="s">
        <v>63</v>
      </c>
      <c r="K13" s="4" t="s">
        <v>321</v>
      </c>
    </row>
    <row r="14" customFormat="false" ht="31.5" hidden="false" customHeight="true" outlineLevel="0" collapsed="false">
      <c r="A14" s="7" t="s">
        <v>75</v>
      </c>
      <c r="B14" s="9" t="s">
        <v>62</v>
      </c>
      <c r="C14" s="9" t="s">
        <v>322</v>
      </c>
      <c r="D14" s="4" t="s">
        <v>323</v>
      </c>
      <c r="E14" s="18"/>
      <c r="F14" s="14"/>
      <c r="G14" s="30" t="n">
        <v>2.5</v>
      </c>
      <c r="H14" s="19"/>
      <c r="I14" s="21" t="str">
        <f aca="false">IF(AND(ISNUMBER(F14),ISNUMBER(G14),ISNUMBER(H14)),F14*1000/G14/H14,"")</f>
        <v/>
      </c>
      <c r="J14" s="4" t="s">
        <v>324</v>
      </c>
      <c r="K14" s="4" t="s">
        <v>325</v>
      </c>
    </row>
    <row r="15" customFormat="false" ht="31.5" hidden="false" customHeight="true" outlineLevel="0" collapsed="false">
      <c r="A15" s="7" t="s">
        <v>79</v>
      </c>
      <c r="B15" s="9" t="s">
        <v>80</v>
      </c>
      <c r="C15" s="9" t="s">
        <v>81</v>
      </c>
      <c r="D15" s="4" t="s">
        <v>326</v>
      </c>
      <c r="E15" s="18" t="n">
        <v>45805</v>
      </c>
      <c r="F15" s="14" t="n">
        <v>11</v>
      </c>
      <c r="G15" s="27" t="n">
        <v>15</v>
      </c>
      <c r="H15" s="19" t="n">
        <v>400</v>
      </c>
      <c r="I15" s="21" t="n">
        <f aca="false">IF(AND(ISNUMBER(F15),ISNUMBER(G15),ISNUMBER(H15)),F15*1000/G15/H15,"")</f>
        <v>1.83333333333333</v>
      </c>
      <c r="J15" s="4" t="s">
        <v>327</v>
      </c>
      <c r="K15" s="4" t="s">
        <v>328</v>
      </c>
    </row>
    <row r="16" customFormat="false" ht="31.5" hidden="false" customHeight="true" outlineLevel="0" collapsed="false">
      <c r="A16" s="7" t="s">
        <v>79</v>
      </c>
      <c r="B16" s="9" t="s">
        <v>80</v>
      </c>
      <c r="C16" s="9" t="s">
        <v>81</v>
      </c>
      <c r="D16" s="4" t="s">
        <v>329</v>
      </c>
      <c r="E16" s="18" t="n">
        <v>45952</v>
      </c>
      <c r="F16" s="14" t="n">
        <v>5</v>
      </c>
      <c r="G16" s="27" t="n">
        <v>15</v>
      </c>
      <c r="H16" s="19" t="n">
        <v>200</v>
      </c>
      <c r="I16" s="21" t="n">
        <f aca="false">IF(AND(ISNUMBER(F16),ISNUMBER(G16),ISNUMBER(H16)),F16*1000/G16/H16,"")</f>
        <v>1.66666666666667</v>
      </c>
      <c r="J16" s="4" t="s">
        <v>330</v>
      </c>
      <c r="K16" s="4" t="s">
        <v>331</v>
      </c>
    </row>
    <row r="17" customFormat="false" ht="31.5" hidden="false" customHeight="true" outlineLevel="0" collapsed="false">
      <c r="A17" s="7" t="s">
        <v>79</v>
      </c>
      <c r="B17" s="9" t="s">
        <v>80</v>
      </c>
      <c r="C17" s="9" t="s">
        <v>81</v>
      </c>
      <c r="D17" s="4" t="s">
        <v>332</v>
      </c>
      <c r="E17" s="18" t="n">
        <v>46162</v>
      </c>
      <c r="F17" s="14" t="n">
        <v>7.5</v>
      </c>
      <c r="G17" s="27" t="n">
        <v>15</v>
      </c>
      <c r="H17" s="19" t="n">
        <v>300</v>
      </c>
      <c r="I17" s="21" t="n">
        <f aca="false">IF(AND(ISNUMBER(F17),ISNUMBER(G17),ISNUMBER(H17)),F17*1000/G17/H17,"")</f>
        <v>1.66666666666667</v>
      </c>
      <c r="J17" s="4" t="s">
        <v>330</v>
      </c>
      <c r="K17" s="4" t="s">
        <v>331</v>
      </c>
    </row>
    <row r="18" customFormat="false" ht="31.5" hidden="false" customHeight="true" outlineLevel="0" collapsed="false">
      <c r="A18" s="7" t="s">
        <v>79</v>
      </c>
      <c r="B18" s="9" t="s">
        <v>80</v>
      </c>
      <c r="C18" s="9" t="s">
        <v>81</v>
      </c>
      <c r="D18" s="4" t="s">
        <v>333</v>
      </c>
      <c r="E18" s="18" t="n">
        <v>46135</v>
      </c>
      <c r="F18" s="14" t="n">
        <v>7.5</v>
      </c>
      <c r="G18" s="27" t="n">
        <v>15</v>
      </c>
      <c r="H18" s="19" t="n">
        <v>300</v>
      </c>
      <c r="I18" s="21" t="n">
        <f aca="false">IF(AND(ISNUMBER(F18),ISNUMBER(G18),ISNUMBER(H18)),F18*1000/G18/H18,"")</f>
        <v>1.66666666666667</v>
      </c>
      <c r="J18" s="4" t="s">
        <v>330</v>
      </c>
      <c r="K18" s="4" t="s">
        <v>331</v>
      </c>
    </row>
    <row r="19" customFormat="false" ht="31.5" hidden="false" customHeight="true" outlineLevel="0" collapsed="false">
      <c r="A19" s="7" t="s">
        <v>79</v>
      </c>
      <c r="B19" s="9" t="s">
        <v>80</v>
      </c>
      <c r="C19" s="9" t="s">
        <v>81</v>
      </c>
      <c r="D19" s="4" t="s">
        <v>334</v>
      </c>
      <c r="E19" s="18" t="n">
        <v>46181</v>
      </c>
      <c r="F19" s="14" t="n">
        <v>5.2</v>
      </c>
      <c r="G19" s="27" t="n">
        <v>15</v>
      </c>
      <c r="H19" s="19" t="n">
        <v>210</v>
      </c>
      <c r="I19" s="21" t="n">
        <f aca="false">IF(AND(ISNUMBER(F19),ISNUMBER(G19),ISNUMBER(H19)),F19*1000/G19/H19,"")</f>
        <v>1.65079365079365</v>
      </c>
      <c r="J19" s="4" t="s">
        <v>330</v>
      </c>
      <c r="K19" s="4" t="s">
        <v>335</v>
      </c>
    </row>
    <row r="20" customFormat="false" ht="31.5" hidden="false" customHeight="true" outlineLevel="0" collapsed="false">
      <c r="A20" s="7" t="s">
        <v>85</v>
      </c>
      <c r="B20" s="9" t="s">
        <v>86</v>
      </c>
      <c r="C20" s="9" t="s">
        <v>81</v>
      </c>
      <c r="D20" s="4" t="s">
        <v>336</v>
      </c>
      <c r="E20" s="18" t="n">
        <v>45964</v>
      </c>
      <c r="F20" s="14" t="n">
        <v>5.5</v>
      </c>
      <c r="G20" s="27" t="n">
        <v>15</v>
      </c>
      <c r="H20" s="19" t="n">
        <v>300</v>
      </c>
      <c r="I20" s="21" t="n">
        <f aca="false">IF(AND(ISNUMBER(F20),ISNUMBER(G20),ISNUMBER(H20)),F20*1000/G20/H20,"")</f>
        <v>1.22222222222222</v>
      </c>
      <c r="J20" s="4" t="s">
        <v>337</v>
      </c>
      <c r="K20" s="4" t="s">
        <v>338</v>
      </c>
    </row>
    <row r="21" customFormat="false" ht="31.5" hidden="false" customHeight="true" outlineLevel="0" collapsed="false">
      <c r="A21" s="7" t="s">
        <v>85</v>
      </c>
      <c r="B21" s="9" t="s">
        <v>86</v>
      </c>
      <c r="C21" s="9" t="s">
        <v>81</v>
      </c>
      <c r="D21" s="4" t="s">
        <v>339</v>
      </c>
      <c r="E21" s="18" t="n">
        <v>45925</v>
      </c>
      <c r="F21" s="14" t="n">
        <v>3.8</v>
      </c>
      <c r="G21" s="27" t="n">
        <v>10</v>
      </c>
      <c r="H21" s="19" t="n">
        <v>207</v>
      </c>
      <c r="I21" s="21" t="n">
        <f aca="false">IF(AND(ISNUMBER(F21),ISNUMBER(G21),ISNUMBER(H21)),F21*1000/G21/H21,"")</f>
        <v>1.83574879227053</v>
      </c>
      <c r="J21" s="4" t="s">
        <v>340</v>
      </c>
      <c r="K21" s="4" t="s">
        <v>341</v>
      </c>
    </row>
    <row r="22" customFormat="false" ht="31.5" hidden="false" customHeight="true" outlineLevel="0" collapsed="false">
      <c r="A22" s="7" t="s">
        <v>85</v>
      </c>
      <c r="B22" s="9" t="s">
        <v>86</v>
      </c>
      <c r="C22" s="9" t="s">
        <v>81</v>
      </c>
      <c r="D22" s="4" t="s">
        <v>342</v>
      </c>
      <c r="E22" s="18" t="n">
        <v>46290</v>
      </c>
      <c r="F22" s="14" t="n">
        <v>5.2</v>
      </c>
      <c r="G22" s="27" t="n">
        <v>10</v>
      </c>
      <c r="H22" s="19" t="n">
        <v>207</v>
      </c>
      <c r="I22" s="21" t="n">
        <f aca="false">IF(AND(ISNUMBER(F22),ISNUMBER(G22),ISNUMBER(H22)),F22*1000/G22/H22,"")</f>
        <v>2.51207729468599</v>
      </c>
      <c r="J22" s="4" t="s">
        <v>343</v>
      </c>
      <c r="K22" s="4" t="s">
        <v>344</v>
      </c>
    </row>
    <row r="23" customFormat="false" ht="31.5" hidden="false" customHeight="true" outlineLevel="0" collapsed="false">
      <c r="A23" s="7" t="s">
        <v>88</v>
      </c>
      <c r="B23" s="9" t="s">
        <v>89</v>
      </c>
      <c r="C23" s="9" t="s">
        <v>81</v>
      </c>
      <c r="D23" s="4" t="s">
        <v>345</v>
      </c>
      <c r="E23" s="18" t="n">
        <v>45883</v>
      </c>
      <c r="F23" s="14" t="n">
        <v>6.7</v>
      </c>
      <c r="G23" s="27" t="n">
        <v>10</v>
      </c>
      <c r="H23" s="19" t="n">
        <v>360</v>
      </c>
      <c r="I23" s="21" t="n">
        <f aca="false">IF(AND(ISNUMBER(F23),ISNUMBER(G23),ISNUMBER(H23)),F23*1000/G23/H23,"")</f>
        <v>1.86111111111111</v>
      </c>
      <c r="J23" s="4" t="s">
        <v>346</v>
      </c>
      <c r="K23" s="4" t="s">
        <v>347</v>
      </c>
    </row>
    <row r="24" customFormat="false" ht="31.5" hidden="false" customHeight="true" outlineLevel="0" collapsed="false">
      <c r="A24" s="7" t="s">
        <v>88</v>
      </c>
      <c r="B24" s="9" t="s">
        <v>89</v>
      </c>
      <c r="C24" s="9" t="s">
        <v>81</v>
      </c>
      <c r="D24" s="4" t="s">
        <v>348</v>
      </c>
      <c r="E24" s="18" t="n">
        <v>46209</v>
      </c>
      <c r="F24" s="14" t="n">
        <v>19</v>
      </c>
      <c r="G24" s="27" t="n">
        <v>20</v>
      </c>
      <c r="H24" s="19" t="n">
        <v>401</v>
      </c>
      <c r="I24" s="21" t="n">
        <f aca="false">IF(AND(ISNUMBER(F24),ISNUMBER(G24),ISNUMBER(H24)),F24*1000/G24/H24,"")</f>
        <v>2.36907730673317</v>
      </c>
      <c r="J24" s="4" t="s">
        <v>349</v>
      </c>
      <c r="K24" s="4" t="s">
        <v>350</v>
      </c>
    </row>
    <row r="25" customFormat="false" ht="31.5" hidden="false" customHeight="true" outlineLevel="0" collapsed="false">
      <c r="A25" s="7" t="s">
        <v>91</v>
      </c>
      <c r="B25" s="9" t="s">
        <v>92</v>
      </c>
      <c r="C25" s="9" t="s">
        <v>81</v>
      </c>
      <c r="D25" s="4" t="s">
        <v>351</v>
      </c>
      <c r="E25" s="18" t="n">
        <v>46008</v>
      </c>
      <c r="F25" s="14" t="n">
        <v>7</v>
      </c>
      <c r="G25" s="27" t="n">
        <v>15</v>
      </c>
      <c r="H25" s="19" t="n">
        <v>245</v>
      </c>
      <c r="I25" s="21" t="n">
        <f aca="false">IF(AND(ISNUMBER(F25),ISNUMBER(G25),ISNUMBER(H25)),F25*1000/G25/H25,"")</f>
        <v>1.9047619047619</v>
      </c>
      <c r="J25" s="4" t="s">
        <v>352</v>
      </c>
      <c r="K25" s="4" t="s">
        <v>353</v>
      </c>
    </row>
    <row r="26" customFormat="false" ht="31.5" hidden="false" customHeight="true" outlineLevel="0" collapsed="false">
      <c r="A26" s="7" t="s">
        <v>94</v>
      </c>
      <c r="B26" s="9" t="s">
        <v>95</v>
      </c>
      <c r="C26" s="9" t="s">
        <v>81</v>
      </c>
      <c r="D26" s="4" t="s">
        <v>354</v>
      </c>
      <c r="E26" s="18" t="n">
        <v>45689</v>
      </c>
      <c r="F26" s="14" t="n">
        <v>10.2</v>
      </c>
      <c r="G26" s="27" t="n">
        <v>12</v>
      </c>
      <c r="H26" s="19" t="n">
        <v>590</v>
      </c>
      <c r="I26" s="21" t="n">
        <f aca="false">IF(AND(ISNUMBER(F26),ISNUMBER(G26),ISNUMBER(H26)),F26*1000/G26/H26,"")</f>
        <v>1.44067796610169</v>
      </c>
      <c r="J26" s="4" t="s">
        <v>63</v>
      </c>
      <c r="K26" s="4" t="s">
        <v>355</v>
      </c>
    </row>
    <row r="27" customFormat="false" ht="31.5" hidden="false" customHeight="true" outlineLevel="0" collapsed="false">
      <c r="A27" s="7" t="s">
        <v>97</v>
      </c>
      <c r="B27" s="9" t="s">
        <v>98</v>
      </c>
      <c r="C27" s="9" t="s">
        <v>81</v>
      </c>
      <c r="D27" s="4" t="s">
        <v>356</v>
      </c>
      <c r="E27" s="18" t="n">
        <v>45744</v>
      </c>
      <c r="F27" s="31" t="n">
        <v>18</v>
      </c>
      <c r="G27" s="27" t="n">
        <v>15</v>
      </c>
      <c r="H27" s="19" t="n">
        <v>800</v>
      </c>
      <c r="I27" s="21" t="n">
        <f aca="false">IF(AND(ISNUMBER(F27),ISNUMBER(G27),ISNUMBER(H27)),F27*1000/G27/H27,"")</f>
        <v>1.5</v>
      </c>
      <c r="J27" s="4" t="s">
        <v>63</v>
      </c>
      <c r="K27" s="4" t="s">
        <v>357</v>
      </c>
    </row>
    <row r="29" customFormat="false" ht="15" hidden="false" customHeight="false" outlineLevel="0" collapsed="false">
      <c r="A29" s="5" t="s">
        <v>358</v>
      </c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31.5" hidden="false" customHeight="true" outlineLevel="0" collapsed="false">
      <c r="A30" s="8" t="s">
        <v>33</v>
      </c>
      <c r="B30" s="8" t="s">
        <v>35</v>
      </c>
      <c r="C30" s="8" t="s">
        <v>359</v>
      </c>
      <c r="D30" s="8" t="s">
        <v>360</v>
      </c>
      <c r="E30" s="8" t="s">
        <v>361</v>
      </c>
      <c r="F30" s="8" t="s">
        <v>362</v>
      </c>
      <c r="G30" s="8" t="s">
        <v>363</v>
      </c>
      <c r="H30" s="8"/>
      <c r="I30" s="8"/>
      <c r="J30" s="8"/>
      <c r="K30" s="8" t="s">
        <v>364</v>
      </c>
    </row>
    <row r="31" customFormat="false" ht="30" hidden="false" customHeight="true" outlineLevel="0" collapsed="false">
      <c r="A31" s="7" t="s">
        <v>56</v>
      </c>
      <c r="B31" s="9" t="s">
        <v>49</v>
      </c>
      <c r="C31" s="10" t="n">
        <f aca="false">SUMIF($A$5:$A$27,A31,$F$5:$F$27)</f>
        <v>9.7</v>
      </c>
      <c r="D31" s="10" t="n">
        <f aca="false">SUMPRODUCT(($A$5:$A$27=A31)*ISNUMBER($G$5:$G$27)*ISNUMBER($F$5:$F$27),$F$5:$F$27)</f>
        <v>9.7</v>
      </c>
      <c r="E31" s="11" t="n">
        <f aca="false">IFERROR(SUMPRODUCT(($A$5:$A$27=A31)*ISNUMBER($G$5:$G$27),$F$5:$F$27,$G$5:$G$27)/D31,"")</f>
        <v>5</v>
      </c>
      <c r="F31" s="32" t="n">
        <f aca="false">_xlfn.MAXIFS($G$5:$G$27,$A$5:$A$27,A31)</f>
        <v>5</v>
      </c>
      <c r="G31" s="9" t="s">
        <v>73</v>
      </c>
      <c r="K31" s="4" t="s">
        <v>365</v>
      </c>
    </row>
    <row r="32" customFormat="false" ht="30" hidden="false" customHeight="true" outlineLevel="0" collapsed="false">
      <c r="A32" s="7" t="s">
        <v>61</v>
      </c>
      <c r="B32" s="9" t="s">
        <v>49</v>
      </c>
      <c r="C32" s="10" t="n">
        <f aca="false">SUMIF($A$5:$A$27,A32,$F$5:$F$27)</f>
        <v>35</v>
      </c>
      <c r="D32" s="10" t="n">
        <f aca="false">SUMPRODUCT(($A$5:$A$27=A32)*ISNUMBER($G$5:$G$27)*ISNUMBER($F$5:$F$27),$F$5:$F$27)</f>
        <v>35</v>
      </c>
      <c r="E32" s="11" t="n">
        <f aca="false">IFERROR(SUMPRODUCT(($A$5:$A$27=A32)*ISNUMBER($G$5:$G$27),$F$5:$F$27,$G$5:$G$27)/D32,"")</f>
        <v>6</v>
      </c>
      <c r="F32" s="32" t="n">
        <f aca="false">_xlfn.MAXIFS($G$5:$G$27,$A$5:$A$27,A32)</f>
        <v>6</v>
      </c>
      <c r="G32" s="9" t="s">
        <v>64</v>
      </c>
      <c r="K32" s="4" t="s">
        <v>366</v>
      </c>
    </row>
    <row r="33" customFormat="false" ht="30" hidden="false" customHeight="true" outlineLevel="0" collapsed="false">
      <c r="A33" s="7" t="s">
        <v>66</v>
      </c>
      <c r="B33" s="9" t="s">
        <v>68</v>
      </c>
      <c r="C33" s="10" t="n">
        <f aca="false">SUMIF($A$5:$A$27,A33,$F$5:$F$27)</f>
        <v>103</v>
      </c>
      <c r="D33" s="10" t="n">
        <f aca="false">SUMPRODUCT(($A$5:$A$27=A33)*ISNUMBER($G$5:$G$27)*ISNUMBER($F$5:$F$27),$F$5:$F$27)</f>
        <v>88.4</v>
      </c>
      <c r="E33" s="11" t="n">
        <f aca="false">IFERROR(SUMPRODUCT(($A$5:$A$27=A33)*ISNUMBER($G$5:$G$27),$F$5:$F$27,$G$5:$G$27)/D33,"")</f>
        <v>6.49547511312217</v>
      </c>
      <c r="F33" s="32" t="n">
        <f aca="false">_xlfn.MAXIFS($G$5:$G$27,$A$5:$A$27,A33)</f>
        <v>7</v>
      </c>
      <c r="G33" s="9" t="s">
        <v>69</v>
      </c>
      <c r="K33" s="4" t="s">
        <v>367</v>
      </c>
    </row>
    <row r="34" customFormat="false" ht="30" hidden="false" customHeight="true" outlineLevel="0" collapsed="false">
      <c r="A34" s="7" t="s">
        <v>71</v>
      </c>
      <c r="B34" s="9" t="s">
        <v>319</v>
      </c>
      <c r="C34" s="10" t="n">
        <f aca="false">SUMIF($A$5:$A$27,A34,$F$5:$F$27)</f>
        <v>140</v>
      </c>
      <c r="D34" s="10" t="n">
        <f aca="false">SUMPRODUCT(($A$5:$A$27=A34)*ISNUMBER($G$5:$G$27)*ISNUMBER($F$5:$F$27),$F$5:$F$27)</f>
        <v>0</v>
      </c>
      <c r="E34" s="11" t="str">
        <f aca="false">IFERROR(SUMPRODUCT(($A$5:$A$27=A34)*ISNUMBER($G$5:$G$27),$F$5:$F$27,$G$5:$G$27)/D34,"")</f>
        <v/>
      </c>
      <c r="F34" s="32" t="n">
        <f aca="false">_xlfn.MAXIFS($G$5:$G$27,$A$5:$A$27,A34)</f>
        <v>0</v>
      </c>
      <c r="G34" s="9" t="s">
        <v>73</v>
      </c>
      <c r="K34" s="4" t="s">
        <v>368</v>
      </c>
    </row>
    <row r="35" customFormat="false" ht="30" hidden="false" customHeight="true" outlineLevel="0" collapsed="false">
      <c r="A35" s="7" t="s">
        <v>75</v>
      </c>
      <c r="B35" s="9" t="s">
        <v>322</v>
      </c>
      <c r="C35" s="10" t="n">
        <f aca="false">SUMIF($A$5:$A$27,A35,$F$5:$F$27)</f>
        <v>0</v>
      </c>
      <c r="D35" s="10" t="n">
        <f aca="false">SUMPRODUCT(($A$5:$A$27=A35)*ISNUMBER($G$5:$G$27)*ISNUMBER($F$5:$F$27),$F$5:$F$27)</f>
        <v>0</v>
      </c>
      <c r="E35" s="11" t="str">
        <f aca="false">IFERROR(SUMPRODUCT(($A$5:$A$27=A35)*ISNUMBER($G$5:$G$27),$F$5:$F$27,$G$5:$G$27)/D35,"")</f>
        <v/>
      </c>
      <c r="F35" s="32" t="n">
        <f aca="false">_xlfn.MAXIFS($G$5:$G$27,$A$5:$A$27,A35)</f>
        <v>2.5</v>
      </c>
      <c r="G35" s="9" t="s">
        <v>77</v>
      </c>
      <c r="K35" s="4" t="s">
        <v>369</v>
      </c>
    </row>
    <row r="36" customFormat="false" ht="30" hidden="false" customHeight="true" outlineLevel="0" collapsed="false">
      <c r="A36" s="7" t="s">
        <v>79</v>
      </c>
      <c r="B36" s="9" t="s">
        <v>81</v>
      </c>
      <c r="C36" s="10" t="n">
        <f aca="false">SUMIF($A$5:$A$27,A36,$F$5:$F$27)</f>
        <v>36.2</v>
      </c>
      <c r="D36" s="10" t="n">
        <f aca="false">SUMPRODUCT(($A$5:$A$27=A36)*ISNUMBER($G$5:$G$27)*ISNUMBER($F$5:$F$27),$F$5:$F$27)</f>
        <v>36.2</v>
      </c>
      <c r="E36" s="11" t="n">
        <f aca="false">IFERROR(SUMPRODUCT(($A$5:$A$27=A36)*ISNUMBER($G$5:$G$27),$F$5:$F$27,$G$5:$G$27)/D36,"")</f>
        <v>15</v>
      </c>
      <c r="F36" s="32" t="n">
        <f aca="false">_xlfn.MAXIFS($G$5:$G$27,$A$5:$A$27,A36)</f>
        <v>15</v>
      </c>
      <c r="G36" s="9" t="s">
        <v>83</v>
      </c>
      <c r="K36" s="4" t="s">
        <v>370</v>
      </c>
    </row>
    <row r="37" customFormat="false" ht="30" hidden="false" customHeight="true" outlineLevel="0" collapsed="false">
      <c r="A37" s="7" t="s">
        <v>85</v>
      </c>
      <c r="B37" s="9" t="s">
        <v>81</v>
      </c>
      <c r="C37" s="10" t="n">
        <f aca="false">SUMIF($A$5:$A$27,A37,$F$5:$F$27)</f>
        <v>14.5</v>
      </c>
      <c r="D37" s="10" t="n">
        <f aca="false">SUMPRODUCT(($A$5:$A$27=A37)*ISNUMBER($G$5:$G$27)*ISNUMBER($F$5:$F$27),$F$5:$F$27)</f>
        <v>14.5</v>
      </c>
      <c r="E37" s="11" t="n">
        <f aca="false">IFERROR(SUMPRODUCT(($A$5:$A$27=A37)*ISNUMBER($G$5:$G$27),$F$5:$F$27,$G$5:$G$27)/D37,"")</f>
        <v>11.8965517241379</v>
      </c>
      <c r="F37" s="32" t="n">
        <f aca="false">_xlfn.MAXIFS($G$5:$G$27,$A$5:$A$27,A37)</f>
        <v>15</v>
      </c>
      <c r="G37" s="9" t="s">
        <v>83</v>
      </c>
      <c r="K37" s="4" t="s">
        <v>371</v>
      </c>
    </row>
    <row r="38" customFormat="false" ht="30" hidden="false" customHeight="true" outlineLevel="0" collapsed="false">
      <c r="A38" s="7" t="s">
        <v>88</v>
      </c>
      <c r="B38" s="9" t="s">
        <v>81</v>
      </c>
      <c r="C38" s="10" t="n">
        <f aca="false">SUMIF($A$5:$A$27,A38,$F$5:$F$27)</f>
        <v>25.7</v>
      </c>
      <c r="D38" s="10" t="n">
        <f aca="false">SUMPRODUCT(($A$5:$A$27=A38)*ISNUMBER($G$5:$G$27)*ISNUMBER($F$5:$F$27),$F$5:$F$27)</f>
        <v>25.7</v>
      </c>
      <c r="E38" s="11" t="n">
        <f aca="false">IFERROR(SUMPRODUCT(($A$5:$A$27=A38)*ISNUMBER($G$5:$G$27),$F$5:$F$27,$G$5:$G$27)/D38,"")</f>
        <v>17.3929961089494</v>
      </c>
      <c r="F38" s="32" t="n">
        <f aca="false">_xlfn.MAXIFS($G$5:$G$27,$A$5:$A$27,A38)</f>
        <v>20</v>
      </c>
      <c r="G38" s="9" t="s">
        <v>83</v>
      </c>
      <c r="K38" s="4" t="s">
        <v>372</v>
      </c>
    </row>
    <row r="39" customFormat="false" ht="30" hidden="false" customHeight="true" outlineLevel="0" collapsed="false">
      <c r="A39" s="7" t="s">
        <v>91</v>
      </c>
      <c r="B39" s="9" t="s">
        <v>81</v>
      </c>
      <c r="C39" s="10" t="n">
        <f aca="false">SUMIF($A$5:$A$27,A39,$F$5:$F$27)</f>
        <v>7</v>
      </c>
      <c r="D39" s="10" t="n">
        <f aca="false">SUMPRODUCT(($A$5:$A$27=A39)*ISNUMBER($G$5:$G$27)*ISNUMBER($F$5:$F$27),$F$5:$F$27)</f>
        <v>7</v>
      </c>
      <c r="E39" s="11" t="n">
        <f aca="false">IFERROR(SUMPRODUCT(($A$5:$A$27=A39)*ISNUMBER($G$5:$G$27),$F$5:$F$27,$G$5:$G$27)/D39,"")</f>
        <v>15</v>
      </c>
      <c r="F39" s="32" t="n">
        <f aca="false">_xlfn.MAXIFS($G$5:$G$27,$A$5:$A$27,A39)</f>
        <v>15</v>
      </c>
      <c r="G39" s="9" t="s">
        <v>83</v>
      </c>
      <c r="K39" s="4" t="s">
        <v>244</v>
      </c>
    </row>
    <row r="40" customFormat="false" ht="30" hidden="false" customHeight="true" outlineLevel="0" collapsed="false">
      <c r="A40" s="7" t="s">
        <v>94</v>
      </c>
      <c r="B40" s="9" t="s">
        <v>81</v>
      </c>
      <c r="C40" s="10" t="n">
        <f aca="false">SUMIF($A$5:$A$27,A40,$F$5:$F$27)</f>
        <v>10.2</v>
      </c>
      <c r="D40" s="10" t="n">
        <f aca="false">SUMPRODUCT(($A$5:$A$27=A40)*ISNUMBER($G$5:$G$27)*ISNUMBER($F$5:$F$27),$F$5:$F$27)</f>
        <v>10.2</v>
      </c>
      <c r="E40" s="11" t="n">
        <f aca="false">IFERROR(SUMPRODUCT(($A$5:$A$27=A40)*ISNUMBER($G$5:$G$27),$F$5:$F$27,$G$5:$G$27)/D40,"")</f>
        <v>12</v>
      </c>
      <c r="F40" s="32" t="n">
        <f aca="false">_xlfn.MAXIFS($G$5:$G$27,$A$5:$A$27,A40)</f>
        <v>12</v>
      </c>
      <c r="G40" s="9" t="s">
        <v>83</v>
      </c>
      <c r="K40" s="4" t="s">
        <v>373</v>
      </c>
    </row>
    <row r="41" customFormat="false" ht="30" hidden="false" customHeight="true" outlineLevel="0" collapsed="false">
      <c r="A41" s="7" t="s">
        <v>97</v>
      </c>
      <c r="B41" s="9" t="s">
        <v>81</v>
      </c>
      <c r="C41" s="10" t="n">
        <f aca="false">SUMIF($A$5:$A$27,A41,$F$5:$F$27)</f>
        <v>18</v>
      </c>
      <c r="D41" s="10" t="n">
        <f aca="false">SUMPRODUCT(($A$5:$A$27=A41)*ISNUMBER($G$5:$G$27)*ISNUMBER($F$5:$F$27),$F$5:$F$27)</f>
        <v>18</v>
      </c>
      <c r="E41" s="11" t="n">
        <f aca="false">IFERROR(SUMPRODUCT(($A$5:$A$27=A41)*ISNUMBER($G$5:$G$27),$F$5:$F$27,$G$5:$G$27)/D41,"")</f>
        <v>15</v>
      </c>
      <c r="F41" s="32" t="n">
        <f aca="false">_xlfn.MAXIFS($G$5:$G$27,$A$5:$A$27,A41)</f>
        <v>15</v>
      </c>
      <c r="G41" s="9" t="s">
        <v>83</v>
      </c>
      <c r="K41" s="4" t="s">
        <v>373</v>
      </c>
    </row>
    <row r="43" customFormat="false" ht="15" hidden="false" customHeight="false" outlineLevel="0" collapsed="false">
      <c r="A43" s="5" t="s">
        <v>374</v>
      </c>
      <c r="B43" s="6"/>
      <c r="C43" s="6"/>
      <c r="D43" s="6"/>
      <c r="E43" s="6"/>
      <c r="F43" s="6"/>
      <c r="G43" s="6"/>
      <c r="H43" s="6"/>
      <c r="I43" s="6"/>
      <c r="J43" s="6"/>
      <c r="K43" s="6"/>
    </row>
    <row r="44" customFormat="false" ht="31.5" hidden="false" customHeight="true" outlineLevel="0" collapsed="false">
      <c r="A44" s="8" t="s">
        <v>375</v>
      </c>
      <c r="B44" s="8" t="s">
        <v>376</v>
      </c>
      <c r="C44" s="8" t="s">
        <v>377</v>
      </c>
      <c r="D44" s="8" t="s">
        <v>293</v>
      </c>
      <c r="E44" s="8" t="s">
        <v>233</v>
      </c>
      <c r="F44" s="8" t="s">
        <v>378</v>
      </c>
      <c r="G44" s="8" t="s">
        <v>168</v>
      </c>
      <c r="H44" s="8" t="s">
        <v>379</v>
      </c>
      <c r="I44" s="8"/>
      <c r="J44" s="8"/>
      <c r="K44" s="8" t="s">
        <v>380</v>
      </c>
    </row>
    <row r="45" customFormat="false" ht="31.3" hidden="false" customHeight="false" outlineLevel="0" collapsed="false">
      <c r="A45" s="7" t="s">
        <v>381</v>
      </c>
      <c r="B45" s="26" t="n">
        <v>1.94</v>
      </c>
      <c r="C45" s="12" t="n">
        <f aca="false">B45/B47</f>
        <v>0.485</v>
      </c>
      <c r="D45" s="27" t="n">
        <v>5</v>
      </c>
      <c r="E45" s="28" t="n">
        <v>46296</v>
      </c>
      <c r="F45" s="29" t="n">
        <f aca="false">EDATE(E45,ROUND(D45*12,0))</f>
        <v>48122</v>
      </c>
      <c r="G45" s="22" t="n">
        <f aca="false">MAX(0,(F45-DATE(2026,6,30))/365.25)</f>
        <v>5.2539356605065</v>
      </c>
      <c r="H45" s="10" t="n">
        <f aca="false">B45*D45</f>
        <v>9.7</v>
      </c>
      <c r="K45" s="4" t="s">
        <v>382</v>
      </c>
    </row>
    <row r="46" customFormat="false" ht="31.3" hidden="false" customHeight="false" outlineLevel="0" collapsed="false">
      <c r="A46" s="7" t="s">
        <v>383</v>
      </c>
      <c r="B46" s="21" t="n">
        <f aca="false">B47-B45</f>
        <v>2.06</v>
      </c>
      <c r="C46" s="12" t="n">
        <f aca="false">B46/B47</f>
        <v>0.515</v>
      </c>
      <c r="D46" s="30" t="n">
        <v>2.5</v>
      </c>
      <c r="E46" s="28" t="n">
        <v>46113</v>
      </c>
      <c r="F46" s="29" t="n">
        <f aca="false">EDATE(E46,ROUND(D46*12,0))</f>
        <v>47027</v>
      </c>
      <c r="G46" s="22" t="n">
        <f aca="false">MAX(0,(F46-DATE(2026,6,30))/365.25)</f>
        <v>2.25598904859685</v>
      </c>
      <c r="H46" s="10" t="n">
        <f aca="false">B46*D46</f>
        <v>5.15</v>
      </c>
      <c r="K46" s="4" t="s">
        <v>384</v>
      </c>
    </row>
    <row r="47" customFormat="false" ht="31.3" hidden="false" customHeight="false" outlineLevel="0" collapsed="false">
      <c r="A47" s="7" t="s">
        <v>385</v>
      </c>
      <c r="B47" s="26" t="n">
        <v>4</v>
      </c>
      <c r="D47" s="22" t="n">
        <f aca="false">SUMPRODUCT(B45:B46,D45:D46)/B47</f>
        <v>3.7125</v>
      </c>
      <c r="G47" s="22" t="n">
        <f aca="false">SUMPRODUCT(B45:B46,G45:G46)/B47</f>
        <v>3.70999315537303</v>
      </c>
      <c r="H47" s="10" t="n">
        <f aca="false">SUM(H45:H46)</f>
        <v>14.85</v>
      </c>
      <c r="K47" s="4" t="s">
        <v>386</v>
      </c>
    </row>
    <row r="48" customFormat="false" ht="31.3" hidden="false" customHeight="false" outlineLevel="0" collapsed="false">
      <c r="A48" s="7" t="s">
        <v>387</v>
      </c>
      <c r="H48" s="11" t="n">
        <f aca="false">H47/B47</f>
        <v>3.7125</v>
      </c>
      <c r="K48" s="4" t="s">
        <v>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7" min="3" style="0" width="14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1" t="s">
        <v>389</v>
      </c>
    </row>
    <row r="2" customFormat="false" ht="15" hidden="false" customHeight="false" outlineLevel="0" collapsed="false">
      <c r="A2" s="2" t="s">
        <v>390</v>
      </c>
    </row>
    <row r="4" customFormat="false" ht="15" hidden="false" customHeight="false" outlineLevel="0" collapsed="false">
      <c r="A4" s="5" t="s">
        <v>391</v>
      </c>
      <c r="B4" s="6"/>
      <c r="C4" s="6"/>
      <c r="D4" s="6"/>
      <c r="E4" s="6"/>
      <c r="F4" s="6"/>
      <c r="G4" s="6"/>
      <c r="H4" s="6"/>
      <c r="I4" s="6"/>
    </row>
    <row r="5" customFormat="false" ht="31.5" hidden="false" customHeight="true" outlineLevel="0" collapsed="false">
      <c r="A5" s="8" t="s">
        <v>392</v>
      </c>
      <c r="B5" s="8" t="s">
        <v>393</v>
      </c>
      <c r="C5" s="8" t="s">
        <v>394</v>
      </c>
      <c r="D5" s="8" t="s">
        <v>395</v>
      </c>
      <c r="E5" s="8" t="s">
        <v>396</v>
      </c>
      <c r="F5" s="8" t="s">
        <v>397</v>
      </c>
      <c r="G5" s="8" t="s">
        <v>398</v>
      </c>
      <c r="H5" s="8" t="s">
        <v>399</v>
      </c>
      <c r="I5" s="8" t="s">
        <v>117</v>
      </c>
    </row>
    <row r="6" customFormat="false" ht="16.4" hidden="false" customHeight="false" outlineLevel="0" collapsed="false">
      <c r="A6" s="7" t="s">
        <v>400</v>
      </c>
      <c r="B6" s="33"/>
      <c r="C6" s="33"/>
      <c r="D6" s="33"/>
      <c r="E6" s="33" t="n">
        <v>2.7</v>
      </c>
      <c r="F6" s="33" t="n">
        <v>3.4</v>
      </c>
      <c r="G6" s="34" t="n">
        <f aca="false">AVERAGE(E6,F6)</f>
        <v>3.05</v>
      </c>
      <c r="H6" s="12" t="str">
        <f aca="false">IF(ISNUMBER(B6),B6/$B$7-1,"")</f>
        <v/>
      </c>
      <c r="I6" s="4" t="s">
        <v>401</v>
      </c>
    </row>
    <row r="7" customFormat="false" ht="16.4" hidden="false" customHeight="false" outlineLevel="0" collapsed="false">
      <c r="A7" s="7" t="s">
        <v>402</v>
      </c>
      <c r="B7" s="33" t="n">
        <v>6.62</v>
      </c>
      <c r="C7" s="33"/>
      <c r="D7" s="33"/>
      <c r="E7" s="33" t="n">
        <v>2.65</v>
      </c>
      <c r="F7" s="33" t="n">
        <v>3.3</v>
      </c>
      <c r="G7" s="34" t="n">
        <f aca="false">AVERAGE(E7,F7)</f>
        <v>2.975</v>
      </c>
      <c r="H7" s="12" t="n">
        <f aca="false">IF(ISNUMBER(B7),B7/$B$7-1,"")</f>
        <v>0</v>
      </c>
      <c r="I7" s="4" t="s">
        <v>403</v>
      </c>
    </row>
    <row r="8" customFormat="false" ht="15" hidden="false" customHeight="false" outlineLevel="0" collapsed="false">
      <c r="A8" s="7" t="s">
        <v>404</v>
      </c>
      <c r="B8" s="33" t="n">
        <v>5.78</v>
      </c>
      <c r="C8" s="33"/>
      <c r="D8" s="33"/>
      <c r="E8" s="33" t="n">
        <v>2.5</v>
      </c>
      <c r="F8" s="33" t="n">
        <v>3.1</v>
      </c>
      <c r="G8" s="34" t="n">
        <f aca="false">AVERAGE(E8,F8)</f>
        <v>2.8</v>
      </c>
      <c r="H8" s="12" t="n">
        <f aca="false">IF(ISNUMBER(B8),B8/$B$7-1,"")</f>
        <v>-0.126888217522659</v>
      </c>
      <c r="I8" s="4"/>
    </row>
    <row r="9" customFormat="false" ht="15" hidden="false" customHeight="false" outlineLevel="0" collapsed="false">
      <c r="A9" s="7" t="s">
        <v>405</v>
      </c>
      <c r="B9" s="33" t="n">
        <v>4.77</v>
      </c>
      <c r="C9" s="33" t="n">
        <v>3.9</v>
      </c>
      <c r="D9" s="33" t="n">
        <v>3.9</v>
      </c>
      <c r="E9" s="33" t="n">
        <v>2.2</v>
      </c>
      <c r="F9" s="33" t="n">
        <v>2.5</v>
      </c>
      <c r="G9" s="34" t="n">
        <f aca="false">AVERAGE(E9,F9)</f>
        <v>2.35</v>
      </c>
      <c r="H9" s="12" t="n">
        <f aca="false">IF(ISNUMBER(B9),B9/$B$7-1,"")</f>
        <v>-0.279456193353474</v>
      </c>
      <c r="I9" s="4"/>
    </row>
    <row r="10" customFormat="false" ht="15" hidden="false" customHeight="false" outlineLevel="0" collapsed="false">
      <c r="A10" s="7" t="s">
        <v>406</v>
      </c>
      <c r="B10" s="33" t="n">
        <v>4.44</v>
      </c>
      <c r="C10" s="33" t="n">
        <v>3.45</v>
      </c>
      <c r="D10" s="33" t="n">
        <v>3.45</v>
      </c>
      <c r="E10" s="33" t="n">
        <v>2.15</v>
      </c>
      <c r="F10" s="33" t="n">
        <v>2.45</v>
      </c>
      <c r="G10" s="34" t="n">
        <f aca="false">AVERAGE(E10,F10)</f>
        <v>2.3</v>
      </c>
      <c r="H10" s="12" t="n">
        <f aca="false">IF(ISNUMBER(B10),B10/$B$7-1,"")</f>
        <v>-0.329305135951662</v>
      </c>
      <c r="I10" s="4"/>
    </row>
    <row r="11" customFormat="false" ht="15" hidden="false" customHeight="false" outlineLevel="0" collapsed="false">
      <c r="A11" s="7" t="s">
        <v>407</v>
      </c>
      <c r="B11" s="33" t="n">
        <v>3.91</v>
      </c>
      <c r="C11" s="33" t="n">
        <v>2.85</v>
      </c>
      <c r="D11" s="33" t="n">
        <v>3.15</v>
      </c>
      <c r="E11" s="33" t="n">
        <v>1.9</v>
      </c>
      <c r="F11" s="33" t="n">
        <v>2.1</v>
      </c>
      <c r="G11" s="34" t="n">
        <f aca="false">AVERAGE(E11,F11)</f>
        <v>2</v>
      </c>
      <c r="H11" s="12" t="n">
        <f aca="false">IF(ISNUMBER(B11),B11/$B$7-1,"")</f>
        <v>-0.409365558912387</v>
      </c>
      <c r="I11" s="4"/>
    </row>
    <row r="12" customFormat="false" ht="15" hidden="false" customHeight="false" outlineLevel="0" collapsed="false">
      <c r="A12" s="7" t="s">
        <v>408</v>
      </c>
      <c r="B12" s="33" t="n">
        <v>3.6</v>
      </c>
      <c r="C12" s="33" t="n">
        <v>2.7</v>
      </c>
      <c r="D12" s="33" t="n">
        <v>3</v>
      </c>
      <c r="E12" s="33" t="n">
        <v>1.8</v>
      </c>
      <c r="F12" s="33" t="n">
        <v>2.1</v>
      </c>
      <c r="G12" s="34" t="n">
        <f aca="false">AVERAGE(E12,F12)</f>
        <v>1.95</v>
      </c>
      <c r="H12" s="12" t="n">
        <f aca="false">IF(ISNUMBER(B12),B12/$B$7-1,"")</f>
        <v>-0.45619335347432</v>
      </c>
      <c r="I12" s="4"/>
    </row>
    <row r="13" customFormat="false" ht="15" hidden="false" customHeight="false" outlineLevel="0" collapsed="false">
      <c r="A13" s="7" t="s">
        <v>409</v>
      </c>
      <c r="B13" s="33" t="n">
        <v>3.34</v>
      </c>
      <c r="C13" s="33" t="n">
        <v>2.5</v>
      </c>
      <c r="D13" s="33" t="n">
        <v>3</v>
      </c>
      <c r="E13" s="33" t="n">
        <v>1.8</v>
      </c>
      <c r="F13" s="33" t="n">
        <v>2.1</v>
      </c>
      <c r="G13" s="34" t="n">
        <f aca="false">AVERAGE(E13,F13)</f>
        <v>1.95</v>
      </c>
      <c r="H13" s="12" t="n">
        <f aca="false">IF(ISNUMBER(B13),B13/$B$7-1,"")</f>
        <v>-0.495468277945619</v>
      </c>
      <c r="I13" s="4"/>
    </row>
    <row r="14" customFormat="false" ht="15" hidden="false" customHeight="false" outlineLevel="0" collapsed="false">
      <c r="A14" s="7" t="s">
        <v>410</v>
      </c>
      <c r="B14" s="33" t="n">
        <v>2.79</v>
      </c>
      <c r="C14" s="33" t="n">
        <v>2.25</v>
      </c>
      <c r="D14" s="33" t="n">
        <v>3</v>
      </c>
      <c r="E14" s="33" t="n">
        <v>1.7</v>
      </c>
      <c r="F14" s="33" t="n">
        <v>2</v>
      </c>
      <c r="G14" s="34" t="n">
        <f aca="false">AVERAGE(E14,F14)</f>
        <v>1.85</v>
      </c>
      <c r="H14" s="12" t="n">
        <f aca="false">IF(ISNUMBER(B14),B14/$B$7-1,"")</f>
        <v>-0.578549848942598</v>
      </c>
      <c r="I14" s="4"/>
    </row>
    <row r="15" customFormat="false" ht="15" hidden="false" customHeight="false" outlineLevel="0" collapsed="false">
      <c r="A15" s="7" t="s">
        <v>411</v>
      </c>
      <c r="B15" s="33" t="n">
        <v>2.9</v>
      </c>
      <c r="C15" s="33" t="n">
        <v>2</v>
      </c>
      <c r="D15" s="33" t="n">
        <v>3</v>
      </c>
      <c r="E15" s="33" t="n">
        <v>1.5</v>
      </c>
      <c r="F15" s="33" t="n">
        <v>2</v>
      </c>
      <c r="G15" s="34" t="n">
        <f aca="false">AVERAGE(E15,F15)</f>
        <v>1.75</v>
      </c>
      <c r="H15" s="12" t="n">
        <f aca="false">IF(ISNUMBER(B15),B15/$B$7-1,"")</f>
        <v>-0.561933534743202</v>
      </c>
      <c r="I15" s="4"/>
    </row>
    <row r="16" customFormat="false" ht="15" hidden="false" customHeight="false" outlineLevel="0" collapsed="false">
      <c r="A16" s="7" t="s">
        <v>412</v>
      </c>
      <c r="B16" s="33" t="n">
        <v>2.9</v>
      </c>
      <c r="C16" s="33" t="n">
        <v>2</v>
      </c>
      <c r="D16" s="33" t="n">
        <v>3</v>
      </c>
      <c r="E16" s="33" t="n">
        <v>1.5</v>
      </c>
      <c r="F16" s="33" t="n">
        <v>2</v>
      </c>
      <c r="G16" s="34" t="n">
        <f aca="false">AVERAGE(E16,F16)</f>
        <v>1.75</v>
      </c>
      <c r="H16" s="12" t="n">
        <f aca="false">IF(ISNUMBER(B16),B16/$B$7-1,"")</f>
        <v>-0.561933534743202</v>
      </c>
      <c r="I16" s="4"/>
    </row>
    <row r="17" customFormat="false" ht="16.4" hidden="false" customHeight="false" outlineLevel="0" collapsed="false">
      <c r="A17" s="7" t="s">
        <v>413</v>
      </c>
      <c r="B17" s="33" t="n">
        <v>2.84</v>
      </c>
      <c r="C17" s="33" t="n">
        <v>2.2</v>
      </c>
      <c r="D17" s="33" t="n">
        <v>3</v>
      </c>
      <c r="E17" s="33" t="n">
        <v>1.45</v>
      </c>
      <c r="F17" s="33" t="n">
        <v>1.95</v>
      </c>
      <c r="G17" s="34" t="n">
        <f aca="false">AVERAGE(E17,F17)</f>
        <v>1.7</v>
      </c>
      <c r="H17" s="12" t="n">
        <f aca="false">IF(ISNUMBER(B17),B17/$B$7-1,"")</f>
        <v>-0.570996978851964</v>
      </c>
      <c r="I17" s="4" t="s">
        <v>414</v>
      </c>
    </row>
    <row r="18" customFormat="false" ht="15" hidden="false" customHeight="false" outlineLevel="0" collapsed="false">
      <c r="A18" s="7" t="s">
        <v>415</v>
      </c>
      <c r="B18" s="33" t="n">
        <v>2.8</v>
      </c>
      <c r="C18" s="33" t="n">
        <v>2.2</v>
      </c>
      <c r="D18" s="33" t="n">
        <v>3</v>
      </c>
      <c r="E18" s="33" t="n">
        <v>1.45</v>
      </c>
      <c r="F18" s="33" t="n">
        <v>2</v>
      </c>
      <c r="G18" s="34" t="n">
        <f aca="false">AVERAGE(E18,F18)</f>
        <v>1.725</v>
      </c>
      <c r="H18" s="12" t="n">
        <f aca="false">IF(ISNUMBER(B18),B18/$B$7-1,"")</f>
        <v>-0.577039274924471</v>
      </c>
      <c r="I18" s="4"/>
    </row>
    <row r="19" customFormat="false" ht="15" hidden="false" customHeight="false" outlineLevel="0" collapsed="false">
      <c r="A19" s="7" t="s">
        <v>416</v>
      </c>
      <c r="B19" s="33" t="n">
        <v>2.81</v>
      </c>
      <c r="C19" s="33" t="n">
        <v>2.2</v>
      </c>
      <c r="D19" s="33" t="n">
        <v>3</v>
      </c>
      <c r="E19" s="33" t="n">
        <v>1.45</v>
      </c>
      <c r="F19" s="33" t="n">
        <v>2</v>
      </c>
      <c r="G19" s="34" t="n">
        <f aca="false">AVERAGE(E19,F19)</f>
        <v>1.725</v>
      </c>
      <c r="H19" s="12" t="n">
        <f aca="false">IF(ISNUMBER(B19),B19/$B$7-1,"")</f>
        <v>-0.575528700906344</v>
      </c>
      <c r="I19" s="4"/>
    </row>
    <row r="20" customFormat="false" ht="15" hidden="false" customHeight="false" outlineLevel="0" collapsed="false">
      <c r="A20" s="7" t="s">
        <v>417</v>
      </c>
      <c r="B20" s="33" t="n">
        <v>2.82</v>
      </c>
      <c r="C20" s="33" t="n">
        <v>2.2</v>
      </c>
      <c r="D20" s="33" t="n">
        <v>3</v>
      </c>
      <c r="E20" s="33" t="n">
        <v>1.5</v>
      </c>
      <c r="F20" s="33" t="n">
        <v>2.05</v>
      </c>
      <c r="G20" s="34" t="n">
        <f aca="false">AVERAGE(E20,F20)</f>
        <v>1.775</v>
      </c>
      <c r="H20" s="12" t="n">
        <f aca="false">IF(ISNUMBER(B20),B20/$B$7-1,"")</f>
        <v>-0.574018126888218</v>
      </c>
      <c r="I20" s="4"/>
    </row>
    <row r="21" customFormat="false" ht="16.4" hidden="false" customHeight="false" outlineLevel="0" collapsed="false">
      <c r="A21" s="7" t="s">
        <v>418</v>
      </c>
      <c r="B21" s="33" t="n">
        <v>2.83</v>
      </c>
      <c r="C21" s="33"/>
      <c r="D21" s="33"/>
      <c r="E21" s="33" t="n">
        <v>1.8</v>
      </c>
      <c r="F21" s="33" t="n">
        <v>2.35</v>
      </c>
      <c r="G21" s="34" t="n">
        <f aca="false">AVERAGE(E21,F21)</f>
        <v>2.075</v>
      </c>
      <c r="H21" s="12" t="n">
        <f aca="false">IF(ISNUMBER(B21),B21/$B$7-1,"")</f>
        <v>-0.572507552870091</v>
      </c>
      <c r="I21" s="4" t="s">
        <v>419</v>
      </c>
    </row>
    <row r="22" customFormat="false" ht="15" hidden="false" customHeight="false" outlineLevel="0" collapsed="false">
      <c r="A22" s="7" t="s">
        <v>420</v>
      </c>
      <c r="B22" s="33" t="n">
        <v>2.8</v>
      </c>
      <c r="C22" s="33"/>
      <c r="D22" s="33"/>
      <c r="E22" s="33" t="n">
        <v>2</v>
      </c>
      <c r="F22" s="33" t="n">
        <v>2.7</v>
      </c>
      <c r="G22" s="34" t="n">
        <f aca="false">AVERAGE(E22,F22)</f>
        <v>2.35</v>
      </c>
      <c r="H22" s="12" t="n">
        <f aca="false">IF(ISNUMBER(B22),B22/$B$7-1,"")</f>
        <v>-0.577039274924471</v>
      </c>
      <c r="I22" s="4"/>
    </row>
    <row r="23" customFormat="false" ht="16.4" hidden="false" customHeight="false" outlineLevel="0" collapsed="false">
      <c r="A23" s="7" t="s">
        <v>421</v>
      </c>
      <c r="B23" s="33"/>
      <c r="C23" s="33"/>
      <c r="D23" s="33"/>
      <c r="E23" s="33" t="n">
        <v>2.1</v>
      </c>
      <c r="F23" s="33" t="n">
        <v>2.7</v>
      </c>
      <c r="G23" s="34" t="n">
        <f aca="false">AVERAGE(E23,F23)</f>
        <v>2.4</v>
      </c>
      <c r="H23" s="12" t="str">
        <f aca="false">IF(ISNUMBER(B23),B23/$B$7-1,"")</f>
        <v/>
      </c>
      <c r="I23" s="4" t="s">
        <v>422</v>
      </c>
    </row>
    <row r="25" customFormat="false" ht="16.4" hidden="false" customHeight="false" outlineLevel="0" collapsed="false">
      <c r="A25" s="7" t="s">
        <v>423</v>
      </c>
      <c r="B25" s="12" t="n">
        <f aca="false">$B$22/$B$7-1</f>
        <v>-0.577039274924471</v>
      </c>
      <c r="I25" s="4" t="s">
        <v>424</v>
      </c>
    </row>
    <row r="26" customFormat="false" ht="15" hidden="false" customHeight="false" outlineLevel="0" collapsed="false">
      <c r="A26" s="7" t="s">
        <v>425</v>
      </c>
      <c r="B26" s="12" t="n">
        <f aca="false">$G$17/$G$7-1</f>
        <v>-0.428571428571429</v>
      </c>
    </row>
    <row r="27" customFormat="false" ht="31.3" hidden="false" customHeight="false" outlineLevel="0" collapsed="false">
      <c r="A27" s="7" t="s">
        <v>426</v>
      </c>
      <c r="B27" s="12" t="n">
        <f aca="false">$G$23/$G$17-1</f>
        <v>0.411764705882353</v>
      </c>
      <c r="I27" s="4" t="s">
        <v>427</v>
      </c>
    </row>
    <row r="29" customFormat="false" ht="15" hidden="false" customHeight="false" outlineLevel="0" collapsed="false">
      <c r="A29" s="5" t="s">
        <v>428</v>
      </c>
      <c r="B29" s="6"/>
      <c r="C29" s="6"/>
      <c r="D29" s="6"/>
      <c r="E29" s="6"/>
      <c r="F29" s="6"/>
      <c r="G29" s="6"/>
      <c r="H29" s="6"/>
      <c r="I29" s="6"/>
    </row>
    <row r="30" customFormat="false" ht="31.5" hidden="false" customHeight="true" outlineLevel="0" collapsed="false">
      <c r="A30" s="8" t="s">
        <v>429</v>
      </c>
      <c r="B30" s="8" t="s">
        <v>430</v>
      </c>
      <c r="C30" s="8" t="s">
        <v>431</v>
      </c>
      <c r="D30" s="8" t="s">
        <v>432</v>
      </c>
      <c r="E30" s="8" t="s">
        <v>433</v>
      </c>
      <c r="F30" s="8" t="s">
        <v>434</v>
      </c>
      <c r="G30" s="8" t="s">
        <v>435</v>
      </c>
      <c r="H30" s="8" t="s">
        <v>436</v>
      </c>
      <c r="I30" s="8" t="s">
        <v>117</v>
      </c>
    </row>
    <row r="31" customFormat="false" ht="16.4" hidden="false" customHeight="false" outlineLevel="0" collapsed="false">
      <c r="A31" s="7" t="s">
        <v>437</v>
      </c>
      <c r="B31" s="33" t="n">
        <v>7.94</v>
      </c>
      <c r="C31" s="33" t="n">
        <v>4.26</v>
      </c>
      <c r="D31" s="33" t="n">
        <v>5.62</v>
      </c>
      <c r="E31" s="12" t="n">
        <f aca="false">C31/B31-1</f>
        <v>-0.463476070528967</v>
      </c>
      <c r="F31" s="12" t="n">
        <f aca="false">D31/B31-1</f>
        <v>-0.292191435768262</v>
      </c>
      <c r="G31" s="20" t="n">
        <v>37</v>
      </c>
      <c r="H31" s="16" t="n">
        <v>0.04</v>
      </c>
      <c r="I31" s="4" t="s">
        <v>438</v>
      </c>
    </row>
    <row r="32" customFormat="false" ht="15" hidden="false" customHeight="false" outlineLevel="0" collapsed="false">
      <c r="A32" s="7" t="s">
        <v>439</v>
      </c>
      <c r="B32" s="33" t="n">
        <v>4.72</v>
      </c>
      <c r="C32" s="33" t="n">
        <v>3.72</v>
      </c>
      <c r="D32" s="33" t="n">
        <v>3.84</v>
      </c>
      <c r="E32" s="12" t="n">
        <f aca="false">C32/B32-1</f>
        <v>-0.211864406779661</v>
      </c>
      <c r="F32" s="12" t="n">
        <f aca="false">D32/B32-1</f>
        <v>-0.186440677966102</v>
      </c>
      <c r="G32" s="20" t="n">
        <v>49</v>
      </c>
      <c r="H32" s="16" t="n">
        <v>0.03</v>
      </c>
      <c r="I32" s="4"/>
    </row>
    <row r="33" customFormat="false" ht="16.4" hidden="false" customHeight="false" outlineLevel="0" collapsed="false">
      <c r="A33" s="7" t="s">
        <v>440</v>
      </c>
      <c r="B33" s="33" t="n">
        <v>3.49</v>
      </c>
      <c r="C33" s="33" t="n">
        <v>2.62</v>
      </c>
      <c r="D33" s="33" t="n">
        <v>3.31</v>
      </c>
      <c r="E33" s="12" t="n">
        <f aca="false">C33/B33-1</f>
        <v>-0.249283667621777</v>
      </c>
      <c r="F33" s="12" t="n">
        <f aca="false">D33/B33-1</f>
        <v>-0.0515759312320917</v>
      </c>
      <c r="G33" s="20" t="n">
        <v>57</v>
      </c>
      <c r="H33" s="16"/>
      <c r="I33" s="4" t="s">
        <v>441</v>
      </c>
    </row>
    <row r="34" customFormat="false" ht="15" hidden="false" customHeight="false" outlineLevel="0" collapsed="false">
      <c r="A34" s="7" t="s">
        <v>442</v>
      </c>
      <c r="B34" s="33" t="n">
        <v>2.99</v>
      </c>
      <c r="C34" s="33" t="n">
        <v>1.76</v>
      </c>
      <c r="D34" s="33" t="n">
        <v>2.8</v>
      </c>
      <c r="E34" s="12" t="n">
        <f aca="false">C34/B34-1</f>
        <v>-0.411371237458194</v>
      </c>
      <c r="F34" s="12" t="n">
        <f aca="false">D34/B34-1</f>
        <v>-0.0635451505016724</v>
      </c>
      <c r="G34" s="20" t="n">
        <v>11</v>
      </c>
      <c r="H34" s="16" t="n">
        <v>0.23</v>
      </c>
      <c r="I34" s="4"/>
    </row>
    <row r="36" customFormat="false" ht="15" hidden="false" customHeight="false" outlineLevel="0" collapsed="false">
      <c r="A36" s="5" t="s">
        <v>443</v>
      </c>
      <c r="B36" s="6"/>
      <c r="C36" s="6"/>
      <c r="D36" s="6"/>
      <c r="E36" s="6"/>
      <c r="F36" s="6"/>
      <c r="G36" s="6"/>
      <c r="H36" s="6"/>
      <c r="I36" s="6"/>
    </row>
    <row r="37" customFormat="false" ht="31.5" hidden="false" customHeight="true" outlineLevel="0" collapsed="false">
      <c r="A37" s="8" t="s">
        <v>444</v>
      </c>
      <c r="B37" s="8" t="s">
        <v>445</v>
      </c>
      <c r="C37" s="8" t="s">
        <v>446</v>
      </c>
      <c r="D37" s="8" t="s">
        <v>447</v>
      </c>
      <c r="E37" s="8" t="s">
        <v>448</v>
      </c>
      <c r="F37" s="8" t="s">
        <v>449</v>
      </c>
      <c r="G37" s="8" t="s">
        <v>450</v>
      </c>
      <c r="H37" s="8" t="s">
        <v>451</v>
      </c>
      <c r="I37" s="8" t="s">
        <v>117</v>
      </c>
    </row>
    <row r="38" customFormat="false" ht="15" hidden="false" customHeight="false" outlineLevel="0" collapsed="false">
      <c r="A38" s="7" t="s">
        <v>452</v>
      </c>
      <c r="B38" s="33" t="n">
        <v>8.39</v>
      </c>
      <c r="C38" s="33"/>
      <c r="D38" s="33"/>
      <c r="E38" s="33" t="n">
        <v>6.61</v>
      </c>
      <c r="F38" s="33" t="n">
        <v>6.5</v>
      </c>
      <c r="G38" s="33"/>
      <c r="H38" s="33"/>
      <c r="I38" s="4"/>
    </row>
    <row r="39" customFormat="false" ht="16.4" hidden="false" customHeight="false" outlineLevel="0" collapsed="false">
      <c r="A39" s="7" t="s">
        <v>453</v>
      </c>
      <c r="B39" s="33"/>
      <c r="C39" s="33"/>
      <c r="D39" s="33"/>
      <c r="E39" s="33"/>
      <c r="F39" s="33" t="n">
        <v>4.1</v>
      </c>
      <c r="G39" s="33" t="n">
        <v>4.1</v>
      </c>
      <c r="H39" s="33" t="n">
        <v>3.74</v>
      </c>
      <c r="I39" s="4" t="s">
        <v>454</v>
      </c>
    </row>
    <row r="40" customFormat="false" ht="15" hidden="false" customHeight="false" outlineLevel="0" collapsed="false">
      <c r="A40" s="7" t="s">
        <v>455</v>
      </c>
      <c r="B40" s="33" t="n">
        <v>6.59</v>
      </c>
      <c r="C40" s="33" t="n">
        <v>6.39</v>
      </c>
      <c r="D40" s="33" t="n">
        <v>5.96</v>
      </c>
      <c r="E40" s="33" t="n">
        <v>6.33</v>
      </c>
      <c r="F40" s="33"/>
      <c r="G40" s="33"/>
      <c r="H40" s="33"/>
      <c r="I40" s="4"/>
    </row>
    <row r="41" customFormat="false" ht="15" hidden="false" customHeight="false" outlineLevel="0" collapsed="false">
      <c r="A41" s="7" t="s">
        <v>456</v>
      </c>
      <c r="B41" s="33"/>
      <c r="C41" s="33"/>
      <c r="D41" s="33"/>
      <c r="E41" s="33"/>
      <c r="F41" s="33" t="n">
        <v>3.29</v>
      </c>
      <c r="G41" s="33" t="n">
        <v>3.07</v>
      </c>
      <c r="H41" s="33"/>
      <c r="I41" s="4"/>
    </row>
    <row r="42" customFormat="false" ht="15" hidden="false" customHeight="false" outlineLevel="0" collapsed="false">
      <c r="A42" s="7" t="s">
        <v>457</v>
      </c>
      <c r="B42" s="33" t="n">
        <v>4.5</v>
      </c>
      <c r="C42" s="33" t="n">
        <v>4.32</v>
      </c>
      <c r="D42" s="33" t="n">
        <v>4.15</v>
      </c>
      <c r="E42" s="33" t="n">
        <v>4.11</v>
      </c>
      <c r="F42" s="33" t="n">
        <v>3.68</v>
      </c>
      <c r="G42" s="33" t="n">
        <v>3.1</v>
      </c>
      <c r="H42" s="33"/>
      <c r="I42" s="4"/>
    </row>
    <row r="43" customFormat="false" ht="16.4" hidden="false" customHeight="false" outlineLevel="0" collapsed="false">
      <c r="A43" s="7" t="s">
        <v>458</v>
      </c>
      <c r="B43" s="33"/>
      <c r="C43" s="33"/>
      <c r="D43" s="33"/>
      <c r="E43" s="33" t="n">
        <v>1.67</v>
      </c>
      <c r="F43" s="33"/>
      <c r="G43" s="33"/>
      <c r="H43" s="33"/>
      <c r="I43" s="4" t="s">
        <v>459</v>
      </c>
    </row>
    <row r="44" customFormat="false" ht="15" hidden="false" customHeight="false" outlineLevel="0" collapsed="false">
      <c r="A44" s="7" t="s">
        <v>460</v>
      </c>
      <c r="B44" s="33" t="n">
        <v>3.52</v>
      </c>
      <c r="C44" s="33" t="n">
        <v>3.36</v>
      </c>
      <c r="D44" s="33" t="n">
        <v>3.18</v>
      </c>
      <c r="E44" s="33" t="n">
        <v>3.11</v>
      </c>
      <c r="F44" s="33" t="n">
        <v>2.64</v>
      </c>
      <c r="G44" s="33" t="n">
        <v>1.83</v>
      </c>
      <c r="H44" s="33"/>
      <c r="I44" s="4"/>
    </row>
    <row r="45" customFormat="false" ht="16.4" hidden="false" customHeight="false" outlineLevel="0" collapsed="false">
      <c r="A45" s="7" t="s">
        <v>461</v>
      </c>
      <c r="B45" s="33"/>
      <c r="C45" s="33"/>
      <c r="D45" s="33"/>
      <c r="E45" s="33"/>
      <c r="F45" s="33" t="n">
        <v>1.4</v>
      </c>
      <c r="G45" s="33"/>
      <c r="H45" s="33"/>
      <c r="I45" s="4" t="s">
        <v>462</v>
      </c>
    </row>
    <row r="46" customFormat="false" ht="31.3" hidden="false" customHeight="false" outlineLevel="0" collapsed="false">
      <c r="A46" s="7" t="s">
        <v>463</v>
      </c>
      <c r="C46" s="12" t="n">
        <f aca="false">C44/$B$44-1</f>
        <v>-0.0454545454545455</v>
      </c>
      <c r="D46" s="12" t="n">
        <f aca="false">D44/$B$44-1</f>
        <v>-0.0965909090909091</v>
      </c>
      <c r="E46" s="12" t="n">
        <f aca="false">E44/$B$44-1</f>
        <v>-0.116477272727273</v>
      </c>
      <c r="F46" s="12" t="n">
        <f aca="false">F44/$B$44-1</f>
        <v>-0.25</v>
      </c>
      <c r="G46" s="12" t="n">
        <f aca="false">G44/$B$44-1</f>
        <v>-0.480113636363636</v>
      </c>
      <c r="I46" s="4" t="s">
        <v>464</v>
      </c>
    </row>
    <row r="48" customFormat="false" ht="15" hidden="false" customHeight="false" outlineLevel="0" collapsed="false">
      <c r="A48" s="5" t="s">
        <v>465</v>
      </c>
      <c r="B48" s="6"/>
      <c r="C48" s="6"/>
      <c r="D48" s="6"/>
      <c r="E48" s="6"/>
      <c r="F48" s="6"/>
      <c r="G48" s="6"/>
      <c r="H48" s="6"/>
      <c r="I48" s="6"/>
    </row>
    <row r="49" customFormat="false" ht="31.5" hidden="false" customHeight="true" outlineLevel="0" collapsed="false">
      <c r="A49" s="8" t="s">
        <v>429</v>
      </c>
      <c r="B49" s="8" t="s">
        <v>466</v>
      </c>
      <c r="C49" s="8" t="s">
        <v>467</v>
      </c>
      <c r="D49" s="8" t="s">
        <v>468</v>
      </c>
      <c r="E49" s="8" t="s">
        <v>469</v>
      </c>
      <c r="F49" s="8" t="s">
        <v>470</v>
      </c>
      <c r="G49" s="8" t="s">
        <v>471</v>
      </c>
      <c r="H49" s="8"/>
      <c r="I49" s="8" t="s">
        <v>117</v>
      </c>
    </row>
    <row r="50" customFormat="false" ht="16.4" hidden="false" customHeight="false" outlineLevel="0" collapsed="false">
      <c r="A50" s="7" t="s">
        <v>472</v>
      </c>
      <c r="B50" s="33" t="n">
        <v>8.02</v>
      </c>
      <c r="C50" s="33" t="n">
        <v>5.25</v>
      </c>
      <c r="D50" s="33" t="n">
        <v>6.02</v>
      </c>
      <c r="E50" s="33" t="n">
        <v>4.41</v>
      </c>
      <c r="F50" s="33" t="n">
        <v>3.61</v>
      </c>
      <c r="G50" s="35" t="n">
        <v>-0.075</v>
      </c>
      <c r="I50" s="4" t="s">
        <v>473</v>
      </c>
    </row>
    <row r="51" customFormat="false" ht="16.4" hidden="false" customHeight="false" outlineLevel="0" collapsed="false">
      <c r="A51" s="7" t="s">
        <v>437</v>
      </c>
      <c r="B51" s="33" t="n">
        <v>6.64</v>
      </c>
      <c r="C51" s="33" t="n">
        <v>6.64</v>
      </c>
      <c r="D51" s="33" t="n">
        <v>4.98</v>
      </c>
      <c r="E51" s="33" t="n">
        <v>3.65</v>
      </c>
      <c r="F51" s="33" t="n">
        <v>2.99</v>
      </c>
      <c r="G51" s="35" t="n">
        <v>-0.104</v>
      </c>
      <c r="I51" s="4" t="s">
        <v>474</v>
      </c>
    </row>
    <row r="52" customFormat="false" ht="16.4" hidden="false" customHeight="false" outlineLevel="0" collapsed="false">
      <c r="A52" s="7" t="s">
        <v>439</v>
      </c>
      <c r="B52" s="33" t="n">
        <v>3.7</v>
      </c>
      <c r="C52" s="33" t="n">
        <v>3.7</v>
      </c>
      <c r="D52" s="33" t="n">
        <v>2.78</v>
      </c>
      <c r="E52" s="33" t="n">
        <v>2.04</v>
      </c>
      <c r="F52" s="33" t="n">
        <v>1.67</v>
      </c>
      <c r="G52" s="35" t="n">
        <v>0.039</v>
      </c>
      <c r="I52" s="4" t="s">
        <v>475</v>
      </c>
    </row>
    <row r="53" customFormat="false" ht="16.4" hidden="false" customHeight="false" outlineLevel="0" collapsed="false">
      <c r="A53" s="7" t="s">
        <v>440</v>
      </c>
      <c r="B53" s="33" t="n">
        <v>2.49</v>
      </c>
      <c r="C53" s="33" t="n">
        <v>1.99</v>
      </c>
      <c r="D53" s="33" t="n">
        <v>1.87</v>
      </c>
      <c r="E53" s="33" t="n">
        <v>1.37</v>
      </c>
      <c r="F53" s="33" t="n">
        <v>1.12</v>
      </c>
      <c r="G53" s="35" t="n">
        <v>-0.123</v>
      </c>
      <c r="I53" s="4" t="s">
        <v>476</v>
      </c>
    </row>
    <row r="55" customFormat="false" ht="15" hidden="false" customHeight="false" outlineLevel="0" collapsed="false">
      <c r="A55" s="5" t="s">
        <v>477</v>
      </c>
      <c r="B55" s="6"/>
      <c r="C55" s="6"/>
      <c r="D55" s="6"/>
      <c r="E55" s="6"/>
      <c r="F55" s="6"/>
      <c r="G55" s="6"/>
      <c r="H55" s="6"/>
      <c r="I55" s="6"/>
    </row>
    <row r="56" customFormat="false" ht="42" hidden="false" customHeight="true" outlineLevel="0" collapsed="false">
      <c r="A56" s="4" t="s">
        <v>478</v>
      </c>
      <c r="B56" s="4"/>
      <c r="C56" s="4"/>
      <c r="D56" s="4"/>
      <c r="E56" s="4"/>
      <c r="F56" s="4"/>
      <c r="G56" s="4"/>
      <c r="H56" s="4"/>
      <c r="I56" s="4"/>
    </row>
    <row r="57" customFormat="false" ht="42" hidden="false" customHeight="true" outlineLevel="0" collapsed="false">
      <c r="A57" s="4" t="s">
        <v>479</v>
      </c>
      <c r="B57" s="4"/>
      <c r="C57" s="4"/>
      <c r="D57" s="4"/>
      <c r="E57" s="4"/>
      <c r="F57" s="4"/>
      <c r="G57" s="4"/>
      <c r="H57" s="4"/>
      <c r="I57" s="4"/>
    </row>
    <row r="58" customFormat="false" ht="42" hidden="false" customHeight="true" outlineLevel="0" collapsed="false">
      <c r="A58" s="4" t="s">
        <v>480</v>
      </c>
      <c r="B58" s="4"/>
      <c r="C58" s="4"/>
      <c r="D58" s="4"/>
      <c r="E58" s="4"/>
      <c r="F58" s="4"/>
      <c r="G58" s="4"/>
      <c r="H58" s="4"/>
      <c r="I58" s="4"/>
    </row>
    <row r="59" customFormat="false" ht="42" hidden="false" customHeight="true" outlineLevel="0" collapsed="false">
      <c r="A59" s="4" t="s">
        <v>481</v>
      </c>
      <c r="B59" s="4"/>
      <c r="C59" s="4"/>
      <c r="D59" s="4"/>
      <c r="E59" s="4"/>
      <c r="F59" s="4"/>
      <c r="G59" s="4"/>
      <c r="H59" s="4"/>
      <c r="I59" s="4"/>
    </row>
  </sheetData>
  <mergeCells count="4">
    <mergeCell ref="A56:I56"/>
    <mergeCell ref="A57:I57"/>
    <mergeCell ref="A58:I58"/>
    <mergeCell ref="A59:I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9" min="5" style="0" width="14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80"/>
  </cols>
  <sheetData>
    <row r="1" customFormat="false" ht="17.35" hidden="false" customHeight="false" outlineLevel="0" collapsed="false">
      <c r="A1" s="1" t="s">
        <v>482</v>
      </c>
    </row>
    <row r="2" customFormat="false" ht="15" hidden="false" customHeight="false" outlineLevel="0" collapsed="false">
      <c r="A2" s="2" t="s">
        <v>483</v>
      </c>
    </row>
    <row r="4" customFormat="false" ht="15" hidden="false" customHeight="false" outlineLevel="0" collapsed="false">
      <c r="A4" s="5" t="s">
        <v>484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customFormat="false" ht="31.5" hidden="false" customHeight="true" outlineLevel="0" collapsed="false">
      <c r="A5" s="8" t="s">
        <v>33</v>
      </c>
      <c r="B5" s="8" t="s">
        <v>485</v>
      </c>
      <c r="C5" s="8" t="s">
        <v>486</v>
      </c>
      <c r="D5" s="8" t="s">
        <v>487</v>
      </c>
      <c r="E5" s="8" t="s">
        <v>488</v>
      </c>
      <c r="F5" s="8" t="s">
        <v>489</v>
      </c>
      <c r="G5" s="8" t="s">
        <v>490</v>
      </c>
      <c r="H5" s="8" t="s">
        <v>44</v>
      </c>
      <c r="I5" s="8" t="s">
        <v>491</v>
      </c>
      <c r="J5" s="8" t="s">
        <v>492</v>
      </c>
      <c r="K5" s="8" t="s">
        <v>493</v>
      </c>
      <c r="L5" s="8" t="s">
        <v>494</v>
      </c>
    </row>
    <row r="6" customFormat="false" ht="75" hidden="false" customHeight="true" outlineLevel="0" collapsed="false">
      <c r="A6" s="7" t="s">
        <v>495</v>
      </c>
      <c r="B6" s="10" t="n">
        <f aca="false">CRWV_Duration!E13</f>
        <v>19</v>
      </c>
      <c r="C6" s="4" t="s">
        <v>496</v>
      </c>
      <c r="D6" s="12" t="n">
        <f aca="false">CRWV_Duration!$B$47</f>
        <v>0.02</v>
      </c>
      <c r="E6" s="36" t="n">
        <v>0.05</v>
      </c>
      <c r="F6" s="36" t="n">
        <v>0.12</v>
      </c>
      <c r="G6" s="12" t="n">
        <f aca="false">D6+E6</f>
        <v>0.07</v>
      </c>
      <c r="H6" s="12" t="n">
        <f aca="false">D6+F6</f>
        <v>0.14</v>
      </c>
      <c r="I6" s="11" t="n">
        <f aca="false">CRWV_Duration!E15</f>
        <v>5.48421052631579</v>
      </c>
      <c r="J6" s="11" t="n">
        <f aca="false">CRWV_Duration!$E$25</f>
        <v>2.63</v>
      </c>
      <c r="K6" s="13" t="str">
        <f aca="false">IF(H6&lt;0.15,"Low",IF(H6&lt;0.35,"Medium","High"))</f>
        <v>Low</v>
      </c>
      <c r="L6" s="4" t="s">
        <v>497</v>
      </c>
    </row>
    <row r="7" customFormat="false" ht="75" hidden="false" customHeight="true" outlineLevel="0" collapsed="false">
      <c r="A7" s="7" t="s">
        <v>498</v>
      </c>
      <c r="B7" s="10" t="n">
        <f aca="false">NBIS_Duration!E11</f>
        <v>8</v>
      </c>
      <c r="C7" s="4" t="s">
        <v>499</v>
      </c>
      <c r="D7" s="36" t="n">
        <v>0.12</v>
      </c>
      <c r="E7" s="36" t="n">
        <v>0.1</v>
      </c>
      <c r="F7" s="36" t="n">
        <v>0.2</v>
      </c>
      <c r="G7" s="12" t="n">
        <f aca="false">D7+E7</f>
        <v>0.22</v>
      </c>
      <c r="H7" s="12" t="n">
        <f aca="false">D7+F7</f>
        <v>0.32</v>
      </c>
      <c r="I7" s="11" t="n">
        <f aca="false">NBIS_Duration!E12</f>
        <v>5</v>
      </c>
      <c r="J7" s="11" t="n">
        <f aca="false">NBIS_Duration!$G$25</f>
        <v>4.40531143052704</v>
      </c>
      <c r="K7" s="13" t="str">
        <f aca="false">IF(H7&lt;0.15,"Low",IF(H7&lt;0.35,"Medium","High"))</f>
        <v>Medium</v>
      </c>
      <c r="L7" s="4" t="s">
        <v>500</v>
      </c>
    </row>
    <row r="8" customFormat="false" ht="75" hidden="false" customHeight="true" outlineLevel="0" collapsed="false">
      <c r="A8" s="7" t="s">
        <v>501</v>
      </c>
      <c r="B8" s="10" t="n">
        <f aca="false">Peer_Contracts!B47</f>
        <v>4</v>
      </c>
      <c r="C8" s="4" t="s">
        <v>502</v>
      </c>
      <c r="D8" s="36" t="n">
        <v>0.02</v>
      </c>
      <c r="E8" s="36" t="n">
        <v>0.1</v>
      </c>
      <c r="F8" s="36" t="n">
        <v>0.3</v>
      </c>
      <c r="G8" s="12" t="n">
        <f aca="false">D8+E8</f>
        <v>0.12</v>
      </c>
      <c r="H8" s="12" t="n">
        <f aca="false">D8+F8</f>
        <v>0.32</v>
      </c>
      <c r="I8" s="11" t="n">
        <f aca="false">Peer_Contracts!$H$48</f>
        <v>3.7125</v>
      </c>
      <c r="J8" s="11" t="n">
        <f aca="false">Peer_Contracts!$G$47</f>
        <v>3.70999315537303</v>
      </c>
      <c r="K8" s="13" t="str">
        <f aca="false">IF(H8&lt;0.15,"Low",IF(H8&lt;0.35,"Medium","High"))</f>
        <v>Medium</v>
      </c>
      <c r="L8" s="4" t="s">
        <v>503</v>
      </c>
    </row>
    <row r="10" customFormat="false" ht="15" hidden="false" customHeight="false" outlineLevel="0" collapsed="false">
      <c r="A10" s="37" t="s">
        <v>504</v>
      </c>
    </row>
    <row r="12" customFormat="false" ht="15" hidden="false" customHeight="false" outlineLevel="0" collapsed="false">
      <c r="A12" s="5" t="s">
        <v>505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16.4" hidden="false" customHeight="true" outlineLevel="0" collapsed="false">
      <c r="A13" s="7" t="s">
        <v>506</v>
      </c>
      <c r="B13" s="36" t="n">
        <v>-0.4</v>
      </c>
      <c r="C13" s="36" t="n">
        <v>-0.25</v>
      </c>
      <c r="D13" s="36" t="n">
        <v>-0.1</v>
      </c>
      <c r="E13" s="36" t="n">
        <v>0</v>
      </c>
      <c r="F13" s="36" t="n">
        <v>0.15</v>
      </c>
      <c r="G13" s="36" t="n">
        <v>0.25</v>
      </c>
      <c r="I13" s="4" t="s">
        <v>507</v>
      </c>
      <c r="J13" s="4"/>
      <c r="K13" s="4"/>
      <c r="L13" s="4"/>
    </row>
    <row r="14" customFormat="false" ht="31.5" hidden="false" customHeight="true" outlineLevel="0" collapsed="false">
      <c r="A14" s="8" t="s">
        <v>508</v>
      </c>
      <c r="B14" s="8" t="s">
        <v>509</v>
      </c>
      <c r="C14" s="8" t="s">
        <v>510</v>
      </c>
      <c r="D14" s="8" t="s">
        <v>511</v>
      </c>
      <c r="E14" s="8" t="s">
        <v>512</v>
      </c>
      <c r="F14" s="8" t="s">
        <v>513</v>
      </c>
      <c r="G14" s="8" t="s">
        <v>514</v>
      </c>
      <c r="H14" s="8"/>
      <c r="I14" s="8"/>
      <c r="J14" s="8"/>
      <c r="K14" s="8"/>
      <c r="L14" s="8"/>
    </row>
    <row r="15" customFormat="false" ht="15" hidden="false" customHeight="false" outlineLevel="0" collapsed="false">
      <c r="A15" s="7" t="str">
        <f aca="false">A6</f>
        <v>CoreWeave (CRWV)</v>
      </c>
      <c r="B15" s="21" t="n">
        <f aca="false">$B6*$G6*B$13</f>
        <v>-0.532</v>
      </c>
      <c r="C15" s="21" t="n">
        <f aca="false">$B6*$G6*C$13</f>
        <v>-0.3325</v>
      </c>
      <c r="D15" s="21" t="n">
        <f aca="false">$B6*$G6*D$13</f>
        <v>-0.133</v>
      </c>
      <c r="E15" s="21" t="n">
        <f aca="false">$B6*$G6*E$13</f>
        <v>0</v>
      </c>
      <c r="F15" s="21" t="n">
        <f aca="false">$B6*$G6*F$13</f>
        <v>0.1995</v>
      </c>
      <c r="G15" s="21" t="n">
        <f aca="false">$B6*$G6*G$13</f>
        <v>0.3325</v>
      </c>
    </row>
    <row r="16" customFormat="false" ht="15" hidden="false" customHeight="false" outlineLevel="0" collapsed="false">
      <c r="A16" s="7" t="str">
        <f aca="false">A7</f>
        <v>Nebius (NBIS)</v>
      </c>
      <c r="B16" s="21" t="n">
        <f aca="false">$B7*$G7*B$13</f>
        <v>-0.704</v>
      </c>
      <c r="C16" s="21" t="n">
        <f aca="false">$B7*$G7*C$13</f>
        <v>-0.44</v>
      </c>
      <c r="D16" s="21" t="n">
        <f aca="false">$B7*$G7*D$13</f>
        <v>-0.176</v>
      </c>
      <c r="E16" s="21" t="n">
        <f aca="false">$B7*$G7*E$13</f>
        <v>0</v>
      </c>
      <c r="F16" s="21" t="n">
        <f aca="false">$B7*$G7*F$13</f>
        <v>0.264</v>
      </c>
      <c r="G16" s="21" t="n">
        <f aca="false">$B7*$G7*G$13</f>
        <v>0.44</v>
      </c>
    </row>
    <row r="17" customFormat="false" ht="15" hidden="false" customHeight="false" outlineLevel="0" collapsed="false">
      <c r="A17" s="7" t="str">
        <f aca="false">A8</f>
        <v>IREN (IREN)</v>
      </c>
      <c r="B17" s="21" t="n">
        <f aca="false">$B8*$G8*B$13</f>
        <v>-0.192</v>
      </c>
      <c r="C17" s="21" t="n">
        <f aca="false">$B8*$G8*C$13</f>
        <v>-0.12</v>
      </c>
      <c r="D17" s="21" t="n">
        <f aca="false">$B8*$G8*D$13</f>
        <v>-0.048</v>
      </c>
      <c r="E17" s="21" t="n">
        <f aca="false">$B8*$G8*E$13</f>
        <v>0</v>
      </c>
      <c r="F17" s="21" t="n">
        <f aca="false">$B8*$G8*F$13</f>
        <v>0.072</v>
      </c>
      <c r="G17" s="21" t="n">
        <f aca="false">$B8*$G8*G$13</f>
        <v>0.12</v>
      </c>
    </row>
    <row r="18" customFormat="false" ht="31.5" hidden="false" customHeight="true" outlineLevel="0" collapsed="false">
      <c r="A18" s="8" t="s">
        <v>515</v>
      </c>
      <c r="B18" s="8" t="s">
        <v>509</v>
      </c>
      <c r="C18" s="8" t="s">
        <v>510</v>
      </c>
      <c r="D18" s="8" t="s">
        <v>511</v>
      </c>
      <c r="E18" s="8" t="s">
        <v>512</v>
      </c>
      <c r="F18" s="8" t="s">
        <v>513</v>
      </c>
      <c r="G18" s="8" t="s">
        <v>514</v>
      </c>
      <c r="H18" s="8"/>
      <c r="I18" s="8"/>
      <c r="J18" s="8"/>
      <c r="K18" s="8"/>
      <c r="L18" s="8"/>
    </row>
    <row r="19" customFormat="false" ht="15" hidden="false" customHeight="false" outlineLevel="0" collapsed="false">
      <c r="A19" s="7" t="str">
        <f aca="false">A6</f>
        <v>CoreWeave (CRWV)</v>
      </c>
      <c r="B19" s="38" t="n">
        <f aca="false">$G6*B$13</f>
        <v>-0.028</v>
      </c>
      <c r="C19" s="38" t="n">
        <f aca="false">$G6*C$13</f>
        <v>-0.0175</v>
      </c>
      <c r="D19" s="38" t="n">
        <f aca="false">$G6*D$13</f>
        <v>-0.007</v>
      </c>
      <c r="E19" s="38" t="n">
        <f aca="false">$G6*E$13</f>
        <v>0</v>
      </c>
      <c r="F19" s="38" t="n">
        <f aca="false">$G6*F$13</f>
        <v>0.0105</v>
      </c>
      <c r="G19" s="38" t="n">
        <f aca="false">$G6*G$13</f>
        <v>0.0175</v>
      </c>
    </row>
    <row r="20" customFormat="false" ht="15" hidden="false" customHeight="false" outlineLevel="0" collapsed="false">
      <c r="A20" s="7" t="str">
        <f aca="false">A7</f>
        <v>Nebius (NBIS)</v>
      </c>
      <c r="B20" s="38" t="n">
        <f aca="false">$G7*B$13</f>
        <v>-0.088</v>
      </c>
      <c r="C20" s="38" t="n">
        <f aca="false">$G7*C$13</f>
        <v>-0.055</v>
      </c>
      <c r="D20" s="38" t="n">
        <f aca="false">$G7*D$13</f>
        <v>-0.022</v>
      </c>
      <c r="E20" s="38" t="n">
        <f aca="false">$G7*E$13</f>
        <v>0</v>
      </c>
      <c r="F20" s="38" t="n">
        <f aca="false">$G7*F$13</f>
        <v>0.033</v>
      </c>
      <c r="G20" s="38" t="n">
        <f aca="false">$G7*G$13</f>
        <v>0.055</v>
      </c>
    </row>
    <row r="21" customFormat="false" ht="15" hidden="false" customHeight="false" outlineLevel="0" collapsed="false">
      <c r="A21" s="7" t="str">
        <f aca="false">A8</f>
        <v>IREN (IREN)</v>
      </c>
      <c r="B21" s="38" t="n">
        <f aca="false">$G8*B$13</f>
        <v>-0.048</v>
      </c>
      <c r="C21" s="38" t="n">
        <f aca="false">$G8*C$13</f>
        <v>-0.03</v>
      </c>
      <c r="D21" s="38" t="n">
        <f aca="false">$G8*D$13</f>
        <v>-0.012</v>
      </c>
      <c r="E21" s="38" t="n">
        <f aca="false">$G8*E$13</f>
        <v>0</v>
      </c>
      <c r="F21" s="38" t="n">
        <f aca="false">$G8*F$13</f>
        <v>0.018</v>
      </c>
      <c r="G21" s="38" t="n">
        <f aca="false">$G8*G$13</f>
        <v>0.03</v>
      </c>
    </row>
    <row r="22" customFormat="false" ht="31.5" hidden="false" customHeight="true" outlineLevel="0" collapsed="false">
      <c r="A22" s="8" t="s">
        <v>516</v>
      </c>
      <c r="B22" s="8" t="s">
        <v>509</v>
      </c>
      <c r="C22" s="8" t="s">
        <v>510</v>
      </c>
      <c r="D22" s="8" t="s">
        <v>511</v>
      </c>
      <c r="E22" s="8" t="s">
        <v>512</v>
      </c>
      <c r="F22" s="8" t="s">
        <v>513</v>
      </c>
      <c r="G22" s="8" t="s">
        <v>514</v>
      </c>
      <c r="H22" s="8"/>
      <c r="I22" s="8"/>
      <c r="J22" s="8"/>
      <c r="K22" s="8"/>
      <c r="L22" s="8"/>
    </row>
    <row r="23" customFormat="false" ht="15" hidden="false" customHeight="false" outlineLevel="0" collapsed="false">
      <c r="A23" s="7" t="str">
        <f aca="false">A6</f>
        <v>CoreWeave (CRWV)</v>
      </c>
      <c r="B23" s="38" t="n">
        <f aca="false">$H6*B$13</f>
        <v>-0.056</v>
      </c>
      <c r="C23" s="38" t="n">
        <f aca="false">$H6*C$13</f>
        <v>-0.035</v>
      </c>
      <c r="D23" s="38" t="n">
        <f aca="false">$H6*D$13</f>
        <v>-0.014</v>
      </c>
      <c r="E23" s="38" t="n">
        <f aca="false">$H6*E$13</f>
        <v>0</v>
      </c>
      <c r="F23" s="38" t="n">
        <f aca="false">$H6*F$13</f>
        <v>0.021</v>
      </c>
      <c r="G23" s="38" t="n">
        <f aca="false">$H6*G$13</f>
        <v>0.035</v>
      </c>
    </row>
    <row r="24" customFormat="false" ht="15" hidden="false" customHeight="false" outlineLevel="0" collapsed="false">
      <c r="A24" s="7" t="str">
        <f aca="false">A7</f>
        <v>Nebius (NBIS)</v>
      </c>
      <c r="B24" s="38" t="n">
        <f aca="false">$H7*B$13</f>
        <v>-0.128</v>
      </c>
      <c r="C24" s="38" t="n">
        <f aca="false">$H7*C$13</f>
        <v>-0.08</v>
      </c>
      <c r="D24" s="38" t="n">
        <f aca="false">$H7*D$13</f>
        <v>-0.032</v>
      </c>
      <c r="E24" s="38" t="n">
        <f aca="false">$H7*E$13</f>
        <v>0</v>
      </c>
      <c r="F24" s="38" t="n">
        <f aca="false">$H7*F$13</f>
        <v>0.048</v>
      </c>
      <c r="G24" s="38" t="n">
        <f aca="false">$H7*G$13</f>
        <v>0.08</v>
      </c>
    </row>
    <row r="25" customFormat="false" ht="15" hidden="false" customHeight="false" outlineLevel="0" collapsed="false">
      <c r="A25" s="7" t="str">
        <f aca="false">A8</f>
        <v>IREN (IREN)</v>
      </c>
      <c r="B25" s="38" t="n">
        <f aca="false">$H8*B$13</f>
        <v>-0.128</v>
      </c>
      <c r="C25" s="38" t="n">
        <f aca="false">$H8*C$13</f>
        <v>-0.08</v>
      </c>
      <c r="D25" s="38" t="n">
        <f aca="false">$H8*D$13</f>
        <v>-0.032</v>
      </c>
      <c r="E25" s="38" t="n">
        <f aca="false">$H8*E$13</f>
        <v>0</v>
      </c>
      <c r="F25" s="38" t="n">
        <f aca="false">$H8*F$13</f>
        <v>0.048</v>
      </c>
      <c r="G25" s="38" t="n">
        <f aca="false">$H8*G$13</f>
        <v>0.08</v>
      </c>
    </row>
    <row r="27" customFormat="false" ht="15" hidden="false" customHeight="false" outlineLevel="0" collapsed="false">
      <c r="A27" s="5" t="s">
        <v>517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customFormat="false" ht="31.5" hidden="false" customHeight="true" outlineLevel="0" collapsed="false">
      <c r="A28" s="8" t="s">
        <v>194</v>
      </c>
      <c r="B28" s="8" t="s">
        <v>518</v>
      </c>
      <c r="C28" s="8"/>
      <c r="D28" s="8"/>
      <c r="E28" s="8"/>
      <c r="F28" s="8"/>
      <c r="G28" s="8"/>
      <c r="H28" s="8"/>
      <c r="I28" s="8"/>
      <c r="J28" s="8"/>
      <c r="K28" s="8"/>
      <c r="L28" s="8" t="s">
        <v>117</v>
      </c>
    </row>
    <row r="29" customFormat="false" ht="31.3" hidden="false" customHeight="false" outlineLevel="0" collapsed="false">
      <c r="A29" s="7" t="s">
        <v>519</v>
      </c>
      <c r="B29" s="39" t="n">
        <v>1.75</v>
      </c>
      <c r="L29" s="4" t="s">
        <v>520</v>
      </c>
    </row>
    <row r="30" customFormat="false" ht="15" hidden="false" customHeight="false" outlineLevel="0" collapsed="false">
      <c r="A30" s="7" t="s">
        <v>521</v>
      </c>
      <c r="B30" s="34" t="n">
        <f aca="false">GPU_Spot_Prices!$C$33</f>
        <v>2.62</v>
      </c>
    </row>
    <row r="31" customFormat="false" ht="15" hidden="false" customHeight="false" outlineLevel="0" collapsed="false">
      <c r="A31" s="7" t="s">
        <v>522</v>
      </c>
      <c r="B31" s="34" t="n">
        <f aca="false">GPU_Spot_Prices!$B$33</f>
        <v>3.49</v>
      </c>
    </row>
    <row r="32" customFormat="false" ht="15" hidden="false" customHeight="false" outlineLevel="0" collapsed="false">
      <c r="A32" s="7" t="s">
        <v>523</v>
      </c>
      <c r="B32" s="34" t="n">
        <f aca="false">GPU_Spot_Prices!$G$44</f>
        <v>1.83</v>
      </c>
    </row>
    <row r="33" customFormat="false" ht="31.3" hidden="false" customHeight="false" outlineLevel="0" collapsed="false">
      <c r="A33" s="7" t="s">
        <v>524</v>
      </c>
      <c r="B33" s="12" t="n">
        <f aca="false">B30/B29-1</f>
        <v>0.497142857142857</v>
      </c>
      <c r="L33" s="4" t="s">
        <v>525</v>
      </c>
    </row>
    <row r="34" customFormat="false" ht="16.4" hidden="false" customHeight="false" outlineLevel="0" collapsed="false">
      <c r="A34" s="7" t="s">
        <v>526</v>
      </c>
      <c r="B34" s="12" t="n">
        <f aca="false">1-B29/B30</f>
        <v>0.33206106870229</v>
      </c>
      <c r="L34" s="4" t="s">
        <v>527</v>
      </c>
    </row>
    <row r="35" customFormat="false" ht="31.3" hidden="false" customHeight="false" outlineLevel="0" collapsed="false">
      <c r="A35" s="7" t="s">
        <v>528</v>
      </c>
      <c r="B35" s="12" t="n">
        <f aca="false">B32/B29-1</f>
        <v>0.0457142857142858</v>
      </c>
      <c r="L35" s="4" t="s">
        <v>529</v>
      </c>
    </row>
    <row r="36" customFormat="false" ht="31.3" hidden="false" customHeight="false" outlineLevel="0" collapsed="false">
      <c r="A36" s="7" t="s">
        <v>530</v>
      </c>
      <c r="B36" s="12" t="n">
        <f aca="false">GPU_Spot_Prices!$B$22/GPU_Spot_Prices!$B$7-1</f>
        <v>-0.577039274924471</v>
      </c>
      <c r="L36" s="4" t="s">
        <v>531</v>
      </c>
    </row>
    <row r="38" customFormat="false" ht="15" hidden="false" customHeight="false" outlineLevel="0" collapsed="false">
      <c r="A38" s="5" t="s">
        <v>532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customFormat="false" ht="31.5" hidden="false" customHeight="true" outlineLevel="0" collapsed="false">
      <c r="A39" s="8" t="s">
        <v>33</v>
      </c>
      <c r="B39" s="8" t="s">
        <v>533</v>
      </c>
      <c r="C39" s="8" t="s">
        <v>534</v>
      </c>
      <c r="D39" s="8" t="s">
        <v>364</v>
      </c>
      <c r="E39" s="8"/>
      <c r="F39" s="8"/>
      <c r="G39" s="8"/>
      <c r="H39" s="8"/>
      <c r="I39" s="8"/>
      <c r="J39" s="8"/>
      <c r="K39" s="8"/>
      <c r="L39" s="8"/>
    </row>
    <row r="40" customFormat="false" ht="31.5" hidden="false" customHeight="true" outlineLevel="0" collapsed="false">
      <c r="A40" s="7" t="s">
        <v>535</v>
      </c>
      <c r="B40" s="9" t="s">
        <v>64</v>
      </c>
      <c r="C40" s="4" t="s">
        <v>73</v>
      </c>
      <c r="D40" s="4" t="s">
        <v>536</v>
      </c>
      <c r="E40" s="4"/>
      <c r="F40" s="4"/>
      <c r="G40" s="4"/>
      <c r="H40" s="4"/>
      <c r="I40" s="4"/>
      <c r="J40" s="4"/>
      <c r="K40" s="4"/>
      <c r="L40" s="4"/>
    </row>
    <row r="41" customFormat="false" ht="31.5" hidden="false" customHeight="true" outlineLevel="0" collapsed="false">
      <c r="A41" s="7" t="s">
        <v>537</v>
      </c>
      <c r="B41" s="9" t="s">
        <v>69</v>
      </c>
      <c r="C41" s="4" t="s">
        <v>69</v>
      </c>
      <c r="D41" s="4" t="s">
        <v>538</v>
      </c>
      <c r="E41" s="4"/>
      <c r="F41" s="4"/>
      <c r="G41" s="4"/>
      <c r="H41" s="4"/>
      <c r="I41" s="4"/>
      <c r="J41" s="4"/>
      <c r="K41" s="4"/>
      <c r="L41" s="4"/>
    </row>
    <row r="42" customFormat="false" ht="31.5" hidden="false" customHeight="true" outlineLevel="0" collapsed="false">
      <c r="A42" s="7" t="s">
        <v>539</v>
      </c>
      <c r="B42" s="9" t="s">
        <v>73</v>
      </c>
      <c r="C42" s="4" t="s">
        <v>69</v>
      </c>
      <c r="D42" s="4" t="s">
        <v>540</v>
      </c>
      <c r="E42" s="4"/>
      <c r="F42" s="4"/>
      <c r="G42" s="4"/>
      <c r="H42" s="4"/>
      <c r="I42" s="4"/>
      <c r="J42" s="4"/>
      <c r="K42" s="4"/>
      <c r="L42" s="4"/>
    </row>
    <row r="43" customFormat="false" ht="31.5" hidden="false" customHeight="true" outlineLevel="0" collapsed="false">
      <c r="A43" s="7" t="s">
        <v>541</v>
      </c>
      <c r="B43" s="9" t="s">
        <v>542</v>
      </c>
      <c r="C43" s="4" t="s">
        <v>543</v>
      </c>
      <c r="D43" s="4" t="s">
        <v>544</v>
      </c>
      <c r="E43" s="4"/>
      <c r="F43" s="4"/>
      <c r="G43" s="4"/>
      <c r="H43" s="4"/>
      <c r="I43" s="4"/>
      <c r="J43" s="4"/>
      <c r="K43" s="4"/>
      <c r="L43" s="4"/>
    </row>
    <row r="44" customFormat="false" ht="31.5" hidden="false" customHeight="true" outlineLevel="0" collapsed="false">
      <c r="A44" s="7" t="s">
        <v>545</v>
      </c>
      <c r="B44" s="9" t="s">
        <v>83</v>
      </c>
      <c r="C44" s="4" t="s">
        <v>546</v>
      </c>
      <c r="D44" s="4" t="s">
        <v>547</v>
      </c>
      <c r="E44" s="4"/>
      <c r="F44" s="4"/>
      <c r="G44" s="4"/>
      <c r="H44" s="4"/>
      <c r="I44" s="4"/>
      <c r="J44" s="4"/>
      <c r="K44" s="4"/>
      <c r="L44" s="4"/>
    </row>
  </sheetData>
  <mergeCells count="6">
    <mergeCell ref="I13:L13"/>
    <mergeCell ref="D40:L40"/>
    <mergeCell ref="D41:L41"/>
    <mergeCell ref="D42:L42"/>
    <mergeCell ref="D43:L43"/>
    <mergeCell ref="D44:L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4" min="4" style="0" width="70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548</v>
      </c>
    </row>
    <row r="3" customFormat="false" ht="31.5" hidden="false" customHeight="true" outlineLevel="0" collapsed="false">
      <c r="A3" s="8" t="s">
        <v>549</v>
      </c>
      <c r="B3" s="8" t="s">
        <v>550</v>
      </c>
      <c r="C3" s="8" t="s">
        <v>551</v>
      </c>
      <c r="D3" s="8" t="s">
        <v>552</v>
      </c>
      <c r="E3" s="8" t="s">
        <v>553</v>
      </c>
    </row>
    <row r="4" customFormat="false" ht="39.75" hidden="false" customHeight="true" outlineLevel="0" collapsed="false">
      <c r="A4" s="20" t="n">
        <v>1</v>
      </c>
      <c r="B4" s="7" t="s">
        <v>47</v>
      </c>
      <c r="C4" s="4" t="s">
        <v>554</v>
      </c>
      <c r="D4" s="40" t="s">
        <v>555</v>
      </c>
      <c r="E4" s="4" t="s">
        <v>556</v>
      </c>
    </row>
    <row r="5" customFormat="false" ht="39.75" hidden="false" customHeight="true" outlineLevel="0" collapsed="false">
      <c r="A5" s="20" t="n">
        <v>2</v>
      </c>
      <c r="B5" s="7" t="s">
        <v>47</v>
      </c>
      <c r="C5" s="4" t="s">
        <v>557</v>
      </c>
      <c r="D5" s="40" t="s">
        <v>558</v>
      </c>
      <c r="E5" s="4" t="s">
        <v>559</v>
      </c>
    </row>
    <row r="6" customFormat="false" ht="39.75" hidden="false" customHeight="true" outlineLevel="0" collapsed="false">
      <c r="A6" s="20" t="n">
        <v>3</v>
      </c>
      <c r="B6" s="7" t="s">
        <v>47</v>
      </c>
      <c r="C6" s="4" t="s">
        <v>560</v>
      </c>
      <c r="D6" s="40" t="s">
        <v>561</v>
      </c>
      <c r="E6" s="4" t="s">
        <v>562</v>
      </c>
    </row>
    <row r="7" customFormat="false" ht="39.75" hidden="false" customHeight="true" outlineLevel="0" collapsed="false">
      <c r="A7" s="20" t="n">
        <v>4</v>
      </c>
      <c r="B7" s="7" t="s">
        <v>47</v>
      </c>
      <c r="C7" s="4" t="s">
        <v>563</v>
      </c>
      <c r="D7" s="40" t="s">
        <v>564</v>
      </c>
      <c r="E7" s="4" t="s">
        <v>565</v>
      </c>
    </row>
    <row r="8" customFormat="false" ht="39.75" hidden="false" customHeight="true" outlineLevel="0" collapsed="false">
      <c r="A8" s="20" t="n">
        <v>5</v>
      </c>
      <c r="B8" s="7" t="s">
        <v>47</v>
      </c>
      <c r="C8" s="4" t="s">
        <v>566</v>
      </c>
      <c r="D8" s="40" t="s">
        <v>567</v>
      </c>
      <c r="E8" s="4" t="s">
        <v>568</v>
      </c>
    </row>
    <row r="9" customFormat="false" ht="39.75" hidden="false" customHeight="true" outlineLevel="0" collapsed="false">
      <c r="A9" s="20" t="n">
        <v>6</v>
      </c>
      <c r="B9" s="7" t="s">
        <v>569</v>
      </c>
      <c r="C9" s="4" t="s">
        <v>570</v>
      </c>
      <c r="D9" s="40" t="s">
        <v>571</v>
      </c>
      <c r="E9" s="4" t="s">
        <v>572</v>
      </c>
    </row>
    <row r="10" customFormat="false" ht="39.75" hidden="false" customHeight="true" outlineLevel="0" collapsed="false">
      <c r="A10" s="20" t="n">
        <v>7</v>
      </c>
      <c r="B10" s="7" t="s">
        <v>569</v>
      </c>
      <c r="C10" s="4" t="s">
        <v>573</v>
      </c>
      <c r="D10" s="40" t="s">
        <v>574</v>
      </c>
      <c r="E10" s="4" t="s">
        <v>575</v>
      </c>
    </row>
    <row r="11" customFormat="false" ht="39.75" hidden="false" customHeight="true" outlineLevel="0" collapsed="false">
      <c r="A11" s="20" t="n">
        <v>8</v>
      </c>
      <c r="B11" s="7" t="s">
        <v>569</v>
      </c>
      <c r="C11" s="4" t="s">
        <v>563</v>
      </c>
      <c r="D11" s="40" t="s">
        <v>576</v>
      </c>
      <c r="E11" s="4" t="s">
        <v>577</v>
      </c>
    </row>
    <row r="12" customFormat="false" ht="39.75" hidden="false" customHeight="true" outlineLevel="0" collapsed="false">
      <c r="A12" s="20" t="n">
        <v>9</v>
      </c>
      <c r="B12" s="7" t="s">
        <v>569</v>
      </c>
      <c r="C12" s="4" t="s">
        <v>578</v>
      </c>
      <c r="D12" s="40" t="s">
        <v>579</v>
      </c>
      <c r="E12" s="4" t="s">
        <v>580</v>
      </c>
    </row>
    <row r="13" customFormat="false" ht="39.75" hidden="false" customHeight="true" outlineLevel="0" collapsed="false">
      <c r="A13" s="20" t="n">
        <v>10</v>
      </c>
      <c r="B13" s="7" t="s">
        <v>569</v>
      </c>
      <c r="C13" s="4" t="s">
        <v>581</v>
      </c>
      <c r="D13" s="40" t="s">
        <v>582</v>
      </c>
      <c r="E13" s="4" t="s">
        <v>583</v>
      </c>
    </row>
    <row r="14" customFormat="false" ht="39.75" hidden="false" customHeight="true" outlineLevel="0" collapsed="false">
      <c r="A14" s="20" t="n">
        <v>11</v>
      </c>
      <c r="B14" s="7" t="s">
        <v>56</v>
      </c>
      <c r="C14" s="4" t="s">
        <v>584</v>
      </c>
      <c r="D14" s="40" t="s">
        <v>585</v>
      </c>
      <c r="E14" s="4" t="s">
        <v>586</v>
      </c>
    </row>
    <row r="15" customFormat="false" ht="39.75" hidden="false" customHeight="true" outlineLevel="0" collapsed="false">
      <c r="A15" s="20" t="n">
        <v>12</v>
      </c>
      <c r="B15" s="7" t="s">
        <v>56</v>
      </c>
      <c r="C15" s="4" t="s">
        <v>587</v>
      </c>
      <c r="D15" s="40" t="s">
        <v>588</v>
      </c>
      <c r="E15" s="4" t="s">
        <v>589</v>
      </c>
    </row>
    <row r="16" customFormat="false" ht="39.75" hidden="false" customHeight="true" outlineLevel="0" collapsed="false">
      <c r="A16" s="20" t="n">
        <v>13</v>
      </c>
      <c r="B16" s="7" t="s">
        <v>56</v>
      </c>
      <c r="C16" s="4" t="s">
        <v>590</v>
      </c>
      <c r="D16" s="40" t="s">
        <v>591</v>
      </c>
      <c r="E16" s="4" t="s">
        <v>592</v>
      </c>
    </row>
    <row r="17" customFormat="false" ht="39.75" hidden="false" customHeight="true" outlineLevel="0" collapsed="false">
      <c r="A17" s="20" t="n">
        <v>14</v>
      </c>
      <c r="B17" s="7" t="s">
        <v>593</v>
      </c>
      <c r="C17" s="4" t="s">
        <v>594</v>
      </c>
      <c r="D17" s="40" t="s">
        <v>595</v>
      </c>
      <c r="E17" s="4" t="s">
        <v>596</v>
      </c>
    </row>
    <row r="18" customFormat="false" ht="39.75" hidden="false" customHeight="true" outlineLevel="0" collapsed="false">
      <c r="A18" s="20" t="n">
        <v>15</v>
      </c>
      <c r="B18" s="7" t="s">
        <v>61</v>
      </c>
      <c r="C18" s="4" t="s">
        <v>597</v>
      </c>
      <c r="D18" s="40" t="s">
        <v>598</v>
      </c>
      <c r="E18" s="4" t="s">
        <v>599</v>
      </c>
    </row>
    <row r="19" customFormat="false" ht="39.75" hidden="false" customHeight="true" outlineLevel="0" collapsed="false">
      <c r="A19" s="20" t="n">
        <v>16</v>
      </c>
      <c r="B19" s="7" t="s">
        <v>61</v>
      </c>
      <c r="C19" s="4" t="s">
        <v>600</v>
      </c>
      <c r="D19" s="40" t="s">
        <v>601</v>
      </c>
      <c r="E19" s="4" t="s">
        <v>602</v>
      </c>
    </row>
    <row r="20" customFormat="false" ht="39.75" hidden="false" customHeight="true" outlineLevel="0" collapsed="false">
      <c r="A20" s="20" t="n">
        <v>17</v>
      </c>
      <c r="B20" s="7" t="s">
        <v>66</v>
      </c>
      <c r="C20" s="4" t="s">
        <v>603</v>
      </c>
      <c r="D20" s="40" t="s">
        <v>604</v>
      </c>
      <c r="E20" s="4" t="s">
        <v>605</v>
      </c>
    </row>
    <row r="21" customFormat="false" ht="39.75" hidden="false" customHeight="true" outlineLevel="0" collapsed="false">
      <c r="A21" s="20" t="n">
        <v>18</v>
      </c>
      <c r="B21" s="7" t="s">
        <v>75</v>
      </c>
      <c r="C21" s="4" t="s">
        <v>606</v>
      </c>
      <c r="D21" s="40" t="s">
        <v>607</v>
      </c>
      <c r="E21" s="4" t="s">
        <v>608</v>
      </c>
    </row>
    <row r="22" customFormat="false" ht="39.75" hidden="false" customHeight="true" outlineLevel="0" collapsed="false">
      <c r="A22" s="20" t="n">
        <v>19</v>
      </c>
      <c r="B22" s="7" t="s">
        <v>79</v>
      </c>
      <c r="C22" s="4" t="s">
        <v>609</v>
      </c>
      <c r="D22" s="40" t="s">
        <v>610</v>
      </c>
      <c r="E22" s="4" t="s">
        <v>611</v>
      </c>
    </row>
    <row r="23" customFormat="false" ht="39.75" hidden="false" customHeight="true" outlineLevel="0" collapsed="false">
      <c r="A23" s="20" t="n">
        <v>20</v>
      </c>
      <c r="B23" s="7" t="s">
        <v>85</v>
      </c>
      <c r="C23" s="4" t="s">
        <v>612</v>
      </c>
      <c r="D23" s="40" t="s">
        <v>613</v>
      </c>
      <c r="E23" s="4" t="s">
        <v>614</v>
      </c>
    </row>
    <row r="24" customFormat="false" ht="39.75" hidden="false" customHeight="true" outlineLevel="0" collapsed="false">
      <c r="A24" s="20" t="n">
        <v>21</v>
      </c>
      <c r="B24" s="7" t="s">
        <v>615</v>
      </c>
      <c r="C24" s="4" t="s">
        <v>616</v>
      </c>
      <c r="D24" s="40" t="s">
        <v>617</v>
      </c>
      <c r="E24" s="4" t="s">
        <v>618</v>
      </c>
    </row>
    <row r="25" customFormat="false" ht="39.75" hidden="false" customHeight="true" outlineLevel="0" collapsed="false">
      <c r="A25" s="20" t="n">
        <v>22</v>
      </c>
      <c r="B25" s="7" t="s">
        <v>615</v>
      </c>
      <c r="C25" s="4" t="s">
        <v>619</v>
      </c>
      <c r="D25" s="40" t="s">
        <v>620</v>
      </c>
      <c r="E25" s="4" t="s">
        <v>621</v>
      </c>
    </row>
    <row r="26" customFormat="false" ht="39.75" hidden="false" customHeight="true" outlineLevel="0" collapsed="false">
      <c r="A26" s="20" t="n">
        <v>23</v>
      </c>
      <c r="B26" s="7" t="s">
        <v>622</v>
      </c>
      <c r="C26" s="4" t="s">
        <v>623</v>
      </c>
      <c r="D26" s="40" t="s">
        <v>624</v>
      </c>
      <c r="E26" s="4" t="s">
        <v>625</v>
      </c>
    </row>
    <row r="27" customFormat="false" ht="39.75" hidden="false" customHeight="true" outlineLevel="0" collapsed="false">
      <c r="A27" s="20" t="n">
        <v>24</v>
      </c>
      <c r="B27" s="7" t="s">
        <v>622</v>
      </c>
      <c r="C27" s="4" t="s">
        <v>626</v>
      </c>
      <c r="D27" s="40" t="s">
        <v>627</v>
      </c>
      <c r="E27" s="4" t="s">
        <v>628</v>
      </c>
    </row>
    <row r="28" customFormat="false" ht="39.75" hidden="false" customHeight="true" outlineLevel="0" collapsed="false">
      <c r="A28" s="20" t="n">
        <v>25</v>
      </c>
      <c r="B28" s="7" t="s">
        <v>622</v>
      </c>
      <c r="C28" s="4" t="s">
        <v>629</v>
      </c>
      <c r="D28" s="40" t="s">
        <v>630</v>
      </c>
      <c r="E28" s="4" t="s">
        <v>631</v>
      </c>
    </row>
    <row r="29" customFormat="false" ht="39.75" hidden="false" customHeight="true" outlineLevel="0" collapsed="false">
      <c r="A29" s="20" t="n">
        <v>26</v>
      </c>
      <c r="B29" s="7" t="s">
        <v>622</v>
      </c>
      <c r="C29" s="4" t="s">
        <v>632</v>
      </c>
      <c r="D29" s="40" t="s">
        <v>633</v>
      </c>
      <c r="E29" s="4" t="s">
        <v>634</v>
      </c>
    </row>
  </sheetData>
  <hyperlinks>
    <hyperlink ref="D4" r:id="rId1" display="https://www.sec.gov/Archives/edgar/data/1769628/000176962826000366/crwv-20260630.htm"/>
    <hyperlink ref="D5" r:id="rId2" display="https://www.sec.gov/Archives/edgar/data/1769628/000176962826000222/crwv-20260331.htm"/>
    <hyperlink ref="D6" r:id="rId3" display="https://static.seekingalpha.com/uploads/sa_presentations/36/134036/original.pdf"/>
    <hyperlink ref="D7" r:id="rId4" display="https://gloom.sh/stocks/crwv/transcripts/q2-2026"/>
    <hyperlink ref="D8" r:id="rId5" display="https://investors.coreweave.com/news/"/>
    <hyperlink ref="D9" r:id="rId6" display="https://assets.nebius.com/assets/4462517b-ce83-41f2-96ed-f2ac1bc06a05/SHLQ226%20%281%29.pdf-0"/>
    <hyperlink ref="D10" r:id="rId7" display="https://www.sec.gov/Archives/edgar/data/1513845/000110465926094568/tm2622968d1_ex99-2.htm"/>
    <hyperlink ref="D11" r:id="rId8" display="https://www.fool.com/earnings/call-transcripts/2026/08/19/nebius-nbis-q2-2026-earnings-call-transcript/"/>
    <hyperlink ref="D12" r:id="rId9" display="https://assets.nebius.com/assets/aa1bc2e6-df83-40cd-a6a2-95e7cda3d16c/Nebius%20SHL%5FQ1%202026.pdf"/>
    <hyperlink ref="D13" r:id="rId10" display="https://nbistracker.com/demand"/>
    <hyperlink ref="D14" r:id="rId11" display="https://www.sec.gov/Archives/edgar/data/1878848/000187884826000051/irenreportsfy26results.htm"/>
    <hyperlink ref="D15" r:id="rId12" display="https://iren.com/resources/blog/iren-signs97-billion-agreement-with-microsoft-to-deploy-ai-cloud-infrastructure"/>
    <hyperlink ref="D16" r:id="rId13" display="https://app.edgar.tools/companies/IREN/disclosures/revenue"/>
    <hyperlink ref="D17" r:id="rId14" display="https://newmarketpitch.com/blogs/news/neocloud-top-startups"/>
    <hyperlink ref="D18" r:id="rId15" display="https://lambda.ai/blog/lambda-announces-multibillion-dollar-agreement-with-microsoft-to-deploy-ai-infrastructure-powered-by-tens-of-thousands-of-nvidia-gpus"/>
    <hyperlink ref="D19" r:id="rId16" display="https://datacenterindex.ai/insights/lambdas-35-billion-one-tenant-deal-rewrites-the-customer-concentration-math"/>
    <hyperlink ref="D20" r:id="rId17" display="https://techcrunch.com/2026/09/22/nscales-ipo-will-test-wall-streets-appetite-for-concentrated-ai-bets-once-again/"/>
    <hyperlink ref="D21" r:id="rId18" display="https://sacra.com/chat/h/b3863997-808e-4513-bb34-0075ee0813a9/"/>
    <hyperlink ref="D22" r:id="rId19" display="https://ir.applieddigital.com/news-events/press-releases/detail/159/applied-digital-reports-fiscal-fourth-quarter-and-full-year"/>
    <hyperlink ref="D23" r:id="rId20" display="https://www.datacenterdynamics.com/en/news/cipher-extends-barber-lake-data-center-lease-commitments-to-20-years/"/>
    <hyperlink ref="D24" r:id="rId21" display="https://blockwest.co/research/bitcoin-miner-ai-hpc-hosting-tracker-2026/"/>
    <hyperlink ref="D25" r:id="rId22" display="https://www.amcompute.com/offtake-tracker"/>
    <hyperlink ref="D26" r:id="rId23" display="https://gpu-index.semianalysis.com/"/>
    <hyperlink ref="D27" r:id="rId24" display="https://www.bargo.ai/gpu-prices"/>
    <hyperlink ref="D28" r:id="rId25" display="https://ccir.io/term"/>
    <hyperlink ref="D29" r:id="rId26" display="https://flatkey.ai/compute/pric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2026-10-16T20:11:53Z</dcterms:created>
  <dc:creator>openpyxl</dc:creator>
  <dc:description/>
  <dc:language>en-US</dc:language>
  <cp:lastModifiedBy/>
  <dcterms:modified xsi:type="dcterms:W3CDTF">2026-10-16T20:11:53Z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