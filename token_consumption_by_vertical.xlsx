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Task Comparison" sheetId="1" state="visible" r:id="rId1"/>
    <sheet name="Quarterly Time Series" sheetId="2" state="visible" r:id="rId2"/>
    <sheet name="Monthly Cost @ Scale" sheetId="3" state="visible" r:id="rId3"/>
    <sheet name="Token Economics Detail" sheetId="4" state="visible" r:id="rId4"/>
    <sheet name="Model Pricing (Mar 2026)" sheetId="5" state="visible" r:id="rId5"/>
    <sheet name="Sources &amp; Methodology" sheetId="6" state="visible" r:id="rId6"/>
  </sheets>
  <definedNames/>
  <calcPr calcId="124519" fullCalcOnLoad="1"/>
</workbook>
</file>

<file path=xl/styles.xml><?xml version="1.0" encoding="utf-8"?>
<styleSheet xmlns="http://schemas.openxmlformats.org/spreadsheetml/2006/main">
  <numFmts count="3">
    <numFmt numFmtId="164" formatCode="$#,##0.00"/>
    <numFmt numFmtId="165" formatCode="$#,##0.0000"/>
    <numFmt numFmtId="166" formatCode="0.0%"/>
  </numFmts>
  <fonts count="8">
    <font>
      <name val="Calibri"/>
      <family val="2"/>
      <color theme="1"/>
      <sz val="11"/>
      <scheme val="minor"/>
    </font>
    <font>
      <name val="Calibri"/>
      <b val="1"/>
      <color rgb="002F5496"/>
      <sz val="14"/>
    </font>
    <font>
      <name val="Calibri"/>
      <b val="1"/>
      <color rgb="00FFFFFF"/>
      <sz val="11"/>
    </font>
    <font>
      <name val="Calibri"/>
      <b val="1"/>
      <color rgb="002F5496"/>
      <sz val="13"/>
    </font>
    <font>
      <name val="Calibri"/>
      <i val="1"/>
      <color rgb="00808080"/>
      <sz val="9"/>
    </font>
    <font>
      <b val="1"/>
    </font>
    <font>
      <b val="1"/>
      <color rgb="00C00000"/>
    </font>
    <font>
      <b val="1"/>
      <color rgb="002F5496"/>
      <sz val="12"/>
    </font>
  </fonts>
  <fills count="9">
    <fill>
      <patternFill/>
    </fill>
    <fill>
      <patternFill patternType="gray125"/>
    </fill>
    <fill>
      <patternFill patternType="solid">
        <fgColor rgb="002F5496"/>
        <bgColor rgb="002F5496"/>
      </patternFill>
    </fill>
    <fill>
      <patternFill patternType="solid">
        <fgColor rgb="00E2EFDA"/>
        <bgColor rgb="00E2EFDA"/>
      </patternFill>
    </fill>
    <fill>
      <patternFill patternType="solid">
        <fgColor rgb="00FCE4D6"/>
        <bgColor rgb="00FCE4D6"/>
      </patternFill>
    </fill>
    <fill>
      <patternFill patternType="solid">
        <fgColor rgb="00DDEBF7"/>
        <bgColor rgb="00DDEBF7"/>
      </patternFill>
    </fill>
    <fill>
      <patternFill patternType="solid">
        <fgColor rgb="00FFF2CC"/>
        <bgColor rgb="00FFF2CC"/>
      </patternFill>
    </fill>
    <fill>
      <patternFill patternType="solid">
        <fgColor rgb="00E2D9F3"/>
        <bgColor rgb="00E2D9F3"/>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57">
    <xf numFmtId="0" fontId="0" fillId="0" borderId="0" pivotButton="0" quotePrefix="0" xfId="0"/>
    <xf numFmtId="0" fontId="1" fillId="0" borderId="0" applyAlignment="1" pivotButton="0" quotePrefix="0" xfId="0">
      <alignment horizontal="center"/>
    </xf>
    <xf numFmtId="0" fontId="2" fillId="2" borderId="1" applyAlignment="1" pivotButton="0" quotePrefix="0" xfId="0">
      <alignment horizontal="center" vertical="center" wrapText="1"/>
    </xf>
    <xf numFmtId="0" fontId="0" fillId="3" borderId="1" pivotButton="0" quotePrefix="0" xfId="0"/>
    <xf numFmtId="3" fontId="0" fillId="3" borderId="1" pivotButton="0" quotePrefix="0" xfId="0"/>
    <xf numFmtId="164" fontId="0" fillId="3" borderId="1" pivotButton="0" quotePrefix="0" xfId="0"/>
    <xf numFmtId="165" fontId="0" fillId="3" borderId="1" pivotButton="0" quotePrefix="0" xfId="0"/>
    <xf numFmtId="0" fontId="0" fillId="4" borderId="1" pivotButton="0" quotePrefix="0" xfId="0"/>
    <xf numFmtId="3" fontId="0" fillId="4" borderId="1" pivotButton="0" quotePrefix="0" xfId="0"/>
    <xf numFmtId="164" fontId="0" fillId="4" borderId="1" pivotButton="0" quotePrefix="0" xfId="0"/>
    <xf numFmtId="165" fontId="0" fillId="4" borderId="1" pivotButton="0" quotePrefix="0" xfId="0"/>
    <xf numFmtId="0" fontId="0" fillId="5" borderId="1" pivotButton="0" quotePrefix="0" xfId="0"/>
    <xf numFmtId="3" fontId="0" fillId="5" borderId="1" pivotButton="0" quotePrefix="0" xfId="0"/>
    <xf numFmtId="164" fontId="0" fillId="5" borderId="1" pivotButton="0" quotePrefix="0" xfId="0"/>
    <xf numFmtId="165" fontId="0" fillId="5" borderId="1" pivotButton="0" quotePrefix="0" xfId="0"/>
    <xf numFmtId="0" fontId="0" fillId="6" borderId="1" pivotButton="0" quotePrefix="0" xfId="0"/>
    <xf numFmtId="3" fontId="0" fillId="6" borderId="1" pivotButton="0" quotePrefix="0" xfId="0"/>
    <xf numFmtId="164" fontId="0" fillId="6" borderId="1" pivotButton="0" quotePrefix="0" xfId="0"/>
    <xf numFmtId="165" fontId="0" fillId="6" borderId="1" pivotButton="0" quotePrefix="0" xfId="0"/>
    <xf numFmtId="0" fontId="0" fillId="7" borderId="1" pivotButton="0" quotePrefix="0" xfId="0"/>
    <xf numFmtId="3" fontId="0" fillId="7" borderId="1" pivotButton="0" quotePrefix="0" xfId="0"/>
    <xf numFmtId="164" fontId="0" fillId="7" borderId="1" pivotButton="0" quotePrefix="0" xfId="0"/>
    <xf numFmtId="165" fontId="0" fillId="7" borderId="1" pivotButton="0" quotePrefix="0" xfId="0"/>
    <xf numFmtId="0" fontId="3" fillId="0" borderId="0" applyAlignment="1" pivotButton="0" quotePrefix="0" xfId="0">
      <alignment horizontal="center"/>
    </xf>
    <xf numFmtId="0" fontId="4" fillId="0" borderId="0" applyAlignment="1" pivotButton="0" quotePrefix="0" xfId="0">
      <alignment wrapText="1"/>
    </xf>
    <xf numFmtId="0" fontId="0" fillId="8" borderId="1" pivotButton="0" quotePrefix="0" xfId="0"/>
    <xf numFmtId="3" fontId="0" fillId="8" borderId="1" pivotButton="0" quotePrefix="0" xfId="0"/>
    <xf numFmtId="0" fontId="0" fillId="0" borderId="1" pivotButton="0" quotePrefix="0" xfId="0"/>
    <xf numFmtId="3" fontId="0" fillId="0" borderId="1" pivotButton="0" quotePrefix="0" xfId="0"/>
    <xf numFmtId="0" fontId="5" fillId="0" borderId="0" pivotButton="0" quotePrefix="0" xfId="0"/>
    <xf numFmtId="0" fontId="6" fillId="0" borderId="0" applyAlignment="1" pivotButton="0" quotePrefix="0" xfId="0">
      <alignment horizontal="center"/>
    </xf>
    <xf numFmtId="166" fontId="5" fillId="0" borderId="0" applyAlignment="1" pivotButton="0" quotePrefix="0" xfId="0">
      <alignment horizontal="center"/>
    </xf>
    <xf numFmtId="0" fontId="0" fillId="3" borderId="1" applyAlignment="1" pivotButton="0" quotePrefix="0" xfId="0">
      <alignment horizontal="center"/>
    </xf>
    <xf numFmtId="166" fontId="0" fillId="3" borderId="1" pivotButton="0" quotePrefix="0" xfId="0"/>
    <xf numFmtId="0" fontId="0" fillId="4" borderId="1" applyAlignment="1" pivotButton="0" quotePrefix="0" xfId="0">
      <alignment horizontal="center"/>
    </xf>
    <xf numFmtId="166" fontId="0" fillId="4" borderId="1" pivotButton="0" quotePrefix="0" xfId="0"/>
    <xf numFmtId="0" fontId="0" fillId="5" borderId="1" applyAlignment="1" pivotButton="0" quotePrefix="0" xfId="0">
      <alignment horizontal="center"/>
    </xf>
    <xf numFmtId="166" fontId="0" fillId="5" borderId="1" pivotButton="0" quotePrefix="0" xfId="0"/>
    <xf numFmtId="0" fontId="0" fillId="6" borderId="1" applyAlignment="1" pivotButton="0" quotePrefix="0" xfId="0">
      <alignment horizontal="center"/>
    </xf>
    <xf numFmtId="166" fontId="0" fillId="6" borderId="1" pivotButton="0" quotePrefix="0" xfId="0"/>
    <xf numFmtId="0" fontId="0" fillId="7" borderId="1" applyAlignment="1" pivotButton="0" quotePrefix="0" xfId="0">
      <alignment horizontal="center"/>
    </xf>
    <xf numFmtId="166" fontId="0" fillId="7" borderId="1" pivotButton="0" quotePrefix="0" xfId="0"/>
    <xf numFmtId="0" fontId="5" fillId="8" borderId="1" applyAlignment="1" pivotButton="0" quotePrefix="0" xfId="0">
      <alignment vertical="center" wrapText="1"/>
    </xf>
    <xf numFmtId="0" fontId="0" fillId="8" borderId="1" applyAlignment="1" pivotButton="0" quotePrefix="0" xfId="0">
      <alignment vertical="center" wrapText="1"/>
    </xf>
    <xf numFmtId="0" fontId="5" fillId="0" borderId="1" applyAlignment="1" pivotButton="0" quotePrefix="0" xfId="0">
      <alignment vertical="center" wrapText="1"/>
    </xf>
    <xf numFmtId="0" fontId="0" fillId="0" borderId="1" applyAlignment="1" pivotButton="0" quotePrefix="0" xfId="0">
      <alignment vertical="center" wrapText="1"/>
    </xf>
    <xf numFmtId="164" fontId="0" fillId="8" borderId="1" pivotButton="0" quotePrefix="0" xfId="0"/>
    <xf numFmtId="0" fontId="0" fillId="8" borderId="1" applyAlignment="1" pivotButton="0" quotePrefix="0" xfId="0">
      <alignment horizontal="center"/>
    </xf>
    <xf numFmtId="164" fontId="0" fillId="0" borderId="1" pivotButton="0" quotePrefix="0" xfId="0"/>
    <xf numFmtId="0" fontId="0" fillId="0" borderId="1" applyAlignment="1" pivotButton="0" quotePrefix="0" xfId="0">
      <alignment horizontal="center"/>
    </xf>
    <xf numFmtId="0" fontId="1" fillId="0" borderId="0" pivotButton="0" quotePrefix="0" xfId="0"/>
    <xf numFmtId="0" fontId="5" fillId="8" borderId="1" pivotButton="0" quotePrefix="0" xfId="0"/>
    <xf numFmtId="0" fontId="0" fillId="8" borderId="1" applyAlignment="1" pivotButton="0" quotePrefix="0" xfId="0">
      <alignment wrapText="1"/>
    </xf>
    <xf numFmtId="0" fontId="5" fillId="0" borderId="1" pivotButton="0" quotePrefix="0" xfId="0"/>
    <xf numFmtId="0" fontId="0" fillId="0" borderId="1" applyAlignment="1" pivotButton="0" quotePrefix="0" xfId="0">
      <alignment wrapText="1"/>
    </xf>
    <xf numFmtId="0" fontId="7"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style val="10"/>
  <chart>
    <title>
      <tx>
        <rich>
          <a:bodyPr/>
          <a:p>
            <a:pPr>
              <a:defRPr/>
            </a:pPr>
            <a:r>
              <a:t>Quarterly Token Consumption by Vertical (B tokens)</a:t>
            </a:r>
          </a:p>
        </rich>
      </tx>
    </title>
    <plotArea>
      <lineChart>
        <grouping val="standard"/>
        <ser>
          <idx val="0"/>
          <order val="0"/>
          <tx>
            <strRef>
              <f>'Quarterly Time Series'!B4</f>
            </strRef>
          </tx>
          <spPr>
            <a:ln w="25000">
              <a:solidFill>
                <a:srgbClr val="548235"/>
              </a:solidFill>
              <a:prstDash val="solid"/>
            </a:ln>
          </spPr>
          <marker>
            <symbol val="none"/>
            <spPr>
              <a:ln>
                <a:prstDash val="solid"/>
              </a:ln>
            </spPr>
          </marker>
          <cat>
            <numRef>
              <f>'Quarterly Time Series'!$A$5:$A$13</f>
            </numRef>
          </cat>
          <val>
            <numRef>
              <f>'Quarterly Time Series'!$B$5:$B$13</f>
            </numRef>
          </val>
        </ser>
        <ser>
          <idx val="1"/>
          <order val="1"/>
          <tx>
            <strRef>
              <f>'Quarterly Time Series'!C4</f>
            </strRef>
          </tx>
          <spPr>
            <a:ln w="25000">
              <a:solidFill>
                <a:srgbClr val="ED7D31"/>
              </a:solidFill>
              <a:prstDash val="solid"/>
            </a:ln>
          </spPr>
          <marker>
            <symbol val="none"/>
            <spPr>
              <a:ln>
                <a:prstDash val="solid"/>
              </a:ln>
            </spPr>
          </marker>
          <cat>
            <numRef>
              <f>'Quarterly Time Series'!$A$5:$A$13</f>
            </numRef>
          </cat>
          <val>
            <numRef>
              <f>'Quarterly Time Series'!$C$5:$C$13</f>
            </numRef>
          </val>
        </ser>
        <ser>
          <idx val="2"/>
          <order val="2"/>
          <tx>
            <strRef>
              <f>'Quarterly Time Series'!D4</f>
            </strRef>
          </tx>
          <spPr>
            <a:ln w="25000">
              <a:solidFill>
                <a:srgbClr val="4472C4"/>
              </a:solidFill>
              <a:prstDash val="solid"/>
            </a:ln>
          </spPr>
          <marker>
            <symbol val="none"/>
            <spPr>
              <a:ln>
                <a:prstDash val="solid"/>
              </a:ln>
            </spPr>
          </marker>
          <cat>
            <numRef>
              <f>'Quarterly Time Series'!$A$5:$A$13</f>
            </numRef>
          </cat>
          <val>
            <numRef>
              <f>'Quarterly Time Series'!$D$5:$D$13</f>
            </numRef>
          </val>
        </ser>
        <ser>
          <idx val="3"/>
          <order val="3"/>
          <tx>
            <strRef>
              <f>'Quarterly Time Series'!E4</f>
            </strRef>
          </tx>
          <spPr>
            <a:ln w="25000">
              <a:solidFill>
                <a:srgbClr val="FFC000"/>
              </a:solidFill>
              <a:prstDash val="solid"/>
            </a:ln>
          </spPr>
          <marker>
            <symbol val="none"/>
            <spPr>
              <a:ln>
                <a:prstDash val="solid"/>
              </a:ln>
            </spPr>
          </marker>
          <cat>
            <numRef>
              <f>'Quarterly Time Series'!$A$5:$A$13</f>
            </numRef>
          </cat>
          <val>
            <numRef>
              <f>'Quarterly Time Series'!$E$5:$E$13</f>
            </numRef>
          </val>
        </ser>
        <ser>
          <idx val="4"/>
          <order val="4"/>
          <tx>
            <strRef>
              <f>'Quarterly Time Series'!F4</f>
            </strRef>
          </tx>
          <spPr>
            <a:ln w="25000">
              <a:solidFill>
                <a:srgbClr val="7030A0"/>
              </a:solidFill>
              <a:prstDash val="solid"/>
            </a:ln>
          </spPr>
          <marker>
            <symbol val="none"/>
            <spPr>
              <a:ln>
                <a:prstDash val="solid"/>
              </a:ln>
            </spPr>
          </marker>
          <cat>
            <numRef>
              <f>'Quarterly Time Series'!$A$5:$A$13</f>
            </numRef>
          </cat>
          <val>
            <numRef>
              <f>'Quarterly Time Series'!$F$5:$F$13</f>
            </numRef>
          </val>
        </ser>
        <axId val="10"/>
        <axId val="100"/>
      </lineChart>
      <catAx>
        <axId val="10"/>
        <scaling>
          <orientation val="minMax"/>
        </scaling>
        <axPos val="l"/>
        <title>
          <tx>
            <rich>
              <a:bodyPr/>
              <a:p>
                <a:pPr>
                  <a:defRPr/>
                </a:pPr>
                <a:r>
                  <a:t>Quarter</a:t>
                </a:r>
              </a:p>
            </rich>
          </tx>
        </title>
        <majorTickMark val="none"/>
        <minorTickMark val="none"/>
        <crossAx val="100"/>
        <lblOffset val="100"/>
      </catAx>
      <valAx>
        <axId val="100"/>
        <scaling>
          <orientation val="minMax"/>
        </scaling>
        <axPos val="l"/>
        <majorGridlines/>
        <title>
          <tx>
            <rich>
              <a:bodyPr/>
              <a:p>
                <a:pPr>
                  <a:defRPr/>
                </a:pPr>
                <a:r>
                  <a:t>Billion Tokens</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Monthly Cost by Vertical &amp; Model Tier</a:t>
            </a:r>
          </a:p>
        </rich>
      </tx>
    </title>
    <plotArea>
      <barChart>
        <barDir val="col"/>
        <grouping val="clustered"/>
        <ser>
          <idx val="0"/>
          <order val="0"/>
          <tx>
            <strRef>
              <f>'Monthly Cost @ Scale'!C3</f>
            </strRef>
          </tx>
          <spPr>
            <a:ln>
              <a:prstDash val="solid"/>
            </a:ln>
          </spPr>
          <cat>
            <numRef>
              <f>'Monthly Cost @ Scale'!$A$4:$A$8</f>
            </numRef>
          </cat>
          <val>
            <numRef>
              <f>'Monthly Cost @ Scale'!$C$4:$C$8</f>
            </numRef>
          </val>
        </ser>
        <ser>
          <idx val="1"/>
          <order val="1"/>
          <tx>
            <strRef>
              <f>'Monthly Cost @ Scale'!D3</f>
            </strRef>
          </tx>
          <spPr>
            <a:ln>
              <a:prstDash val="solid"/>
            </a:ln>
          </spPr>
          <cat>
            <numRef>
              <f>'Monthly Cost @ Scale'!$A$4:$A$8</f>
            </numRef>
          </cat>
          <val>
            <numRef>
              <f>'Monthly Cost @ Scale'!$D$4:$D$8</f>
            </numRef>
          </val>
        </ser>
        <ser>
          <idx val="2"/>
          <order val="2"/>
          <tx>
            <strRef>
              <f>'Monthly Cost @ Scale'!E3</f>
            </strRef>
          </tx>
          <spPr>
            <a:ln>
              <a:prstDash val="solid"/>
            </a:ln>
          </spPr>
          <cat>
            <numRef>
              <f>'Monthly Cost @ Scale'!$A$4:$A$8</f>
            </numRef>
          </cat>
          <val>
            <numRef>
              <f>'Monthly Cost @ Scale'!$E$4:$E$8</f>
            </numRef>
          </val>
        </ser>
        <ser>
          <idx val="3"/>
          <order val="3"/>
          <tx>
            <strRef>
              <f>'Monthly Cost @ Scale'!G3</f>
            </strRef>
          </tx>
          <spPr>
            <a:ln>
              <a:prstDash val="solid"/>
            </a:ln>
          </spPr>
          <cat>
            <numRef>
              <f>'Monthly Cost @ Scale'!$A$4:$A$8</f>
            </numRef>
          </cat>
          <val>
            <numRef>
              <f>'Monthly Cost @ Scale'!$G$4:$G$8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USD / Month</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18</row>
      <rowOff>0</rowOff>
    </from>
    <ext cx="8640000" cy="54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10</row>
      <rowOff>0</rowOff>
    </from>
    <ext cx="7920000" cy="50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28" customWidth="1" min="1" max="1"/>
    <col width="28" customWidth="1" min="2" max="2"/>
    <col width="18" customWidth="1" min="3" max="3"/>
    <col width="19" customWidth="1" min="4" max="4"/>
    <col width="18" customWidth="1" min="5" max="5"/>
    <col width="26" customWidth="1" min="6" max="6"/>
    <col width="26" customWidth="1" min="7" max="7"/>
    <col width="24" customWidth="1" min="8" max="8"/>
  </cols>
  <sheetData>
    <row r="1">
      <c r="A1" s="1" t="inlineStr">
        <is>
          <t>Token Consumption Per Task — Five AI Agent Verticals (2026)</t>
        </is>
      </c>
    </row>
    <row r="2"/>
    <row r="3">
      <c r="A3" s="2" t="inlineStr">
        <is>
          <t>Vertical</t>
        </is>
      </c>
      <c r="B3" s="2" t="inlineStr">
        <is>
          <t>Task Type</t>
        </is>
      </c>
      <c r="C3" s="2" t="inlineStr">
        <is>
          <t>Avg Input
Tokens</t>
        </is>
      </c>
      <c r="D3" s="2" t="inlineStr">
        <is>
          <t>Avg Output
Tokens</t>
        </is>
      </c>
      <c r="E3" s="2" t="inlineStr">
        <is>
          <t>Avg Total
Tokens</t>
        </is>
      </c>
      <c r="F3" s="2" t="inlineStr">
        <is>
          <t>Cost @ Frontier
($/task)</t>
        </is>
      </c>
      <c r="G3" s="2" t="inlineStr">
        <is>
          <t>Cost @ Mid-Tier
($/task)</t>
        </is>
      </c>
      <c r="H3" s="2" t="inlineStr">
        <is>
          <t>Cost @ Budget
($/task)</t>
        </is>
      </c>
    </row>
    <row r="4">
      <c r="A4" s="3" t="inlineStr">
        <is>
          <t>Coding Agents</t>
        </is>
      </c>
      <c r="B4" s="3" t="inlineStr">
        <is>
          <t>Single-file code edit</t>
        </is>
      </c>
      <c r="C4" s="4" t="n">
        <v>4200</v>
      </c>
      <c r="D4" s="4" t="n">
        <v>850</v>
      </c>
      <c r="E4" s="4" t="n">
        <v>5050</v>
      </c>
      <c r="F4" s="5" t="n">
        <v>0.031</v>
      </c>
      <c r="G4" s="5" t="n">
        <v>0.019</v>
      </c>
      <c r="H4" s="6" t="n">
        <v>0.005</v>
      </c>
    </row>
    <row r="5">
      <c r="A5" s="3" t="inlineStr">
        <is>
          <t>Coding Agents</t>
        </is>
      </c>
      <c r="B5" s="3" t="inlineStr">
        <is>
          <t>Multi-file refactor</t>
        </is>
      </c>
      <c r="C5" s="4" t="n">
        <v>25000</v>
      </c>
      <c r="D5" s="4" t="n">
        <v>5000</v>
      </c>
      <c r="E5" s="4" t="n">
        <v>30000</v>
      </c>
      <c r="F5" s="5" t="n">
        <v>0.17</v>
      </c>
      <c r="G5" s="5" t="n">
        <v>0.1</v>
      </c>
      <c r="H5" s="6" t="n">
        <v>0.026</v>
      </c>
    </row>
    <row r="6">
      <c r="A6" s="3" t="inlineStr">
        <is>
          <t>Coding Agents</t>
        </is>
      </c>
      <c r="B6" s="3" t="inlineStr">
        <is>
          <t>Code review (PR)</t>
        </is>
      </c>
      <c r="C6" s="4" t="n">
        <v>15000</v>
      </c>
      <c r="D6" s="4" t="n">
        <v>3000</v>
      </c>
      <c r="E6" s="4" t="n">
        <v>18000</v>
      </c>
      <c r="F6" s="5" t="n">
        <v>0.062</v>
      </c>
      <c r="G6" s="5" t="n">
        <v>0.038</v>
      </c>
      <c r="H6" s="6" t="n">
        <v>0.01</v>
      </c>
    </row>
    <row r="7">
      <c r="A7" s="3" t="inlineStr">
        <is>
          <t>Coding Agents</t>
        </is>
      </c>
      <c r="B7" s="3" t="inlineStr">
        <is>
          <t>New feature (end-to-end)</t>
        </is>
      </c>
      <c r="C7" s="4" t="n">
        <v>42000</v>
      </c>
      <c r="D7" s="4" t="n">
        <v>8500</v>
      </c>
      <c r="E7" s="4" t="n">
        <v>50500</v>
      </c>
      <c r="F7" s="5" t="n">
        <v>0.53</v>
      </c>
      <c r="G7" s="5" t="n">
        <v>0.33</v>
      </c>
      <c r="H7" s="6" t="n">
        <v>0.08400000000000001</v>
      </c>
    </row>
    <row r="8">
      <c r="A8" s="3" t="inlineStr">
        <is>
          <t>Coding Agents</t>
        </is>
      </c>
      <c r="B8" s="3" t="inlineStr">
        <is>
          <t>Bug investigation</t>
        </is>
      </c>
      <c r="C8" s="4" t="n">
        <v>20000</v>
      </c>
      <c r="D8" s="4" t="n">
        <v>4000</v>
      </c>
      <c r="E8" s="4" t="n">
        <v>24000</v>
      </c>
      <c r="F8" s="5" t="n">
        <v>0.089</v>
      </c>
      <c r="G8" s="5" t="n">
        <v>0.055</v>
      </c>
      <c r="H8" s="6" t="n">
        <v>0.014</v>
      </c>
    </row>
    <row r="9">
      <c r="A9" s="3" t="inlineStr">
        <is>
          <t>Coding Agents</t>
        </is>
      </c>
      <c r="B9" s="3" t="inlineStr">
        <is>
          <t>Agentic SWE-bench task</t>
        </is>
      </c>
      <c r="C9" s="4" t="n">
        <v>2500000</v>
      </c>
      <c r="D9" s="4" t="n">
        <v>500000</v>
      </c>
      <c r="E9" s="4" t="n">
        <v>3000000</v>
      </c>
      <c r="F9" s="5" t="n">
        <v>5</v>
      </c>
      <c r="G9" s="5" t="n">
        <v>3</v>
      </c>
      <c r="H9" s="6" t="n">
        <v>0.8</v>
      </c>
    </row>
    <row r="10">
      <c r="A10" s="7" t="inlineStr">
        <is>
          <t>Video Editing</t>
        </is>
      </c>
      <c r="B10" s="7" t="inlineStr">
        <is>
          <t>Scene description / script (text-only)</t>
        </is>
      </c>
      <c r="C10" s="8" t="n">
        <v>2000</v>
      </c>
      <c r="D10" s="8" t="n">
        <v>500</v>
      </c>
      <c r="E10" s="8" t="n">
        <v>2500</v>
      </c>
      <c r="F10" s="9" t="n">
        <v>0.04</v>
      </c>
      <c r="G10" s="9" t="n">
        <v>0.02</v>
      </c>
      <c r="H10" s="10" t="n">
        <v>0.003</v>
      </c>
    </row>
    <row r="11">
      <c r="A11" s="7" t="inlineStr">
        <is>
          <t>Video Editing</t>
        </is>
      </c>
      <c r="B11" s="7" t="inlineStr">
        <is>
          <t>Video analysis (1 min clip)</t>
        </is>
      </c>
      <c r="C11" s="8" t="n">
        <v>946800</v>
      </c>
      <c r="D11" s="8" t="n">
        <v>50000</v>
      </c>
      <c r="E11" s="8" t="n">
        <v>996800</v>
      </c>
      <c r="F11" s="9" t="n">
        <v>16.7</v>
      </c>
      <c r="G11" s="9" t="n">
        <v>8.5</v>
      </c>
      <c r="H11" s="10" t="n">
        <v>1.2</v>
      </c>
    </row>
    <row r="12">
      <c r="A12" s="7" t="inlineStr">
        <is>
          <t>Video Editing</t>
        </is>
      </c>
      <c r="B12" s="7" t="inlineStr">
        <is>
          <t>Edit instruction generation</t>
        </is>
      </c>
      <c r="C12" s="8" t="n">
        <v>5000</v>
      </c>
      <c r="D12" s="8" t="n">
        <v>1500</v>
      </c>
      <c r="E12" s="8" t="n">
        <v>6500</v>
      </c>
      <c r="F12" s="9" t="n">
        <v>0.1</v>
      </c>
      <c r="G12" s="9" t="n">
        <v>0.05</v>
      </c>
      <c r="H12" s="10" t="n">
        <v>0.008</v>
      </c>
    </row>
    <row r="13">
      <c r="A13" s="7" t="inlineStr">
        <is>
          <t>Video Editing</t>
        </is>
      </c>
      <c r="B13" s="7" t="inlineStr">
        <is>
          <t>Multi-step workflow (5-10 actions)</t>
        </is>
      </c>
      <c r="C13" s="8" t="n">
        <v>50000</v>
      </c>
      <c r="D13" s="8" t="n">
        <v>3500</v>
      </c>
      <c r="E13" s="8" t="n">
        <v>53500</v>
      </c>
      <c r="F13" s="9" t="n">
        <v>0.85</v>
      </c>
      <c r="G13" s="9" t="n">
        <v>0.42</v>
      </c>
      <c r="H13" s="10" t="n">
        <v>0.06</v>
      </c>
    </row>
    <row r="14">
      <c r="A14" s="7" t="inlineStr">
        <is>
          <t>Video Editing</t>
        </is>
      </c>
      <c r="B14" s="7" t="inlineStr">
        <is>
          <t>Video generation (15s clip)</t>
        </is>
      </c>
      <c r="C14" s="8" t="n">
        <v>308880</v>
      </c>
      <c r="D14" s="8" t="n">
        <v>0</v>
      </c>
      <c r="E14" s="8" t="n">
        <v>308880</v>
      </c>
      <c r="F14" s="9" t="n">
        <v>2.18</v>
      </c>
      <c r="G14" s="9" t="n">
        <v>1</v>
      </c>
      <c r="H14" s="10" t="n">
        <v>0.3</v>
      </c>
    </row>
    <row r="15">
      <c r="A15" s="11" t="inlineStr">
        <is>
          <t>Customer Service</t>
        </is>
      </c>
      <c r="B15" s="11" t="inlineStr">
        <is>
          <t>Simple chatbot query</t>
        </is>
      </c>
      <c r="C15" s="12" t="n">
        <v>800</v>
      </c>
      <c r="D15" s="12" t="n">
        <v>200</v>
      </c>
      <c r="E15" s="12" t="n">
        <v>1000</v>
      </c>
      <c r="F15" s="13" t="n">
        <v>0.012</v>
      </c>
      <c r="G15" s="13" t="n">
        <v>0.005</v>
      </c>
      <c r="H15" s="14" t="n">
        <v>0.001</v>
      </c>
    </row>
    <row r="16">
      <c r="A16" s="11" t="inlineStr">
        <is>
          <t>Customer Service</t>
        </is>
      </c>
      <c r="B16" s="11" t="inlineStr">
        <is>
          <t>FAQ / KB lookup</t>
        </is>
      </c>
      <c r="C16" s="12" t="n">
        <v>2500</v>
      </c>
      <c r="D16" s="12" t="n">
        <v>400</v>
      </c>
      <c r="E16" s="12" t="n">
        <v>2900</v>
      </c>
      <c r="F16" s="13" t="n">
        <v>0.045</v>
      </c>
      <c r="G16" s="13" t="n">
        <v>0.018</v>
      </c>
      <c r="H16" s="14" t="n">
        <v>0.002</v>
      </c>
    </row>
    <row r="17">
      <c r="A17" s="11" t="inlineStr">
        <is>
          <t>Customer Service</t>
        </is>
      </c>
      <c r="B17" s="11" t="inlineStr">
        <is>
          <t>Multi-turn support chat</t>
        </is>
      </c>
      <c r="C17" s="12" t="n">
        <v>6200</v>
      </c>
      <c r="D17" s="12" t="n">
        <v>1500</v>
      </c>
      <c r="E17" s="12" t="n">
        <v>7700</v>
      </c>
      <c r="F17" s="13" t="n">
        <v>0.12</v>
      </c>
      <c r="G17" s="13" t="n">
        <v>0.05</v>
      </c>
      <c r="H17" s="14" t="n">
        <v>0.008</v>
      </c>
    </row>
    <row r="18">
      <c r="A18" s="11" t="inlineStr">
        <is>
          <t>Customer Service</t>
        </is>
      </c>
      <c r="B18" s="11" t="inlineStr">
        <is>
          <t>Complex agent (tool use)</t>
        </is>
      </c>
      <c r="C18" s="12" t="n">
        <v>14000</v>
      </c>
      <c r="D18" s="12" t="n">
        <v>800</v>
      </c>
      <c r="E18" s="12" t="n">
        <v>14800</v>
      </c>
      <c r="F18" s="13" t="n">
        <v>0.15</v>
      </c>
      <c r="G18" s="13" t="n">
        <v>0.047</v>
      </c>
      <c r="H18" s="14" t="n">
        <v>0.005</v>
      </c>
    </row>
    <row r="19">
      <c r="A19" s="11" t="inlineStr">
        <is>
          <t>Customer Service</t>
        </is>
      </c>
      <c r="B19" s="11" t="inlineStr">
        <is>
          <t>Escalation w/ sentiment analysis</t>
        </is>
      </c>
      <c r="C19" s="12" t="n">
        <v>10000</v>
      </c>
      <c r="D19" s="12" t="n">
        <v>600</v>
      </c>
      <c r="E19" s="12" t="n">
        <v>10600</v>
      </c>
      <c r="F19" s="13" t="n">
        <v>0.1</v>
      </c>
      <c r="G19" s="13" t="n">
        <v>0.04</v>
      </c>
      <c r="H19" s="14" t="n">
        <v>0.006</v>
      </c>
    </row>
    <row r="20">
      <c r="A20" s="15" t="inlineStr">
        <is>
          <t>Contract Review</t>
        </is>
      </c>
      <c r="B20" s="15" t="inlineStr">
        <is>
          <t>Short contract (10 pp)</t>
        </is>
      </c>
      <c r="C20" s="16" t="n">
        <v>12000</v>
      </c>
      <c r="D20" s="16" t="n">
        <v>1200</v>
      </c>
      <c r="E20" s="16" t="n">
        <v>13200</v>
      </c>
      <c r="F20" s="17" t="n">
        <v>0.054</v>
      </c>
      <c r="G20" s="17" t="n">
        <v>0.026</v>
      </c>
      <c r="H20" s="18" t="n">
        <v>0.005</v>
      </c>
    </row>
    <row r="21">
      <c r="A21" s="15" t="inlineStr">
        <is>
          <t>Contract Review</t>
        </is>
      </c>
      <c r="B21" s="15" t="inlineStr">
        <is>
          <t>Standard contract (30 pp)</t>
        </is>
      </c>
      <c r="C21" s="16" t="n">
        <v>15000</v>
      </c>
      <c r="D21" s="16" t="n">
        <v>1200</v>
      </c>
      <c r="E21" s="16" t="n">
        <v>16200</v>
      </c>
      <c r="F21" s="17" t="n">
        <v>0.063</v>
      </c>
      <c r="G21" s="17" t="n">
        <v>0.03</v>
      </c>
      <c r="H21" s="18" t="n">
        <v>0.005</v>
      </c>
    </row>
    <row r="22">
      <c r="A22" s="15" t="inlineStr">
        <is>
          <t>Contract Review</t>
        </is>
      </c>
      <c r="B22" s="15" t="inlineStr">
        <is>
          <t>Long contract (50 pp)</t>
        </is>
      </c>
      <c r="C22" s="16" t="n">
        <v>25000</v>
      </c>
      <c r="D22" s="16" t="n">
        <v>1500</v>
      </c>
      <c r="E22" s="16" t="n">
        <v>26500</v>
      </c>
      <c r="F22" s="17" t="n">
        <v>0.105</v>
      </c>
      <c r="G22" s="17" t="n">
        <v>0.056</v>
      </c>
      <c r="H22" s="18" t="n">
        <v>0.008999999999999999</v>
      </c>
    </row>
    <row r="23">
      <c r="A23" s="15" t="inlineStr">
        <is>
          <t>Contract Review</t>
        </is>
      </c>
      <c r="B23" s="15" t="inlineStr">
        <is>
          <t>Due diligence (multi-doc)</t>
        </is>
      </c>
      <c r="C23" s="16" t="n">
        <v>275000</v>
      </c>
      <c r="D23" s="16" t="n">
        <v>10000</v>
      </c>
      <c r="E23" s="16" t="n">
        <v>285000</v>
      </c>
      <c r="F23" s="17" t="n">
        <v>3.85</v>
      </c>
      <c r="G23" s="17" t="n">
        <v>1.5</v>
      </c>
      <c r="H23" s="18" t="n">
        <v>0.25</v>
      </c>
    </row>
    <row r="24">
      <c r="A24" s="15" t="inlineStr">
        <is>
          <t>Contract Review</t>
        </is>
      </c>
      <c r="B24" s="15" t="inlineStr">
        <is>
          <t>Clause extraction (batch, per doc)</t>
        </is>
      </c>
      <c r="C24" s="16" t="n">
        <v>15000</v>
      </c>
      <c r="D24" s="16" t="n">
        <v>800</v>
      </c>
      <c r="E24" s="16" t="n">
        <v>15800</v>
      </c>
      <c r="F24" s="17" t="n">
        <v>0.063</v>
      </c>
      <c r="G24" s="17" t="n">
        <v>0.03</v>
      </c>
      <c r="H24" s="18" t="n">
        <v>0.002</v>
      </c>
    </row>
    <row r="25">
      <c r="A25" s="19" t="inlineStr">
        <is>
          <t>Legal</t>
        </is>
      </c>
      <c r="B25" s="19" t="inlineStr">
        <is>
          <t>Legal research query (RAG)</t>
        </is>
      </c>
      <c r="C25" s="20" t="n">
        <v>12500</v>
      </c>
      <c r="D25" s="20" t="n">
        <v>2000</v>
      </c>
      <c r="E25" s="20" t="n">
        <v>14500</v>
      </c>
      <c r="F25" s="21" t="n">
        <v>0.18</v>
      </c>
      <c r="G25" s="21" t="n">
        <v>0.07000000000000001</v>
      </c>
      <c r="H25" s="22" t="n">
        <v>0.01</v>
      </c>
    </row>
    <row r="26">
      <c r="A26" s="19" t="inlineStr">
        <is>
          <t>Legal</t>
        </is>
      </c>
      <c r="B26" s="19" t="inlineStr">
        <is>
          <t>Brief drafting</t>
        </is>
      </c>
      <c r="C26" s="20" t="n">
        <v>6000</v>
      </c>
      <c r="D26" s="20" t="n">
        <v>5000</v>
      </c>
      <c r="E26" s="20" t="n">
        <v>11000</v>
      </c>
      <c r="F26" s="21" t="n">
        <v>0.13</v>
      </c>
      <c r="G26" s="21" t="n">
        <v>0.06</v>
      </c>
      <c r="H26" s="22" t="n">
        <v>0.008</v>
      </c>
    </row>
    <row r="27">
      <c r="A27" s="19" t="inlineStr">
        <is>
          <t>Legal</t>
        </is>
      </c>
      <c r="B27" s="19" t="inlineStr">
        <is>
          <t>Case law analysis</t>
        </is>
      </c>
      <c r="C27" s="20" t="n">
        <v>50000</v>
      </c>
      <c r="D27" s="20" t="n">
        <v>5000</v>
      </c>
      <c r="E27" s="20" t="n">
        <v>55000</v>
      </c>
      <c r="F27" s="21" t="n">
        <v>0.65</v>
      </c>
      <c r="G27" s="21" t="n">
        <v>0.28</v>
      </c>
      <c r="H27" s="22" t="n">
        <v>0.04</v>
      </c>
    </row>
    <row r="28">
      <c r="A28" s="19" t="inlineStr">
        <is>
          <t>Legal</t>
        </is>
      </c>
      <c r="B28" s="19" t="inlineStr">
        <is>
          <t>Regulatory compliance check</t>
        </is>
      </c>
      <c r="C28" s="20" t="n">
        <v>30000</v>
      </c>
      <c r="D28" s="20" t="n">
        <v>3000</v>
      </c>
      <c r="E28" s="20" t="n">
        <v>33000</v>
      </c>
      <c r="F28" s="21" t="n">
        <v>0.38</v>
      </c>
      <c r="G28" s="21" t="n">
        <v>0.16</v>
      </c>
      <c r="H28" s="22" t="n">
        <v>0.02</v>
      </c>
    </row>
    <row r="29">
      <c r="A29" s="19" t="inlineStr">
        <is>
          <t>Legal</t>
        </is>
      </c>
      <c r="B29" s="19" t="inlineStr">
        <is>
          <t>Full litigation support session</t>
        </is>
      </c>
      <c r="C29" s="20" t="n">
        <v>200000</v>
      </c>
      <c r="D29" s="20" t="n">
        <v>20000</v>
      </c>
      <c r="E29" s="20" t="n">
        <v>220000</v>
      </c>
      <c r="F29" s="21" t="n">
        <v>3.5</v>
      </c>
      <c r="G29" s="21" t="n">
        <v>1.4</v>
      </c>
      <c r="H29" s="22" t="n">
        <v>0.2</v>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28" customWidth="1" min="1" max="1"/>
    <col width="26" customWidth="1" min="2" max="2"/>
    <col width="26" customWidth="1" min="3" max="3"/>
    <col width="28" customWidth="1" min="4" max="4"/>
    <col width="28" customWidth="1" min="5" max="5"/>
    <col width="18" customWidth="1" min="6" max="6"/>
    <col width="18" customWidth="1" min="7" max="7"/>
  </cols>
  <sheetData>
    <row r="1">
      <c r="A1" s="23" t="inlineStr">
        <is>
          <t>Estimated Aggregate Token Consumption — Quarterly Time Series (Billions of Tokens / Quarter)</t>
        </is>
      </c>
    </row>
    <row r="2">
      <c r="A2" s="24" t="inlineStr">
        <is>
          <t>Estimates synthesised from OpenRouter traffic data, Anthropic/OpenAI disclosures, Gartner projections (40% enterprise agent adoption by 2026), and arxiv:2604.22750. Video editing represents LLM text tokens consumed for planning/editing workflows, not raw video generation compute.</t>
        </is>
      </c>
    </row>
    <row r="3"/>
    <row r="4">
      <c r="A4" s="2" t="inlineStr">
        <is>
          <t>Quarter</t>
        </is>
      </c>
      <c r="B4" s="2" t="inlineStr">
        <is>
          <t>Coding Agents
(B tokens)</t>
        </is>
      </c>
      <c r="C4" s="2" t="inlineStr">
        <is>
          <t>Video Editing
(B tokens)</t>
        </is>
      </c>
      <c r="D4" s="2" t="inlineStr">
        <is>
          <t>Customer Service
(B tokens)</t>
        </is>
      </c>
      <c r="E4" s="2" t="inlineStr">
        <is>
          <t>Contract Review
(B tokens)</t>
        </is>
      </c>
      <c r="F4" s="2" t="inlineStr">
        <is>
          <t>Legal
(B tokens)</t>
        </is>
      </c>
      <c r="G4" s="2" t="inlineStr">
        <is>
          <t>Total
(B tokens)</t>
        </is>
      </c>
    </row>
    <row r="5">
      <c r="A5" s="25" t="inlineStr">
        <is>
          <t>Q1 2024</t>
        </is>
      </c>
      <c r="B5" s="26" t="n">
        <v>80</v>
      </c>
      <c r="C5" s="26" t="n">
        <v>5</v>
      </c>
      <c r="D5" s="26" t="n">
        <v>120</v>
      </c>
      <c r="E5" s="26" t="n">
        <v>8</v>
      </c>
      <c r="F5" s="26" t="n">
        <v>6</v>
      </c>
      <c r="G5" s="26" t="n">
        <v>219</v>
      </c>
    </row>
    <row r="6">
      <c r="A6" s="27" t="inlineStr">
        <is>
          <t>Q2 2024</t>
        </is>
      </c>
      <c r="B6" s="28" t="n">
        <v>140</v>
      </c>
      <c r="C6" s="28" t="n">
        <v>10</v>
      </c>
      <c r="D6" s="28" t="n">
        <v>180</v>
      </c>
      <c r="E6" s="28" t="n">
        <v>14</v>
      </c>
      <c r="F6" s="28" t="n">
        <v>10</v>
      </c>
      <c r="G6" s="28" t="n">
        <v>354</v>
      </c>
    </row>
    <row r="7">
      <c r="A7" s="25" t="inlineStr">
        <is>
          <t>Q3 2024</t>
        </is>
      </c>
      <c r="B7" s="26" t="n">
        <v>250</v>
      </c>
      <c r="C7" s="26" t="n">
        <v>18</v>
      </c>
      <c r="D7" s="26" t="n">
        <v>260</v>
      </c>
      <c r="E7" s="26" t="n">
        <v>22</v>
      </c>
      <c r="F7" s="26" t="n">
        <v>16</v>
      </c>
      <c r="G7" s="26" t="n">
        <v>566</v>
      </c>
    </row>
    <row r="8">
      <c r="A8" s="27" t="inlineStr">
        <is>
          <t>Q4 2024</t>
        </is>
      </c>
      <c r="B8" s="28" t="n">
        <v>450</v>
      </c>
      <c r="C8" s="28" t="n">
        <v>30</v>
      </c>
      <c r="D8" s="28" t="n">
        <v>380</v>
      </c>
      <c r="E8" s="28" t="n">
        <v>35</v>
      </c>
      <c r="F8" s="28" t="n">
        <v>25</v>
      </c>
      <c r="G8" s="28" t="n">
        <v>920</v>
      </c>
    </row>
    <row r="9">
      <c r="A9" s="25" t="inlineStr">
        <is>
          <t>Q1 2025</t>
        </is>
      </c>
      <c r="B9" s="26" t="n">
        <v>800</v>
      </c>
      <c r="C9" s="26" t="n">
        <v>55</v>
      </c>
      <c r="D9" s="26" t="n">
        <v>550</v>
      </c>
      <c r="E9" s="26" t="n">
        <v>55</v>
      </c>
      <c r="F9" s="26" t="n">
        <v>40</v>
      </c>
      <c r="G9" s="26" t="n">
        <v>1500</v>
      </c>
    </row>
    <row r="10">
      <c r="A10" s="27" t="inlineStr">
        <is>
          <t>Q2 2025</t>
        </is>
      </c>
      <c r="B10" s="28" t="n">
        <v>1400</v>
      </c>
      <c r="C10" s="28" t="n">
        <v>100</v>
      </c>
      <c r="D10" s="28" t="n">
        <v>800</v>
      </c>
      <c r="E10" s="28" t="n">
        <v>90</v>
      </c>
      <c r="F10" s="28" t="n">
        <v>65</v>
      </c>
      <c r="G10" s="28" t="n">
        <v>2455</v>
      </c>
    </row>
    <row r="11">
      <c r="A11" s="25" t="inlineStr">
        <is>
          <t>Q3 2025</t>
        </is>
      </c>
      <c r="B11" s="26" t="n">
        <v>2400</v>
      </c>
      <c r="C11" s="26" t="n">
        <v>180</v>
      </c>
      <c r="D11" s="26" t="n">
        <v>1150</v>
      </c>
      <c r="E11" s="26" t="n">
        <v>140</v>
      </c>
      <c r="F11" s="26" t="n">
        <v>100</v>
      </c>
      <c r="G11" s="26" t="n">
        <v>3970</v>
      </c>
    </row>
    <row r="12">
      <c r="A12" s="27" t="inlineStr">
        <is>
          <t>Q4 2025</t>
        </is>
      </c>
      <c r="B12" s="28" t="n">
        <v>4000</v>
      </c>
      <c r="C12" s="28" t="n">
        <v>320</v>
      </c>
      <c r="D12" s="28" t="n">
        <v>1650</v>
      </c>
      <c r="E12" s="28" t="n">
        <v>220</v>
      </c>
      <c r="F12" s="28" t="n">
        <v>160</v>
      </c>
      <c r="G12" s="28" t="n">
        <v>6350</v>
      </c>
    </row>
    <row r="13">
      <c r="A13" s="25" t="inlineStr">
        <is>
          <t>Q1 2026</t>
        </is>
      </c>
      <c r="B13" s="26" t="n">
        <v>6500</v>
      </c>
      <c r="C13" s="26" t="n">
        <v>550</v>
      </c>
      <c r="D13" s="26" t="n">
        <v>2300</v>
      </c>
      <c r="E13" s="26" t="n">
        <v>350</v>
      </c>
      <c r="F13" s="26" t="n">
        <v>260</v>
      </c>
      <c r="G13" s="26" t="n">
        <v>9960</v>
      </c>
    </row>
    <row r="15">
      <c r="A15" s="29" t="inlineStr">
        <is>
          <t>Q1-2024 → Q1-2026 Growth</t>
        </is>
      </c>
      <c r="B15" s="30" t="inlineStr">
        <is>
          <t>81x</t>
        </is>
      </c>
      <c r="C15" s="30" t="inlineStr">
        <is>
          <t>110x</t>
        </is>
      </c>
      <c r="D15" s="30" t="inlineStr">
        <is>
          <t>19x</t>
        </is>
      </c>
      <c r="E15" s="30" t="inlineStr">
        <is>
          <t>44x</t>
        </is>
      </c>
      <c r="F15" s="30" t="inlineStr">
        <is>
          <t>43x</t>
        </is>
      </c>
      <c r="G15" s="30" t="inlineStr">
        <is>
          <t>45x</t>
        </is>
      </c>
    </row>
    <row r="16">
      <c r="A16" s="29" t="inlineStr">
        <is>
          <t>Q1 2026 Share of Total</t>
        </is>
      </c>
      <c r="B16" s="31" t="n">
        <v>0.6526104417670683</v>
      </c>
      <c r="C16" s="31" t="n">
        <v>0.05522088353413655</v>
      </c>
      <c r="D16" s="31" t="n">
        <v>0.2309236947791165</v>
      </c>
      <c r="E16" s="31" t="n">
        <v>0.03514056224899598</v>
      </c>
      <c r="F16" s="31" t="n">
        <v>0.02610441767068273</v>
      </c>
      <c r="G16" s="31" t="n">
        <v>1</v>
      </c>
    </row>
  </sheetData>
  <mergeCells count="2">
    <mergeCell ref="A2:G2"/>
    <mergeCell ref="A1:G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28" customWidth="1" min="1" max="1"/>
    <col width="14" customWidth="1" min="2" max="2"/>
    <col width="21" customWidth="1" min="3" max="3"/>
    <col width="17" customWidth="1" min="4" max="4"/>
    <col width="17" customWidth="1" min="5" max="5"/>
    <col width="28" customWidth="1" min="6" max="6"/>
    <col width="27" customWidth="1" min="7" max="7"/>
    <col width="21" customWidth="1" min="8" max="8"/>
  </cols>
  <sheetData>
    <row r="1">
      <c r="A1" s="23" t="inlineStr">
        <is>
          <t>Monthly Cost Projections at Production Scale — by Vertical &amp; Model Tier (March 2026 Pricing)</t>
        </is>
      </c>
    </row>
    <row r="2"/>
    <row r="3">
      <c r="A3" s="2" t="inlineStr">
        <is>
          <t>Vertical</t>
        </is>
      </c>
      <c r="B3" s="2" t="inlineStr">
        <is>
          <t>Tasks/Month</t>
        </is>
      </c>
      <c r="C3" s="2" t="inlineStr">
        <is>
          <t>Budget Model
($/mo)</t>
        </is>
      </c>
      <c r="D3" s="2" t="inlineStr">
        <is>
          <t>Mid-Tier
($/mo)</t>
        </is>
      </c>
      <c r="E3" s="2" t="inlineStr">
        <is>
          <t>Frontier
($/mo)</t>
        </is>
      </c>
      <c r="F3" s="2" t="inlineStr">
        <is>
          <t>Budget-to-Frontier
Multiplier</t>
        </is>
      </c>
      <c r="G3" s="2" t="inlineStr">
        <is>
          <t>Optimized (Routed)
($/mo)</t>
        </is>
      </c>
      <c r="H3" s="2" t="inlineStr">
        <is>
          <t>Savings vs
Frontier</t>
        </is>
      </c>
    </row>
    <row r="4">
      <c r="A4" s="3" t="inlineStr">
        <is>
          <t>Coding Agents</t>
        </is>
      </c>
      <c r="B4" s="4" t="n">
        <v>1500</v>
      </c>
      <c r="C4" s="5" t="n">
        <v>60</v>
      </c>
      <c r="D4" s="5" t="n">
        <v>788</v>
      </c>
      <c r="E4" s="5" t="n">
        <v>1313</v>
      </c>
      <c r="F4" s="32" t="inlineStr">
        <is>
          <t>22x</t>
        </is>
      </c>
      <c r="G4" s="5" t="n">
        <v>250</v>
      </c>
      <c r="H4" s="33" t="n">
        <v>0.8100000000000001</v>
      </c>
    </row>
    <row r="5">
      <c r="A5" s="7" t="inlineStr">
        <is>
          <t>Video Editing</t>
        </is>
      </c>
      <c r="B5" s="8" t="n">
        <v>500</v>
      </c>
      <c r="C5" s="9" t="n">
        <v>15</v>
      </c>
      <c r="D5" s="9" t="n">
        <v>210</v>
      </c>
      <c r="E5" s="9" t="n">
        <v>425</v>
      </c>
      <c r="F5" s="34" t="inlineStr">
        <is>
          <t>28x</t>
        </is>
      </c>
      <c r="G5" s="9" t="n">
        <v>85</v>
      </c>
      <c r="H5" s="35" t="n">
        <v>0.8</v>
      </c>
    </row>
    <row r="6">
      <c r="A6" s="11" t="inlineStr">
        <is>
          <t>Customer Service</t>
        </is>
      </c>
      <c r="B6" s="12" t="n">
        <v>10000</v>
      </c>
      <c r="C6" s="13" t="n">
        <v>10</v>
      </c>
      <c r="D6" s="13" t="n">
        <v>50</v>
      </c>
      <c r="E6" s="13" t="n">
        <v>900</v>
      </c>
      <c r="F6" s="36" t="inlineStr">
        <is>
          <t>90x</t>
        </is>
      </c>
      <c r="G6" s="13" t="n">
        <v>22</v>
      </c>
      <c r="H6" s="37" t="n">
        <v>0.976</v>
      </c>
    </row>
    <row r="7">
      <c r="A7" s="15" t="inlineStr">
        <is>
          <t>Contract Review</t>
        </is>
      </c>
      <c r="B7" s="16" t="n">
        <v>2000</v>
      </c>
      <c r="C7" s="17" t="n">
        <v>10</v>
      </c>
      <c r="D7" s="17" t="n">
        <v>60</v>
      </c>
      <c r="E7" s="17" t="n">
        <v>126</v>
      </c>
      <c r="F7" s="38" t="inlineStr">
        <is>
          <t>13x</t>
        </is>
      </c>
      <c r="G7" s="17" t="n">
        <v>28</v>
      </c>
      <c r="H7" s="39" t="n">
        <v>0.78</v>
      </c>
    </row>
    <row r="8">
      <c r="A8" s="19" t="inlineStr">
        <is>
          <t>Legal</t>
        </is>
      </c>
      <c r="B8" s="20" t="n">
        <v>1000</v>
      </c>
      <c r="C8" s="21" t="n">
        <v>10</v>
      </c>
      <c r="D8" s="21" t="n">
        <v>70</v>
      </c>
      <c r="E8" s="21" t="n">
        <v>180</v>
      </c>
      <c r="F8" s="40" t="inlineStr">
        <is>
          <t>18x</t>
        </is>
      </c>
      <c r="G8" s="21" t="n">
        <v>35</v>
      </c>
      <c r="H8" s="41" t="n">
        <v>0.8100000000000001</v>
      </c>
    </row>
  </sheetData>
  <mergeCells count="1">
    <mergeCell ref="A1:H1"/>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2" customWidth="1" min="1" max="1"/>
    <col width="32" customWidth="1" min="2" max="2"/>
    <col width="32" customWidth="1" min="3" max="3"/>
    <col width="24" customWidth="1" min="4" max="4"/>
    <col width="32" customWidth="1" min="5" max="5"/>
    <col width="32" customWidth="1" min="6" max="6"/>
  </cols>
  <sheetData>
    <row r="1">
      <c r="A1" s="23" t="inlineStr">
        <is>
          <t>Token Economics — Structural Characteristics by Vertical</t>
        </is>
      </c>
    </row>
    <row r="2"/>
    <row r="3">
      <c r="A3" s="2" t="inlineStr">
        <is>
          <t>Characteristic</t>
        </is>
      </c>
      <c r="B3" s="2" t="inlineStr">
        <is>
          <t>Coding Agents</t>
        </is>
      </c>
      <c r="C3" s="2" t="inlineStr">
        <is>
          <t>Video Editing</t>
        </is>
      </c>
      <c r="D3" s="2" t="inlineStr">
        <is>
          <t>Customer Service</t>
        </is>
      </c>
      <c r="E3" s="2" t="inlineStr">
        <is>
          <t>Contract Review</t>
        </is>
      </c>
      <c r="F3" s="2" t="inlineStr">
        <is>
          <t>Legal</t>
        </is>
      </c>
    </row>
    <row r="4">
      <c r="A4" s="42" t="inlineStr">
        <is>
          <t>Avg tokens/task (typical)</t>
        </is>
      </c>
      <c r="B4" s="43" t="inlineStr">
        <is>
          <t>18,000–3,500,000</t>
        </is>
      </c>
      <c r="C4" s="43" t="inlineStr">
        <is>
          <t>2,500–1,000,000</t>
        </is>
      </c>
      <c r="D4" s="43" t="inlineStr">
        <is>
          <t>1,000–15,000</t>
        </is>
      </c>
      <c r="E4" s="43" t="inlineStr">
        <is>
          <t>13,000–285,000</t>
        </is>
      </c>
      <c r="F4" s="43" t="inlineStr">
        <is>
          <t>11,000–220,000</t>
        </is>
      </c>
    </row>
    <row r="5">
      <c r="A5" s="44" t="inlineStr">
        <is>
          <t>Input:Output ratio</t>
        </is>
      </c>
      <c r="B5" s="45" t="inlineStr">
        <is>
          <t>~5:1 to 10:1</t>
        </is>
      </c>
      <c r="C5" s="45" t="inlineStr">
        <is>
          <t>~19:1 (video heavy)</t>
        </is>
      </c>
      <c r="D5" s="45" t="inlineStr">
        <is>
          <t>~4:1 to 18:1</t>
        </is>
      </c>
      <c r="E5" s="45" t="inlineStr">
        <is>
          <t>~12:1 to 15:1</t>
        </is>
      </c>
      <c r="F5" s="45" t="inlineStr">
        <is>
          <t>~3:1 to 10:1</t>
        </is>
      </c>
    </row>
    <row r="6">
      <c r="A6" s="42" t="inlineStr">
        <is>
          <t>Cost driver</t>
        </is>
      </c>
      <c r="B6" s="43" t="inlineStr">
        <is>
          <t>Context accumulation,
tool call overhead</t>
        </is>
      </c>
      <c r="C6" s="43" t="inlineStr">
        <is>
          <t>Multimodal (vision)
token volume</t>
        </is>
      </c>
      <c r="D6" s="43" t="inlineStr">
        <is>
          <t>Volume of
interactions</t>
        </is>
      </c>
      <c r="E6" s="43" t="inlineStr">
        <is>
          <t>Document length,
multi-page ingest</t>
        </is>
      </c>
      <c r="F6" s="43" t="inlineStr">
        <is>
          <t>RAG retrieval,
long-context windows</t>
        </is>
      </c>
    </row>
    <row r="7">
      <c r="A7" s="44" t="inlineStr">
        <is>
          <t>LLM calls/task</t>
        </is>
      </c>
      <c r="B7" s="45" t="inlineStr">
        <is>
          <t>8–15+</t>
        </is>
      </c>
      <c r="C7" s="45" t="inlineStr">
        <is>
          <t>3–10</t>
        </is>
      </c>
      <c r="D7" s="45" t="inlineStr">
        <is>
          <t>2–5</t>
        </is>
      </c>
      <c r="E7" s="45" t="inlineStr">
        <is>
          <t>1–3</t>
        </is>
      </c>
      <c r="F7" s="45" t="inlineStr">
        <is>
          <t>2–8</t>
        </is>
      </c>
    </row>
    <row r="8">
      <c r="A8" s="42" t="inlineStr">
        <is>
          <t>Context window utilisation</t>
        </is>
      </c>
      <c r="B8" s="43" t="inlineStr">
        <is>
          <t>High (50–80%)</t>
        </is>
      </c>
      <c r="C8" s="43" t="inlineStr">
        <is>
          <t>Very high (vision)</t>
        </is>
      </c>
      <c r="D8" s="43" t="inlineStr">
        <is>
          <t>Low–Medium (10–30%)</t>
        </is>
      </c>
      <c r="E8" s="43" t="inlineStr">
        <is>
          <t>Medium (30–60%)</t>
        </is>
      </c>
      <c r="F8" s="43" t="inlineStr">
        <is>
          <t>Medium–High (40–70%)</t>
        </is>
      </c>
    </row>
    <row r="9">
      <c r="A9" s="44" t="inlineStr">
        <is>
          <t>Prompt caching savings</t>
        </is>
      </c>
      <c r="B9" s="45" t="inlineStr">
        <is>
          <t>40–60%</t>
        </is>
      </c>
      <c r="C9" s="45" t="inlineStr">
        <is>
          <t>20–35%</t>
        </is>
      </c>
      <c r="D9" s="45" t="inlineStr">
        <is>
          <t>30–50%</t>
        </is>
      </c>
      <c r="E9" s="45" t="inlineStr">
        <is>
          <t>40–60%</t>
        </is>
      </c>
      <c r="F9" s="45" t="inlineStr">
        <is>
          <t>30–50%</t>
        </is>
      </c>
    </row>
    <row r="10">
      <c r="A10" s="42" t="inlineStr">
        <is>
          <t>Model routing savings</t>
        </is>
      </c>
      <c r="B10" s="43" t="inlineStr">
        <is>
          <t>60–80%</t>
        </is>
      </c>
      <c r="C10" s="43" t="inlineStr">
        <is>
          <t>50–70%</t>
        </is>
      </c>
      <c r="D10" s="43" t="inlineStr">
        <is>
          <t>80–95%</t>
        </is>
      </c>
      <c r="E10" s="43" t="inlineStr">
        <is>
          <t>70–85%</t>
        </is>
      </c>
      <c r="F10" s="43" t="inlineStr">
        <is>
          <t>60–80%</t>
        </is>
      </c>
    </row>
    <row r="11">
      <c r="A11" s="44" t="inlineStr">
        <is>
          <t>Variability (same task)</t>
        </is>
      </c>
      <c r="B11" s="45" t="inlineStr">
        <is>
          <t>Up to 30x</t>
        </is>
      </c>
      <c r="C11" s="45" t="inlineStr">
        <is>
          <t>Moderate (3–5x)</t>
        </is>
      </c>
      <c r="D11" s="45" t="inlineStr">
        <is>
          <t>Low (1.5–3x)</t>
        </is>
      </c>
      <c r="E11" s="45" t="inlineStr">
        <is>
          <t>Low (1.5–2x)</t>
        </is>
      </c>
      <c r="F11" s="45" t="inlineStr">
        <is>
          <t>Moderate (2–5x)</t>
        </is>
      </c>
    </row>
    <row r="12">
      <c r="A12" s="42" t="inlineStr">
        <is>
          <t>Primary model tier</t>
        </is>
      </c>
      <c r="B12" s="43" t="inlineStr">
        <is>
          <t>Frontier</t>
        </is>
      </c>
      <c r="C12" s="43" t="inlineStr">
        <is>
          <t>Frontier/Multimodal</t>
        </is>
      </c>
      <c r="D12" s="43" t="inlineStr">
        <is>
          <t>Budget/Mid-tier</t>
        </is>
      </c>
      <c r="E12" s="43" t="inlineStr">
        <is>
          <t>Mid-tier</t>
        </is>
      </c>
      <c r="F12" s="43" t="inlineStr">
        <is>
          <t>Frontier/Mid-tier</t>
        </is>
      </c>
    </row>
    <row r="13">
      <c r="A13" s="44" t="inlineStr">
        <is>
          <t>Share of global LLM tokens
(Q1 2026 est.)</t>
        </is>
      </c>
      <c r="B13" s="45" t="inlineStr">
        <is>
          <t>~65%</t>
        </is>
      </c>
      <c r="C13" s="45" t="inlineStr">
        <is>
          <t>~6%</t>
        </is>
      </c>
      <c r="D13" s="45" t="inlineStr">
        <is>
          <t>~23%</t>
        </is>
      </c>
      <c r="E13" s="45" t="inlineStr">
        <is>
          <t>~3.5%</t>
        </is>
      </c>
      <c r="F13" s="45" t="inlineStr">
        <is>
          <t>~2.5%</t>
        </is>
      </c>
    </row>
    <row r="14">
      <c r="A14" s="42" t="inlineStr">
        <is>
          <t>Growth trajectory</t>
        </is>
      </c>
      <c r="B14" s="43" t="inlineStr">
        <is>
          <t>Fastest (81x since Q1-24)</t>
        </is>
      </c>
      <c r="C14" s="43" t="inlineStr">
        <is>
          <t>Very fast (110x)</t>
        </is>
      </c>
      <c r="D14" s="43" t="inlineStr">
        <is>
          <t>Steady (19x)</t>
        </is>
      </c>
      <c r="E14" s="43" t="inlineStr">
        <is>
          <t>Fast (44x)</t>
        </is>
      </c>
      <c r="F14" s="43" t="inlineStr">
        <is>
          <t>Fast (43x)</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0" customWidth="1" min="1" max="1"/>
    <col width="14" customWidth="1" min="2" max="2"/>
    <col width="14" customWidth="1" min="3" max="3"/>
    <col width="14" customWidth="1" min="4" max="4"/>
    <col width="16" customWidth="1" min="5" max="5"/>
    <col width="40" customWidth="1" min="6" max="6"/>
  </cols>
  <sheetData>
    <row r="1">
      <c r="A1" s="23" t="inlineStr">
        <is>
          <t>LLM API Pricing Reference — March 2026</t>
        </is>
      </c>
    </row>
    <row r="2"/>
    <row r="3">
      <c r="A3" s="2" t="inlineStr">
        <is>
          <t>Model</t>
        </is>
      </c>
      <c r="B3" s="2" t="inlineStr">
        <is>
          <t>Provider</t>
        </is>
      </c>
      <c r="C3" s="2" t="inlineStr">
        <is>
          <t>Input $/1M</t>
        </is>
      </c>
      <c r="D3" s="2" t="inlineStr">
        <is>
          <t>Output $/1M</t>
        </is>
      </c>
      <c r="E3" s="2" t="inlineStr">
        <is>
          <t>Context Window</t>
        </is>
      </c>
      <c r="F3" s="2" t="inlineStr">
        <is>
          <t>Best For</t>
        </is>
      </c>
    </row>
    <row r="4">
      <c r="A4" s="25" t="inlineStr">
        <is>
          <t>Claude Opus 4.6</t>
        </is>
      </c>
      <c r="B4" s="25" t="inlineStr">
        <is>
          <t>Anthropic</t>
        </is>
      </c>
      <c r="C4" s="46" t="n">
        <v>15</v>
      </c>
      <c r="D4" s="46" t="n">
        <v>75</v>
      </c>
      <c r="E4" s="47" t="inlineStr">
        <is>
          <t>200K</t>
        </is>
      </c>
      <c r="F4" s="25" t="inlineStr">
        <is>
          <t>Hardest tasks, legal, max capability</t>
        </is>
      </c>
    </row>
    <row r="5">
      <c r="A5" s="27" t="inlineStr">
        <is>
          <t>Claude Sonnet 4.6</t>
        </is>
      </c>
      <c r="B5" s="27" t="inlineStr">
        <is>
          <t>Anthropic</t>
        </is>
      </c>
      <c r="C5" s="48" t="n">
        <v>3</v>
      </c>
      <c r="D5" s="48" t="n">
        <v>15</v>
      </c>
      <c r="E5" s="49" t="inlineStr">
        <is>
          <t>200K</t>
        </is>
      </c>
      <c r="F5" s="27" t="inlineStr">
        <is>
          <t>Complex reasoning, coding, large codebases</t>
        </is>
      </c>
    </row>
    <row r="6">
      <c r="A6" s="25" t="inlineStr">
        <is>
          <t>Claude Haiku 4.5</t>
        </is>
      </c>
      <c r="B6" s="25" t="inlineStr">
        <is>
          <t>Anthropic</t>
        </is>
      </c>
      <c r="C6" s="46" t="n">
        <v>0.8</v>
      </c>
      <c r="D6" s="46" t="n">
        <v>4</v>
      </c>
      <c r="E6" s="47" t="inlineStr">
        <is>
          <t>200K</t>
        </is>
      </c>
      <c r="F6" s="25" t="inlineStr">
        <is>
          <t>Fast, cheap tasks, high volume</t>
        </is>
      </c>
    </row>
    <row r="7">
      <c r="A7" s="27" t="inlineStr">
        <is>
          <t>GPT-5.4</t>
        </is>
      </c>
      <c r="B7" s="27" t="inlineStr">
        <is>
          <t>OpenAI</t>
        </is>
      </c>
      <c r="C7" s="48" t="n">
        <v>2.5</v>
      </c>
      <c r="D7" s="48" t="n">
        <v>15</v>
      </c>
      <c r="E7" s="49" t="inlineStr">
        <is>
          <t>128K</t>
        </is>
      </c>
      <c r="F7" s="27" t="inlineStr">
        <is>
          <t>General tasks, vision, broad compatibility</t>
        </is>
      </c>
    </row>
    <row r="8">
      <c r="A8" s="25" t="inlineStr">
        <is>
          <t>GPT-5 mini</t>
        </is>
      </c>
      <c r="B8" s="25" t="inlineStr">
        <is>
          <t>OpenAI</t>
        </is>
      </c>
      <c r="C8" s="46" t="n">
        <v>0.25</v>
      </c>
      <c r="D8" s="46" t="n">
        <v>2</v>
      </c>
      <c r="E8" s="47" t="inlineStr">
        <is>
          <t>128K</t>
        </is>
      </c>
      <c r="F8" s="25" t="inlineStr">
        <is>
          <t>Low-cost OpenAI-compatible workloads</t>
        </is>
      </c>
    </row>
    <row r="9">
      <c r="A9" s="27" t="inlineStr">
        <is>
          <t>GPT-5 nano</t>
        </is>
      </c>
      <c r="B9" s="27" t="inlineStr">
        <is>
          <t>OpenAI</t>
        </is>
      </c>
      <c r="C9" s="48" t="n">
        <v>0.05</v>
      </c>
      <c r="D9" s="48" t="n">
        <v>0.4</v>
      </c>
      <c r="E9" s="49" t="inlineStr">
        <is>
          <t>128K</t>
        </is>
      </c>
      <c r="F9" s="27" t="inlineStr">
        <is>
          <t>Classification, routing, simple tasks</t>
        </is>
      </c>
    </row>
    <row r="10">
      <c r="A10" s="25" t="inlineStr">
        <is>
          <t>Gemini 3 Pro</t>
        </is>
      </c>
      <c r="B10" s="25" t="inlineStr">
        <is>
          <t>Google</t>
        </is>
      </c>
      <c r="C10" s="46" t="n">
        <v>4</v>
      </c>
      <c r="D10" s="46" t="n">
        <v>18</v>
      </c>
      <c r="E10" s="47" t="inlineStr">
        <is>
          <t>2M</t>
        </is>
      </c>
      <c r="F10" s="25" t="inlineStr">
        <is>
          <t>Long context, video analysis, multimodal</t>
        </is>
      </c>
    </row>
    <row r="11">
      <c r="A11" s="27" t="inlineStr">
        <is>
          <t>Gemini 2.5 Flash</t>
        </is>
      </c>
      <c r="B11" s="27" t="inlineStr">
        <is>
          <t>Google</t>
        </is>
      </c>
      <c r="C11" s="48" t="n">
        <v>0.15</v>
      </c>
      <c r="D11" s="48" t="n">
        <v>0.6</v>
      </c>
      <c r="E11" s="49" t="inlineStr">
        <is>
          <t>1M</t>
        </is>
      </c>
      <c r="F11" s="27" t="inlineStr">
        <is>
          <t>Lowest cost, massive context</t>
        </is>
      </c>
    </row>
    <row r="12">
      <c r="A12" s="25" t="inlineStr">
        <is>
          <t>DeepSeek V3.2</t>
        </is>
      </c>
      <c r="B12" s="25" t="inlineStr">
        <is>
          <t>DeepSeek</t>
        </is>
      </c>
      <c r="C12" s="46" t="n">
        <v>0.14</v>
      </c>
      <c r="D12" s="46" t="n">
        <v>0.28</v>
      </c>
      <c r="E12" s="47" t="inlineStr">
        <is>
          <t>128K</t>
        </is>
      </c>
      <c r="F12" s="25" t="inlineStr">
        <is>
          <t>Budget agent workloads</t>
        </is>
      </c>
    </row>
    <row r="13">
      <c r="A13" s="27" t="inlineStr">
        <is>
          <t>Qwen3-Coder-480B</t>
        </is>
      </c>
      <c r="B13" s="27" t="inlineStr">
        <is>
          <t>Alibaba</t>
        </is>
      </c>
      <c r="C13" s="48" t="n">
        <v>1</v>
      </c>
      <c r="D13" s="48" t="n">
        <v>5</v>
      </c>
      <c r="E13" s="49" t="inlineStr">
        <is>
          <t>256K</t>
        </is>
      </c>
      <c r="F13" s="27" t="inlineStr">
        <is>
          <t>Coding-specific tasks</t>
        </is>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4" customWidth="1" min="1" max="1"/>
    <col width="90" customWidth="1" min="2" max="2"/>
  </cols>
  <sheetData>
    <row r="1">
      <c r="A1" s="50" t="inlineStr">
        <is>
          <t>Data Sources &amp; Methodology</t>
        </is>
      </c>
    </row>
    <row r="3">
      <c r="A3" s="2" t="inlineStr">
        <is>
          <t>Source</t>
        </is>
      </c>
      <c r="B3" s="2" t="inlineStr">
        <is>
          <t>Description</t>
        </is>
      </c>
    </row>
    <row r="4">
      <c r="A4" s="51" t="inlineStr">
        <is>
          <t>arxiv:2604.22750</t>
        </is>
      </c>
      <c r="B4" s="52" t="inlineStr">
        <is>
          <t>How Do AI Agents Spend Your Money? — First systematic study of token consumption in agentic coding (Apr 2026)</t>
        </is>
      </c>
    </row>
    <row r="5">
      <c r="A5" s="53" t="inlineStr">
        <is>
          <t>AgentMarketCap.ai</t>
        </is>
      </c>
      <c r="B5" s="54" t="inlineStr">
        <is>
          <t>The AI Agent Token Consumption Gap — Enterprise agentic workload cost analysis (Apr 2026)</t>
        </is>
      </c>
    </row>
    <row r="6">
      <c r="A6" s="51" t="inlineStr">
        <is>
          <t>iternal.ai</t>
        </is>
      </c>
      <c r="B6" s="52" t="inlineStr">
        <is>
          <t>AI Token Usage Guide 2026 — 10 use-case cost profiles with token breakdowns</t>
        </is>
      </c>
    </row>
    <row r="7">
      <c r="A7" s="53" t="inlineStr">
        <is>
          <t>RelayPlane.com</t>
        </is>
      </c>
      <c r="B7" s="54" t="inlineStr">
        <is>
          <t>Agent Cost Benchmarks 2026 — Real production median token counts (Mar 2026)</t>
        </is>
      </c>
    </row>
    <row r="8">
      <c r="A8" s="51" t="inlineStr">
        <is>
          <t>AICostCheck.com</t>
        </is>
      </c>
      <c r="B8" s="52" t="inlineStr">
        <is>
          <t>AI Agent Costs 2026 — Real math + 7 optimisation strategies; Document summarisation costs (Mar 2026)</t>
        </is>
      </c>
    </row>
    <row r="9">
      <c r="A9" s="53" t="inlineStr">
        <is>
          <t>TokenMix.ai</t>
        </is>
      </c>
      <c r="B9" s="54" t="inlineStr">
        <is>
          <t>AI Video Generation API 2026 — Provider cost comparison; Chatbot cost calculator (Apr 2026)</t>
        </is>
      </c>
    </row>
    <row r="10">
      <c r="A10" s="51" t="inlineStr">
        <is>
          <t>Zylos.ai</t>
        </is>
      </c>
      <c r="B10" s="52" t="inlineStr">
        <is>
          <t>AI Agent Cost Optimization — Token economics &amp; FinOps in production (Feb 2026)</t>
        </is>
      </c>
    </row>
    <row r="11">
      <c r="A11" s="53" t="inlineStr">
        <is>
          <t>yemhub.com</t>
        </is>
      </c>
      <c r="B11" s="54" t="inlineStr">
        <is>
          <t>Legal Document AI Cost Calculator — Contract review &amp; analysis pricing (2026)</t>
        </is>
      </c>
    </row>
    <row r="12">
      <c r="A12" s="51" t="inlineStr">
        <is>
          <t>DigitalApplied.com</t>
        </is>
      </c>
      <c r="B12" s="52" t="inlineStr">
        <is>
          <t>LLM API Pricing Index — Agent deployment cost tracking &amp; patterns (Q1 2026)</t>
        </is>
      </c>
    </row>
    <row r="13">
      <c r="A13" s="53" t="inlineStr">
        <is>
          <t>OpenRouter data</t>
        </is>
      </c>
      <c r="B13" s="54" t="inlineStr">
        <is>
          <t>Programming share rose from 11% to &gt;50% of all LLM token usage by late 2025</t>
        </is>
      </c>
    </row>
    <row r="14">
      <c r="A14" s="51" t="inlineStr">
        <is>
          <t>Gartner</t>
        </is>
      </c>
      <c r="B14" s="52" t="inlineStr">
        <is>
          <t>40% of enterprise apps to integrate AI agents by 2026, up from &lt;5% in 2025</t>
        </is>
      </c>
    </row>
    <row r="17">
      <c r="A17" s="55" t="inlineStr">
        <is>
          <t>Methodology Note</t>
        </is>
      </c>
    </row>
    <row r="18">
      <c r="A18" s="56" t="inlineStr">
        <is>
          <t>Aggregate time-series estimates are constructed by triangulating:
1. OpenRouter traffic data showing programming's rise from 11% → 50%+ of total LLM tokens.
2. Per-task token consumption medians from RelayPlane and iternal.ai production data.
3. Enterprise adoption rates from Gartner and industry surveys.
4. API pricing data tracked by TokenMix, AICostCheck, and provider documentation.
5. Agentic coding task analysis from arxiv:2604.22750 (SWE-bench Verified benchmarks).
Video editing figures represent LLM text tokens consumed for AI-assisted editing workflows (scene analysis, edit instructions, metadata generation), not raw video generation compute. Video generation token counts (e.g. 308K tokens for a 15s clip via Seedance 2.0) are included where applicable.
All cost figures use March 2026 list pricing with no volume discounts unless otherwise noted.</t>
        </is>
      </c>
    </row>
    <row r="19"/>
    <row r="20"/>
    <row r="21"/>
    <row r="22"/>
  </sheetData>
  <mergeCells count="2">
    <mergeCell ref="A18:B2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2026-05-02T23:44:45Z</dcterms:created>
  <dcterms:modified xsi:type="dcterms:W3CDTF">2026-05-02T23:44:45Z</dcterms:modified>
</cp:coreProperties>
</file>