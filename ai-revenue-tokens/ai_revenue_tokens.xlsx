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Revenue (pivot)" sheetId="2" state="visible" r:id="rId2"/>
    <sheet name="Tokens (pivot)" sheetId="3" state="visible" r:id="rId3"/>
    <sheet name="Revenue (raw)" sheetId="4" state="visible" r:id="rId4"/>
    <sheet name="Tokens (ra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ARR by company across snapshots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(pivot)'!B3</f>
            </strRef>
          </tx>
          <spPr>
            <a:ln>
              <a:prstDash val="solid"/>
            </a:ln>
          </spPr>
          <cat>
            <numRef>
              <f>'Revenue (pivot)'!$A$4:$A$9</f>
            </numRef>
          </cat>
          <val>
            <numRef>
              <f>'Revenue (pivot)'!$B$4:$B$9</f>
            </numRef>
          </val>
        </ser>
        <ser>
          <idx val="1"/>
          <order val="1"/>
          <tx>
            <strRef>
              <f>'Revenue (pivot)'!C3</f>
            </strRef>
          </tx>
          <spPr>
            <a:ln>
              <a:prstDash val="solid"/>
            </a:ln>
          </spPr>
          <cat>
            <numRef>
              <f>'Revenue (pivot)'!$A$4:$A$9</f>
            </numRef>
          </cat>
          <val>
            <numRef>
              <f>'Revenue (pivot)'!$C$4:$C$9</f>
            </numRef>
          </val>
        </ser>
        <ser>
          <idx val="2"/>
          <order val="2"/>
          <tx>
            <strRef>
              <f>'Revenue (pivot)'!D3</f>
            </strRef>
          </tx>
          <spPr>
            <a:ln>
              <a:prstDash val="solid"/>
            </a:ln>
          </spPr>
          <cat>
            <numRef>
              <f>'Revenue (pivot)'!$A$4:$A$9</f>
            </numRef>
          </cat>
          <val>
            <numRef>
              <f>'Revenue (pivot)'!$D$4:$D$9</f>
            </numRef>
          </val>
        </ser>
        <ser>
          <idx val="3"/>
          <order val="3"/>
          <tx>
            <strRef>
              <f>'Revenue (pivot)'!E3</f>
            </strRef>
          </tx>
          <spPr>
            <a:ln>
              <a:prstDash val="solid"/>
            </a:ln>
          </spPr>
          <cat>
            <numRef>
              <f>'Revenue (pivot)'!$A$4:$A$9</f>
            </numRef>
          </cat>
          <val>
            <numRef>
              <f>'Revenue (pivot)'!$E$4:$E$9</f>
            </numRef>
          </val>
        </ser>
        <ser>
          <idx val="4"/>
          <order val="4"/>
          <tx>
            <strRef>
              <f>'Revenue (pivot)'!F3</f>
            </strRef>
          </tx>
          <spPr>
            <a:ln>
              <a:prstDash val="solid"/>
            </a:ln>
          </spPr>
          <cat>
            <numRef>
              <f>'Revenue (pivot)'!$A$4:$A$9</f>
            </numRef>
          </cat>
          <val>
            <numRef>
              <f>'Revenue (pivot)'!$F$4:$F$9</f>
            </numRef>
          </val>
        </ser>
        <ser>
          <idx val="5"/>
          <order val="5"/>
          <tx>
            <strRef>
              <f>'Revenue (pivot)'!G3</f>
            </strRef>
          </tx>
          <spPr>
            <a:ln>
              <a:prstDash val="solid"/>
            </a:ln>
          </spPr>
          <cat>
            <numRef>
              <f>'Revenue (pivot)'!$A$4:$A$9</f>
            </numRef>
          </cat>
          <val>
            <numRef>
              <f>'Revenue (pivot)'!$G$4:$G$9</f>
            </numRef>
          </val>
        </ser>
        <ser>
          <idx val="6"/>
          <order val="6"/>
          <tx>
            <strRef>
              <f>'Revenue (pivot)'!H3</f>
            </strRef>
          </tx>
          <spPr>
            <a:ln>
              <a:prstDash val="solid"/>
            </a:ln>
          </spPr>
          <cat>
            <numRef>
              <f>'Revenue (pivot)'!$A$4:$A$9</f>
            </numRef>
          </cat>
          <val>
            <numRef>
              <f>'Revenue (pivot)'!$H$4:$H$9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Monthly tokens by provider across snapshots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'Tokens (pivot)'!B3</f>
            </strRef>
          </tx>
          <spPr>
            <a:ln>
              <a:prstDash val="solid"/>
            </a:ln>
          </spPr>
          <cat>
            <numRef>
              <f>'Tokens (pivot)'!$A$4:$A$9</f>
            </numRef>
          </cat>
          <val>
            <numRef>
              <f>'Tokens (pivot)'!$B$4:$B$9</f>
            </numRef>
          </val>
        </ser>
        <ser>
          <idx val="1"/>
          <order val="1"/>
          <tx>
            <strRef>
              <f>'Tokens (pivot)'!C3</f>
            </strRef>
          </tx>
          <spPr>
            <a:ln>
              <a:prstDash val="solid"/>
            </a:ln>
          </spPr>
          <cat>
            <numRef>
              <f>'Tokens (pivot)'!$A$4:$A$9</f>
            </numRef>
          </cat>
          <val>
            <numRef>
              <f>'Tokens (pivot)'!$C$4:$C$9</f>
            </numRef>
          </val>
        </ser>
        <ser>
          <idx val="2"/>
          <order val="2"/>
          <tx>
            <strRef>
              <f>'Tokens (pivot)'!D3</f>
            </strRef>
          </tx>
          <spPr>
            <a:ln>
              <a:prstDash val="solid"/>
            </a:ln>
          </spPr>
          <cat>
            <numRef>
              <f>'Tokens (pivot)'!$A$4:$A$9</f>
            </numRef>
          </cat>
          <val>
            <numRef>
              <f>'Tokens (pivot)'!$D$4:$D$9</f>
            </numRef>
          </val>
        </ser>
        <ser>
          <idx val="3"/>
          <order val="3"/>
          <tx>
            <strRef>
              <f>'Tokens (pivot)'!E3</f>
            </strRef>
          </tx>
          <spPr>
            <a:ln>
              <a:prstDash val="solid"/>
            </a:ln>
          </spPr>
          <cat>
            <numRef>
              <f>'Tokens (pivot)'!$A$4:$A$9</f>
            </numRef>
          </cat>
          <val>
            <numRef>
              <f>'Tokens (pivot)'!$E$4:$E$9</f>
            </numRef>
          </val>
        </ser>
        <ser>
          <idx val="4"/>
          <order val="4"/>
          <tx>
            <strRef>
              <f>'Tokens (pivot)'!F3</f>
            </strRef>
          </tx>
          <spPr>
            <a:ln>
              <a:prstDash val="solid"/>
            </a:ln>
          </spPr>
          <cat>
            <numRef>
              <f>'Tokens (pivot)'!$A$4:$A$9</f>
            </numRef>
          </cat>
          <val>
            <numRef>
              <f>'Tokens (pivot)'!$F$4:$F$9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Provider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Trillions of 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AI Revenue &amp; Monthly Token Consumption</t>
        </is>
      </c>
    </row>
    <row r="2">
      <c r="A2" t="inlineStr"/>
    </row>
    <row r="3">
      <c r="A3" t="inlineStr">
        <is>
          <t>Workbook contents:</t>
        </is>
      </c>
    </row>
    <row r="4">
      <c r="A4" t="inlineStr">
        <is>
          <t xml:space="preserve">  - Revenue (pivot): companies x snapshot dates, with bar chart.</t>
        </is>
      </c>
    </row>
    <row r="5">
      <c r="A5" t="inlineStr">
        <is>
          <t xml:space="preserve">  - Tokens (pivot):  providers x snapshot dates, with bar chart.</t>
        </is>
      </c>
    </row>
    <row r="6">
      <c r="A6" t="inlineStr">
        <is>
          <t xml:space="preserve">  - Revenue (raw):   every dated ARR observation with source notes.</t>
        </is>
      </c>
    </row>
    <row r="7">
      <c r="A7" t="inlineStr">
        <is>
          <t xml:space="preserve">  - Tokens (raw):    every tokens-per-minute / per-month observation.</t>
        </is>
      </c>
    </row>
    <row r="8">
      <c r="A8" t="inlineStr"/>
    </row>
    <row r="9">
      <c r="A9" t="inlineStr">
        <is>
          <t>Snapshot rule: each pivoted cell uses the most recent disclosed</t>
        </is>
      </c>
    </row>
    <row r="10">
      <c r="A10" t="inlineStr">
        <is>
          <t>observation on or before the snapshot date (forward-fill from</t>
        </is>
      </c>
    </row>
    <row r="11">
      <c r="A11" t="inlineStr">
        <is>
          <t>milestone disclosures).</t>
        </is>
      </c>
    </row>
    <row r="12">
      <c r="A12" t="inlineStr"/>
    </row>
    <row r="13">
      <c r="A13" t="inlineStr">
        <is>
          <t>Caveats:</t>
        </is>
      </c>
    </row>
    <row r="14">
      <c r="A14" t="inlineStr">
        <is>
          <t xml:space="preserve">  - ARR = annualized run-rate (most recent month x 12), NOT TTM.</t>
        </is>
      </c>
    </row>
    <row r="15">
      <c r="A15" t="inlineStr">
        <is>
          <t xml:space="preserve">  - OpenAI books net of cloud share; Anthropic books gross.</t>
        </is>
      </c>
    </row>
    <row r="16">
      <c r="A16" t="inlineStr">
        <is>
          <t xml:space="preserve">  - Sierra / Decagon / Fin / Anthropic token rows include interpolations</t>
        </is>
      </c>
    </row>
    <row r="17">
      <c r="A17" t="inlineStr">
        <is>
          <t xml:space="preserve">    between disclosed milestones (flagged in raw sheets).</t>
        </is>
      </c>
    </row>
    <row r="18">
      <c r="A18" t="inlineStr">
        <is>
          <t xml:space="preserve">  - 'Intercom Fin' is the AI-agent product line within Intercom</t>
        </is>
      </c>
    </row>
    <row r="19">
      <c r="A19" t="inlineStr">
        <is>
          <t xml:space="preserve">    (~$400M parent ARR in Mar 2026).</t>
        </is>
      </c>
    </row>
    <row r="20">
      <c r="A20" t="inlineStr"/>
    </row>
    <row r="21">
      <c r="A21" t="inlineStr">
        <is>
          <t>Sources: Reuters, The Information, FT, CNBC, Sacra, SaaStr,</t>
        </is>
      </c>
    </row>
    <row r="22">
      <c r="A22" t="inlineStr">
        <is>
          <t>Bloomberg/Sherwood, Mostly Metrics, OpenAI DevDay 2025 keynote,</t>
        </is>
      </c>
    </row>
    <row r="23">
      <c r="A23" t="inlineStr">
        <is>
          <t>Tomasz Tunguz, Demirer/Fradkin et al. (Dec 2025), Microsoft &amp;</t>
        </is>
      </c>
    </row>
    <row r="24">
      <c r="A24" t="inlineStr">
        <is>
          <t>Alphabet earnings releases, company blogs.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Annualized run-rate revenue (USD millions)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t="inlineStr">
        <is>
          <t>Company</t>
        </is>
      </c>
      <c r="B3" t="inlineStr">
        <is>
          <t>Dec-22</t>
        </is>
      </c>
      <c r="C3" t="inlineStr">
        <is>
          <t>Dec-23</t>
        </is>
      </c>
      <c r="D3" t="inlineStr">
        <is>
          <t>Jun-24</t>
        </is>
      </c>
      <c r="E3" t="inlineStr">
        <is>
          <t>Dec-24</t>
        </is>
      </c>
      <c r="F3" t="inlineStr">
        <is>
          <t>Jun-25</t>
        </is>
      </c>
      <c r="G3" t="inlineStr">
        <is>
          <t>Dec-25</t>
        </is>
      </c>
      <c r="H3" t="inlineStr">
        <is>
          <t>Apr-26</t>
        </is>
      </c>
    </row>
    <row r="4">
      <c r="A4" t="inlineStr">
        <is>
          <t>OpenAI</t>
        </is>
      </c>
      <c r="B4" s="4" t="n">
        <v>200</v>
      </c>
      <c r="C4" s="4" t="n">
        <v>1600</v>
      </c>
      <c r="D4" s="4" t="n">
        <v>3400</v>
      </c>
      <c r="E4" s="4" t="n">
        <v>4000</v>
      </c>
      <c r="F4" s="4" t="n">
        <v>10000</v>
      </c>
      <c r="G4" s="4" t="n">
        <v>21400</v>
      </c>
      <c r="H4" s="4" t="n">
        <v>24000</v>
      </c>
    </row>
    <row r="5">
      <c r="A5" t="inlineStr">
        <is>
          <t>Anthropic</t>
        </is>
      </c>
      <c r="B5" s="4" t="n">
        <v/>
      </c>
      <c r="C5" s="4" t="n">
        <v>300</v>
      </c>
      <c r="D5" s="4" t="n">
        <v>300</v>
      </c>
      <c r="E5" s="4" t="n">
        <v>1000</v>
      </c>
      <c r="F5" s="4" t="n">
        <v>1400</v>
      </c>
      <c r="G5" s="4" t="n">
        <v>9000</v>
      </c>
      <c r="H5" s="4" t="n">
        <v>30000</v>
      </c>
    </row>
    <row r="6">
      <c r="A6" t="inlineStr">
        <is>
          <t>Harvey</t>
        </is>
      </c>
      <c r="B6" s="4" t="n">
        <v/>
      </c>
      <c r="C6" s="4" t="n">
        <v>10</v>
      </c>
      <c r="D6" s="4" t="n">
        <v>10</v>
      </c>
      <c r="E6" s="4" t="n">
        <v>50</v>
      </c>
      <c r="F6" s="4" t="n">
        <v>75</v>
      </c>
      <c r="G6" s="4" t="n">
        <v>195</v>
      </c>
      <c r="H6" s="4" t="n">
        <v>190</v>
      </c>
    </row>
    <row r="7">
      <c r="A7" t="inlineStr">
        <is>
          <t>Sierra</t>
        </is>
      </c>
      <c r="B7" s="4" t="n">
        <v/>
      </c>
      <c r="C7" s="4" t="n">
        <v/>
      </c>
      <c r="D7" s="4" t="n">
        <v>0</v>
      </c>
      <c r="E7" s="4" t="n">
        <v>20</v>
      </c>
      <c r="F7" s="4" t="n">
        <v>50</v>
      </c>
      <c r="G7" s="4" t="n">
        <v>100</v>
      </c>
      <c r="H7" s="4" t="n">
        <v>150</v>
      </c>
    </row>
    <row r="8">
      <c r="A8" t="inlineStr">
        <is>
          <t>Decagon</t>
        </is>
      </c>
      <c r="B8" s="4" t="n">
        <v/>
      </c>
      <c r="C8" s="4" t="n">
        <v>1</v>
      </c>
      <c r="D8" s="4" t="n">
        <v>1</v>
      </c>
      <c r="E8" s="4" t="n">
        <v>10</v>
      </c>
      <c r="F8" s="4" t="n">
        <v>10</v>
      </c>
      <c r="G8" s="4" t="n">
        <v>35</v>
      </c>
      <c r="H8" s="4" t="n">
        <v>50</v>
      </c>
    </row>
    <row r="9">
      <c r="A9" t="inlineStr">
        <is>
          <t>Intercom Fin</t>
        </is>
      </c>
      <c r="B9" s="4" t="n">
        <v/>
      </c>
      <c r="C9" s="4" t="n">
        <v>1</v>
      </c>
      <c r="D9" s="4" t="n">
        <v>12</v>
      </c>
      <c r="E9" s="4" t="n">
        <v>12</v>
      </c>
      <c r="F9" s="4" t="n">
        <v>40</v>
      </c>
      <c r="G9" s="4" t="n">
        <v>100</v>
      </c>
      <c r="H9" s="4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Monthly API tokens processed (trillions)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t="inlineStr">
        <is>
          <t>Provider</t>
        </is>
      </c>
      <c r="B3" t="inlineStr">
        <is>
          <t>Oct-23</t>
        </is>
      </c>
      <c r="C3" t="inlineStr">
        <is>
          <t>Dec-24</t>
        </is>
      </c>
      <c r="D3" t="inlineStr">
        <is>
          <t>Jun-25</t>
        </is>
      </c>
      <c r="E3" t="inlineStr">
        <is>
          <t>Oct-25</t>
        </is>
      </c>
      <c r="F3" t="inlineStr">
        <is>
          <t>Mar-26</t>
        </is>
      </c>
    </row>
    <row r="4">
      <c r="A4" t="inlineStr">
        <is>
          <t>OpenAI</t>
        </is>
      </c>
      <c r="B4" s="4" t="n">
        <v>13.1</v>
      </c>
      <c r="C4" s="4" t="n">
        <v>87.7</v>
      </c>
      <c r="D4" s="4" t="n">
        <v>175.3</v>
      </c>
      <c r="E4" s="4" t="n">
        <v>263</v>
      </c>
      <c r="F4" s="4" t="n">
        <v>657.5</v>
      </c>
    </row>
    <row r="5">
      <c r="A5" t="inlineStr">
        <is>
          <t>Anthropic</t>
        </is>
      </c>
      <c r="B5" s="4" t="n">
        <v/>
      </c>
      <c r="C5" s="4" t="n">
        <v/>
      </c>
      <c r="D5" s="4" t="n">
        <v>43.8</v>
      </c>
      <c r="E5" s="4" t="n">
        <v>131</v>
      </c>
      <c r="F5" s="4" t="n">
        <v>219.2</v>
      </c>
    </row>
    <row r="6">
      <c r="A6" t="inlineStr">
        <is>
          <t>Google (reference)</t>
        </is>
      </c>
      <c r="B6" s="4" t="n">
        <v/>
      </c>
      <c r="C6" s="4" t="n">
        <v/>
      </c>
      <c r="D6" s="4" t="n">
        <v>980</v>
      </c>
      <c r="E6" s="4" t="n">
        <v>1300</v>
      </c>
      <c r="F6" s="4" t="n">
        <v>1300</v>
      </c>
    </row>
    <row r="7">
      <c r="A7" t="inlineStr">
        <is>
          <t>Microsoft Foundry (reference)</t>
        </is>
      </c>
      <c r="B7" s="4" t="n">
        <v/>
      </c>
      <c r="C7" s="4" t="n">
        <v/>
      </c>
      <c r="D7" s="4" t="n">
        <v>33.3</v>
      </c>
      <c r="E7" s="4" t="n">
        <v>33.3</v>
      </c>
      <c r="F7" s="4" t="n">
        <v>33.3</v>
      </c>
    </row>
    <row r="8">
      <c r="A8" t="inlineStr">
        <is>
          <t>Together.ai (reference)</t>
        </is>
      </c>
      <c r="B8" s="4" t="n">
        <v/>
      </c>
      <c r="C8" s="4" t="n">
        <v/>
      </c>
      <c r="D8" s="4" t="n">
        <v/>
      </c>
      <c r="E8" s="4" t="n">
        <v>60</v>
      </c>
      <c r="F8" s="4" t="n">
        <v>60</v>
      </c>
    </row>
    <row r="9">
      <c r="A9" t="inlineStr">
        <is>
          <t>OpenRouter (reference)</t>
        </is>
      </c>
      <c r="B9" s="4" t="n">
        <v/>
      </c>
      <c r="C9" s="4" t="n">
        <v/>
      </c>
      <c r="D9" s="4" t="n">
        <v/>
      </c>
      <c r="E9" s="4" t="n">
        <v/>
      </c>
      <c r="F9" s="4" t="n">
        <v>8.300000000000001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Raw ARR observations</t>
        </is>
      </c>
    </row>
    <row r="2">
      <c r="A2" s="3" t="n"/>
      <c r="B2" s="3" t="n"/>
      <c r="C2" s="3" t="n"/>
      <c r="D2" s="3" t="n"/>
      <c r="E2" s="3" t="n"/>
    </row>
    <row r="3">
      <c r="A3" t="inlineStr">
        <is>
          <t>company</t>
        </is>
      </c>
      <c r="B3" t="inlineStr">
        <is>
          <t>as_of_date</t>
        </is>
      </c>
      <c r="C3" t="inlineStr">
        <is>
          <t>arr_usd_millions</t>
        </is>
      </c>
      <c r="D3" t="inlineStr">
        <is>
          <t>metric</t>
        </is>
      </c>
      <c r="E3" t="inlineStr">
        <is>
          <t>source_note</t>
        </is>
      </c>
    </row>
    <row r="4">
      <c r="A4" t="inlineStr">
        <is>
          <t>OpenAI</t>
        </is>
      </c>
      <c r="B4" t="inlineStr">
        <is>
          <t>2022-12-01</t>
        </is>
      </c>
      <c r="C4" s="4" t="n">
        <v>200</v>
      </c>
      <c r="D4" t="inlineStr">
        <is>
          <t>Annualized run rate</t>
        </is>
      </c>
      <c r="E4" t="inlineStr">
        <is>
          <t>~$200M ARR end of 2022 (post-ChatGPT launch); Reuters / The Information</t>
        </is>
      </c>
    </row>
    <row r="5">
      <c r="A5" t="inlineStr">
        <is>
          <t>OpenAI</t>
        </is>
      </c>
      <c r="B5" t="inlineStr">
        <is>
          <t>2023-06-01</t>
        </is>
      </c>
      <c r="C5" s="4" t="n">
        <v>1000</v>
      </c>
      <c r="D5" t="inlineStr">
        <is>
          <t>Annualized run rate</t>
        </is>
      </c>
      <c r="E5" t="inlineStr">
        <is>
          <t>~$1B ARR mid-2023; OpenAI public statements</t>
        </is>
      </c>
    </row>
    <row r="6">
      <c r="A6" t="inlineStr">
        <is>
          <t>OpenAI</t>
        </is>
      </c>
      <c r="B6" t="inlineStr">
        <is>
          <t>2023-10-15</t>
        </is>
      </c>
      <c r="C6" s="4" t="n">
        <v>1300</v>
      </c>
      <c r="D6" t="inlineStr">
        <is>
          <t>Annualized run rate</t>
        </is>
      </c>
      <c r="E6" t="inlineStr">
        <is>
          <t>$1.3B ARR mid-October 2023; The Information / Reuters</t>
        </is>
      </c>
    </row>
    <row r="7">
      <c r="A7" t="inlineStr">
        <is>
          <t>OpenAI</t>
        </is>
      </c>
      <c r="B7" t="inlineStr">
        <is>
          <t>2023-12-01</t>
        </is>
      </c>
      <c r="C7" s="4" t="n">
        <v>1600</v>
      </c>
      <c r="D7" t="inlineStr">
        <is>
          <t>Annualized run rate</t>
        </is>
      </c>
      <c r="E7" t="inlineStr">
        <is>
          <t>$1.6B ARR Dec 2023; FT / Reuters</t>
        </is>
      </c>
    </row>
    <row r="8">
      <c r="A8" t="inlineStr">
        <is>
          <t>OpenAI</t>
        </is>
      </c>
      <c r="B8" t="inlineStr">
        <is>
          <t>2024-02-09</t>
        </is>
      </c>
      <c r="C8" s="4" t="n">
        <v>2000</v>
      </c>
      <c r="D8" t="inlineStr">
        <is>
          <t>Annualized run rate</t>
        </is>
      </c>
      <c r="E8" t="inlineStr">
        <is>
          <t>$2B revenue milestone; FT / Reuters Feb 2024</t>
        </is>
      </c>
    </row>
    <row r="9">
      <c r="A9" t="inlineStr">
        <is>
          <t>OpenAI</t>
        </is>
      </c>
      <c r="B9" t="inlineStr">
        <is>
          <t>2024-06-01</t>
        </is>
      </c>
      <c r="C9" s="4" t="n">
        <v>3400</v>
      </c>
      <c r="D9" t="inlineStr">
        <is>
          <t>Annualized run rate</t>
        </is>
      </c>
      <c r="E9" t="inlineStr">
        <is>
          <t>$3.4B ARR mid-2024; The Information</t>
        </is>
      </c>
    </row>
    <row r="10">
      <c r="A10" t="inlineStr">
        <is>
          <t>OpenAI</t>
        </is>
      </c>
      <c r="B10" t="inlineStr">
        <is>
          <t>2024-09-01</t>
        </is>
      </c>
      <c r="C10" s="4" t="n">
        <v>3600</v>
      </c>
      <c r="D10" t="inlineStr">
        <is>
          <t>Annualized run rate (~$300M/mo monthly revenue)</t>
        </is>
      </c>
      <c r="E10" t="inlineStr">
        <is>
          <t>$300M monthly revenue Sept 2024; CNBC / Reuters</t>
        </is>
      </c>
    </row>
    <row r="11">
      <c r="A11" t="inlineStr">
        <is>
          <t>OpenAI</t>
        </is>
      </c>
      <c r="B11" t="inlineStr">
        <is>
          <t>2024-12-01</t>
        </is>
      </c>
      <c r="C11" s="4" t="n">
        <v>4000</v>
      </c>
      <c r="D11" t="inlineStr">
        <is>
          <t>Annualized run rate</t>
        </is>
      </c>
      <c r="E11" t="inlineStr">
        <is>
          <t>~$4B ARR end of 2024 ($1B/quarter); company statements</t>
        </is>
      </c>
    </row>
    <row r="12">
      <c r="A12" t="inlineStr">
        <is>
          <t>OpenAI</t>
        </is>
      </c>
      <c r="B12" t="inlineStr">
        <is>
          <t>2025-06-01</t>
        </is>
      </c>
      <c r="C12" s="4" t="n">
        <v>10000</v>
      </c>
      <c r="D12" t="inlineStr">
        <is>
          <t>Annualized run rate</t>
        </is>
      </c>
      <c r="E12" t="inlineStr">
        <is>
          <t>$10B ARR June 2025; Observer / The Information</t>
        </is>
      </c>
    </row>
    <row r="13">
      <c r="A13" t="inlineStr">
        <is>
          <t>OpenAI</t>
        </is>
      </c>
      <c r="B13" t="inlineStr">
        <is>
          <t>2025-08-01</t>
        </is>
      </c>
      <c r="C13" s="4" t="n">
        <v>12000</v>
      </c>
      <c r="D13" t="inlineStr">
        <is>
          <t>Trailing revenue</t>
        </is>
      </c>
      <c r="E13" t="inlineStr">
        <is>
          <t>$12B revenue first 7 months of 2025 (~$1.7B/mo); The Information</t>
        </is>
      </c>
    </row>
    <row r="14">
      <c r="A14" t="inlineStr">
        <is>
          <t>OpenAI</t>
        </is>
      </c>
      <c r="B14" t="inlineStr">
        <is>
          <t>2025-11-03</t>
        </is>
      </c>
      <c r="C14" s="4" t="n">
        <v>13000</v>
      </c>
      <c r="D14" t="inlineStr">
        <is>
          <t>Annualized run rate</t>
        </is>
      </c>
      <c r="E14" t="inlineStr">
        <is>
          <t>Altman: 'well more than $13B' Nov 3 2025; PYMNTS</t>
        </is>
      </c>
    </row>
    <row r="15">
      <c r="A15" t="inlineStr">
        <is>
          <t>OpenAI</t>
        </is>
      </c>
      <c r="B15" t="inlineStr">
        <is>
          <t>2025-12-31</t>
        </is>
      </c>
      <c r="C15" s="4" t="n">
        <v>21400</v>
      </c>
      <c r="D15" t="inlineStr">
        <is>
          <t>Annualized run rate</t>
        </is>
      </c>
      <c r="E15" t="inlineStr">
        <is>
          <t>$21.4B ARR end of 2025; The Information</t>
        </is>
      </c>
    </row>
    <row r="16">
      <c r="A16" t="inlineStr">
        <is>
          <t>OpenAI</t>
        </is>
      </c>
      <c r="B16" t="inlineStr">
        <is>
          <t>2026-01-19</t>
        </is>
      </c>
      <c r="C16" s="4" t="n">
        <v>20000</v>
      </c>
      <c r="D16" t="inlineStr">
        <is>
          <t>Annualized run rate</t>
        </is>
      </c>
      <c r="E16" t="inlineStr">
        <is>
          <t>CFO Sarah Friar: crossed $20B in 2025; Reuters</t>
        </is>
      </c>
    </row>
    <row r="17">
      <c r="A17" t="inlineStr">
        <is>
          <t>OpenAI</t>
        </is>
      </c>
      <c r="B17" t="inlineStr">
        <is>
          <t>2026-03-05</t>
        </is>
      </c>
      <c r="C17" s="4" t="n">
        <v>25000</v>
      </c>
      <c r="D17" t="inlineStr">
        <is>
          <t>Annualized run rate</t>
        </is>
      </c>
      <c r="E17" t="inlineStr">
        <is>
          <t>$25B ARR Feb/early Mar 2026; The Information / Reuters</t>
        </is>
      </c>
    </row>
    <row r="18">
      <c r="A18" t="inlineStr">
        <is>
          <t>OpenAI</t>
        </is>
      </c>
      <c r="B18" t="inlineStr">
        <is>
          <t>2026-04-01</t>
        </is>
      </c>
      <c r="C18" s="4" t="n">
        <v>24000</v>
      </c>
      <c r="D18" t="inlineStr">
        <is>
          <t>Monthly revenue annualized ($2B/mo)</t>
        </is>
      </c>
      <c r="E18" t="inlineStr">
        <is>
          <t>$2B/month = $24B run-rate at $122B raise; CoinDesk / OpenAI</t>
        </is>
      </c>
    </row>
    <row r="19">
      <c r="A19" t="inlineStr">
        <is>
          <t>Anthropic</t>
        </is>
      </c>
      <c r="B19" t="inlineStr">
        <is>
          <t>2023-09-01</t>
        </is>
      </c>
      <c r="C19" s="4" t="n">
        <v>100</v>
      </c>
      <c r="D19" t="inlineStr">
        <is>
          <t>Annualized run rate</t>
        </is>
      </c>
      <c r="E19" t="inlineStr">
        <is>
          <t>$100M ARR Sep 2023</t>
        </is>
      </c>
    </row>
    <row r="20">
      <c r="A20" t="inlineStr">
        <is>
          <t>Anthropic</t>
        </is>
      </c>
      <c r="B20" t="inlineStr">
        <is>
          <t>2023-12-01</t>
        </is>
      </c>
      <c r="C20" s="4" t="n">
        <v>300</v>
      </c>
      <c r="D20" t="inlineStr">
        <is>
          <t>Annualized run rate</t>
        </is>
      </c>
      <c r="E20" t="inlineStr">
        <is>
          <t>~$300M ARR end of 2023 (estimate from public reporting)</t>
        </is>
      </c>
    </row>
    <row r="21">
      <c r="A21" t="inlineStr">
        <is>
          <t>Anthropic</t>
        </is>
      </c>
      <c r="B21" t="inlineStr">
        <is>
          <t>2024-12-01</t>
        </is>
      </c>
      <c r="C21" s="4" t="n">
        <v>1000</v>
      </c>
      <c r="D21" t="inlineStr">
        <is>
          <t>Annualized run rate</t>
        </is>
      </c>
      <c r="E21" t="inlineStr">
        <is>
          <t>$1B ARR Dec 2024; SaaStr / Reuters</t>
        </is>
      </c>
    </row>
    <row r="22">
      <c r="A22" t="inlineStr">
        <is>
          <t>Anthropic</t>
        </is>
      </c>
      <c r="B22" t="inlineStr">
        <is>
          <t>2025-03-01</t>
        </is>
      </c>
      <c r="C22" s="4" t="n">
        <v>1400</v>
      </c>
      <c r="D22" t="inlineStr">
        <is>
          <t>Annualized run rate</t>
        </is>
      </c>
      <c r="E22" t="inlineStr">
        <is>
          <t>~$1.4B ARR Q1 2025</t>
        </is>
      </c>
    </row>
    <row r="23">
      <c r="A23" t="inlineStr">
        <is>
          <t>Anthropic</t>
        </is>
      </c>
      <c r="B23" t="inlineStr">
        <is>
          <t>2025-07-01</t>
        </is>
      </c>
      <c r="C23" s="4" t="n">
        <v>4000</v>
      </c>
      <c r="D23" t="inlineStr">
        <is>
          <t>Annualized run rate</t>
        </is>
      </c>
      <c r="E23" t="inlineStr">
        <is>
          <t>$4B ARR July 2025</t>
        </is>
      </c>
    </row>
    <row r="24">
      <c r="A24" t="inlineStr">
        <is>
          <t>Anthropic</t>
        </is>
      </c>
      <c r="B24" t="inlineStr">
        <is>
          <t>2025-08-01</t>
        </is>
      </c>
      <c r="C24" s="4" t="n">
        <v>5000</v>
      </c>
      <c r="D24" t="inlineStr">
        <is>
          <t>Annualized run rate</t>
        </is>
      </c>
      <c r="E24" t="inlineStr">
        <is>
          <t>$5B+ ARR Aug 2025; Reuters</t>
        </is>
      </c>
    </row>
    <row r="25">
      <c r="A25" t="inlineStr">
        <is>
          <t>Anthropic</t>
        </is>
      </c>
      <c r="B25" t="inlineStr">
        <is>
          <t>2025-12-01</t>
        </is>
      </c>
      <c r="C25" s="4" t="n">
        <v>9000</v>
      </c>
      <c r="D25" t="inlineStr">
        <is>
          <t>Annualized run rate</t>
        </is>
      </c>
      <c r="E25" t="inlineStr">
        <is>
          <t>~$9B ARR end of 2025; Reuters / Sacra</t>
        </is>
      </c>
    </row>
    <row r="26">
      <c r="A26" t="inlineStr">
        <is>
          <t>Anthropic</t>
        </is>
      </c>
      <c r="B26" t="inlineStr">
        <is>
          <t>2026-02-01</t>
        </is>
      </c>
      <c r="C26" s="4" t="n">
        <v>14000</v>
      </c>
      <c r="D26" t="inlineStr">
        <is>
          <t>Annualized run rate</t>
        </is>
      </c>
      <c r="E26" t="inlineStr">
        <is>
          <t>$14B ARR Feb 2026; SaaStr</t>
        </is>
      </c>
    </row>
    <row r="27">
      <c r="A27" t="inlineStr">
        <is>
          <t>Anthropic</t>
        </is>
      </c>
      <c r="B27" t="inlineStr">
        <is>
          <t>2026-03-01</t>
        </is>
      </c>
      <c r="C27" s="4" t="n">
        <v>19000</v>
      </c>
      <c r="D27" t="inlineStr">
        <is>
          <t>Annualized run rate</t>
        </is>
      </c>
      <c r="E27" t="inlineStr">
        <is>
          <t>~$19B ARR Mar 2026; The Information</t>
        </is>
      </c>
    </row>
    <row r="28">
      <c r="A28" t="inlineStr">
        <is>
          <t>Anthropic</t>
        </is>
      </c>
      <c r="B28" t="inlineStr">
        <is>
          <t>2026-04-01</t>
        </is>
      </c>
      <c r="C28" s="4" t="n">
        <v>30000</v>
      </c>
      <c r="D28" t="inlineStr">
        <is>
          <t>Annualized run rate (gross-recorded)</t>
        </is>
      </c>
      <c r="E28" t="inlineStr">
        <is>
          <t>~$30B ARR Apr 2026; Sherwood / Bloomberg. Note: Anthropic books gross customer payment, OpenAI books net of cloud share</t>
        </is>
      </c>
    </row>
    <row r="29">
      <c r="A29" t="inlineStr">
        <is>
          <t>Harvey</t>
        </is>
      </c>
      <c r="B29" t="inlineStr">
        <is>
          <t>2023-04-01</t>
        </is>
      </c>
      <c r="C29" s="4" t="n">
        <v>3</v>
      </c>
      <c r="D29" t="inlineStr">
        <is>
          <t>Annualized run rate (estimate)</t>
        </is>
      </c>
      <c r="E29" t="inlineStr">
        <is>
          <t>Series A close Apr 2023; ARR small (low single-digit $M)</t>
        </is>
      </c>
    </row>
    <row r="30">
      <c r="A30" t="inlineStr">
        <is>
          <t>Harvey</t>
        </is>
      </c>
      <c r="B30" t="inlineStr">
        <is>
          <t>2023-12-01</t>
        </is>
      </c>
      <c r="C30" s="4" t="n">
        <v>10</v>
      </c>
      <c r="D30" t="inlineStr">
        <is>
          <t>Annualized run rate (estimate)</t>
        </is>
      </c>
      <c r="E30" t="inlineStr">
        <is>
          <t>~$10M ARR end of 2023 per Sacra implied math (19.5x to 2025)</t>
        </is>
      </c>
    </row>
    <row r="31">
      <c r="A31" t="inlineStr">
        <is>
          <t>Harvey</t>
        </is>
      </c>
      <c r="B31" t="inlineStr">
        <is>
          <t>2024-12-01</t>
        </is>
      </c>
      <c r="C31" s="4" t="n">
        <v>50</v>
      </c>
      <c r="D31" t="inlineStr">
        <is>
          <t>Annualized run rate</t>
        </is>
      </c>
      <c r="E31" t="inlineStr">
        <is>
          <t>$50M ARR end of 2024 (235 customers, 42 countries)</t>
        </is>
      </c>
    </row>
    <row r="32">
      <c r="A32" t="inlineStr">
        <is>
          <t>Harvey</t>
        </is>
      </c>
      <c r="B32" t="inlineStr">
        <is>
          <t>2025-06-01</t>
        </is>
      </c>
      <c r="C32" s="4" t="n">
        <v>75</v>
      </c>
      <c r="D32" t="inlineStr">
        <is>
          <t>Annualized run rate</t>
        </is>
      </c>
      <c r="E32" t="inlineStr">
        <is>
          <t>$75M ARR June 2025; Sacra</t>
        </is>
      </c>
    </row>
    <row r="33">
      <c r="A33" t="inlineStr">
        <is>
          <t>Harvey</t>
        </is>
      </c>
      <c r="B33" t="inlineStr">
        <is>
          <t>2025-08-01</t>
        </is>
      </c>
      <c r="C33" s="4" t="n">
        <v>100</v>
      </c>
      <c r="D33" t="inlineStr">
        <is>
          <t>Annualized run rate</t>
        </is>
      </c>
      <c r="E33" t="inlineStr">
        <is>
          <t>$100M ARR Aug 2025 (36 months from founding)</t>
        </is>
      </c>
    </row>
    <row r="34">
      <c r="A34" t="inlineStr">
        <is>
          <t>Harvey</t>
        </is>
      </c>
      <c r="B34" t="inlineStr">
        <is>
          <t>2025-11-01</t>
        </is>
      </c>
      <c r="C34" s="4" t="n">
        <v>150</v>
      </c>
      <c r="D34" t="inlineStr">
        <is>
          <t>Annualized run rate</t>
        </is>
      </c>
      <c r="E34" t="inlineStr">
        <is>
          <t>$150M ARR Nov 2025; Sacra</t>
        </is>
      </c>
    </row>
    <row r="35">
      <c r="A35" t="inlineStr">
        <is>
          <t>Harvey</t>
        </is>
      </c>
      <c r="B35" t="inlineStr">
        <is>
          <t>2025-12-31</t>
        </is>
      </c>
      <c r="C35" s="4" t="n">
        <v>195</v>
      </c>
      <c r="D35" t="inlineStr">
        <is>
          <t>Annualized run rate</t>
        </is>
      </c>
      <c r="E35" t="inlineStr">
        <is>
          <t>$195M ARR end of 2025; Sacra</t>
        </is>
      </c>
    </row>
    <row r="36">
      <c r="A36" t="inlineStr">
        <is>
          <t>Harvey</t>
        </is>
      </c>
      <c r="B36" t="inlineStr">
        <is>
          <t>2026-01-01</t>
        </is>
      </c>
      <c r="C36" s="4" t="n">
        <v>190</v>
      </c>
      <c r="D36" t="inlineStr">
        <is>
          <t>Annualized run rate</t>
        </is>
      </c>
      <c r="E36" t="inlineStr">
        <is>
          <t>$190M ARR at $11B valuation Series F</t>
        </is>
      </c>
    </row>
    <row r="37">
      <c r="A37" t="inlineStr">
        <is>
          <t>Harvey</t>
        </is>
      </c>
      <c r="B37" t="inlineStr">
        <is>
          <t>2026-03-01</t>
        </is>
      </c>
      <c r="C37" s="4" t="n">
        <v>190</v>
      </c>
      <c r="D37" t="inlineStr">
        <is>
          <t>Annualized run rate</t>
        </is>
      </c>
      <c r="E37" t="inlineStr">
        <is>
          <t>$190M ARR Mar 2026</t>
        </is>
      </c>
    </row>
    <row r="38">
      <c r="A38" t="inlineStr">
        <is>
          <t>Sierra</t>
        </is>
      </c>
      <c r="B38" t="inlineStr">
        <is>
          <t>2024-02-01</t>
        </is>
      </c>
      <c r="C38" s="4" t="n">
        <v>0</v>
      </c>
      <c r="D38" t="inlineStr">
        <is>
          <t>Annualized run rate</t>
        </is>
      </c>
      <c r="E38" t="inlineStr">
        <is>
          <t>Sierra launches publicly Feb 2024 (Bret Taylor + Clay Bavor)</t>
        </is>
      </c>
    </row>
    <row r="39">
      <c r="A39" t="inlineStr">
        <is>
          <t>Sierra</t>
        </is>
      </c>
      <c r="B39" t="inlineStr">
        <is>
          <t>2024-10-01</t>
        </is>
      </c>
      <c r="C39" s="4" t="n">
        <v>20</v>
      </c>
      <c r="D39" t="inlineStr">
        <is>
          <t>Annualized run rate</t>
        </is>
      </c>
      <c r="E39" t="inlineStr">
        <is>
          <t>~$20M ARR Oct 2024 at $4.5B valuation; Sacra</t>
        </is>
      </c>
    </row>
    <row r="40">
      <c r="A40" t="inlineStr">
        <is>
          <t>Sierra</t>
        </is>
      </c>
      <c r="B40" t="inlineStr">
        <is>
          <t>2025-06-01</t>
        </is>
      </c>
      <c r="C40" s="4" t="n">
        <v>50</v>
      </c>
      <c r="D40" t="inlineStr">
        <is>
          <t>Annualized run rate (estimate)</t>
        </is>
      </c>
      <c r="E40" t="inlineStr">
        <is>
          <t>interpolated; growth on path to $100M</t>
        </is>
      </c>
    </row>
    <row r="41">
      <c r="A41" t="inlineStr">
        <is>
          <t>Sierra</t>
        </is>
      </c>
      <c r="B41" t="inlineStr">
        <is>
          <t>2025-09-01</t>
        </is>
      </c>
      <c r="C41" s="4" t="n">
        <v>80</v>
      </c>
      <c r="D41" t="inlineStr">
        <is>
          <t>Annualized run rate (estimate)</t>
        </is>
      </c>
      <c r="E41" t="inlineStr">
        <is>
          <t>interpolated; $350M raise at $10B</t>
        </is>
      </c>
    </row>
    <row r="42">
      <c r="A42" t="inlineStr">
        <is>
          <t>Sierra</t>
        </is>
      </c>
      <c r="B42" t="inlineStr">
        <is>
          <t>2025-11-01</t>
        </is>
      </c>
      <c r="C42" s="4" t="n">
        <v>100</v>
      </c>
      <c r="D42" t="inlineStr">
        <is>
          <t>Annualized run rate</t>
        </is>
      </c>
      <c r="E42" t="inlineStr">
        <is>
          <t>$100M ARR Nov 2025 (7 quarters from launch)</t>
        </is>
      </c>
    </row>
    <row r="43">
      <c r="A43" t="inlineStr">
        <is>
          <t>Sierra</t>
        </is>
      </c>
      <c r="B43" t="inlineStr">
        <is>
          <t>2026-01-01</t>
        </is>
      </c>
      <c r="C43" s="4" t="n">
        <v>150</v>
      </c>
      <c r="D43" t="inlineStr">
        <is>
          <t>Annualized run rate</t>
        </is>
      </c>
      <c r="E43" t="inlineStr">
        <is>
          <t>$150M ARR Jan 2026 (first $50M quarter)</t>
        </is>
      </c>
    </row>
    <row r="44">
      <c r="A44" t="inlineStr">
        <is>
          <t>Decagon</t>
        </is>
      </c>
      <c r="B44" t="inlineStr">
        <is>
          <t>2023-08-01</t>
        </is>
      </c>
      <c r="C44" s="4" t="n">
        <v>1</v>
      </c>
      <c r="D44" t="inlineStr">
        <is>
          <t>Annualized run rate (estimate)</t>
        </is>
      </c>
      <c r="E44" t="inlineStr">
        <is>
          <t>~$1M ARR at founding Aug 2023</t>
        </is>
      </c>
    </row>
    <row r="45">
      <c r="A45" t="inlineStr">
        <is>
          <t>Decagon</t>
        </is>
      </c>
      <c r="B45" t="inlineStr">
        <is>
          <t>2024-12-01</t>
        </is>
      </c>
      <c r="C45" s="4" t="n">
        <v>10</v>
      </c>
      <c r="D45" t="inlineStr">
        <is>
          <t>Annualized run rate</t>
        </is>
      </c>
      <c r="E45" t="inlineStr">
        <is>
          <t>$10M ARR end of 2024; Sacra</t>
        </is>
      </c>
    </row>
    <row r="46">
      <c r="A46" t="inlineStr">
        <is>
          <t>Decagon</t>
        </is>
      </c>
      <c r="B46" t="inlineStr">
        <is>
          <t>2025-10-01</t>
        </is>
      </c>
      <c r="C46" s="4" t="n">
        <v>35</v>
      </c>
      <c r="D46" t="inlineStr">
        <is>
          <t>Annualized run rate</t>
        </is>
      </c>
      <c r="E46" t="inlineStr">
        <is>
          <t>$35M ARR Oct 2025; Sacra (Q3 2025 +3x YoY)</t>
        </is>
      </c>
    </row>
    <row r="47">
      <c r="A47" t="inlineStr">
        <is>
          <t>Decagon</t>
        </is>
      </c>
      <c r="B47" t="inlineStr">
        <is>
          <t>2026-01-28</t>
        </is>
      </c>
      <c r="C47" s="4" t="n">
        <v>50</v>
      </c>
      <c r="D47" t="inlineStr">
        <is>
          <t>Annualized run rate (estimate)</t>
        </is>
      </c>
      <c r="E47" t="inlineStr">
        <is>
          <t>~$50M ARR estimate at Series D close ($250M at $4.5B)</t>
        </is>
      </c>
    </row>
    <row r="48">
      <c r="A48" t="inlineStr">
        <is>
          <t>Intercom Fin</t>
        </is>
      </c>
      <c r="B48" t="inlineStr">
        <is>
          <t>2023-03-01</t>
        </is>
      </c>
      <c r="C48" s="4" t="n">
        <v>1</v>
      </c>
      <c r="D48" t="inlineStr">
        <is>
          <t>Annualized run rate</t>
        </is>
      </c>
      <c r="E48" t="inlineStr">
        <is>
          <t>Fin launches Mar 2023; revenue starts from ~$0</t>
        </is>
      </c>
    </row>
    <row r="49">
      <c r="A49" t="inlineStr">
        <is>
          <t>Intercom Fin</t>
        </is>
      </c>
      <c r="B49" t="inlineStr">
        <is>
          <t>2024-03-01</t>
        </is>
      </c>
      <c r="C49" s="4" t="n">
        <v>12</v>
      </c>
      <c r="D49" t="inlineStr">
        <is>
          <t>Annualized run rate</t>
        </is>
      </c>
      <c r="E49" t="inlineStr">
        <is>
          <t>$12M ARR after first year (grew $1M-&gt;$12M); Mostly Metrics</t>
        </is>
      </c>
    </row>
    <row r="50">
      <c r="A50" t="inlineStr">
        <is>
          <t>Intercom Fin</t>
        </is>
      </c>
      <c r="B50" t="inlineStr">
        <is>
          <t>2025-03-01</t>
        </is>
      </c>
      <c r="C50" s="4" t="n">
        <v>40</v>
      </c>
      <c r="D50" t="inlineStr">
        <is>
          <t>Annualized run rate (estimate)</t>
        </is>
      </c>
      <c r="E50" t="inlineStr">
        <is>
          <t>on path to $100M in ~2.5 quarters per Owen McCabe</t>
        </is>
      </c>
    </row>
    <row r="51">
      <c r="A51" t="inlineStr">
        <is>
          <t>Intercom Fin</t>
        </is>
      </c>
      <c r="B51" t="inlineStr">
        <is>
          <t>2025-12-01</t>
        </is>
      </c>
      <c r="C51" s="4" t="n">
        <v>100</v>
      </c>
      <c r="D51" t="inlineStr">
        <is>
          <t>Annualized run rate</t>
        </is>
      </c>
      <c r="E51" t="inlineStr">
        <is>
          <t>approaching $100M ARR by end 2025; Intercom / NewsBreak</t>
        </is>
      </c>
    </row>
    <row r="52">
      <c r="A52" t="inlineStr">
        <is>
          <t>Intercom Fin</t>
        </is>
      </c>
      <c r="B52" t="inlineStr">
        <is>
          <t>2026-03-01</t>
        </is>
      </c>
      <c r="C52" s="4" t="n">
        <v>150</v>
      </c>
      <c r="D52" t="inlineStr">
        <is>
          <t>Annualized run rate (estimate)</t>
        </is>
      </c>
      <c r="E52" t="inlineStr">
        <is>
          <t>~half of Intercom $400M parent ARR per Mostly Metrics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Raw monthly token observations</t>
        </is>
      </c>
    </row>
    <row r="2">
      <c r="A2" s="3" t="n"/>
      <c r="B2" s="3" t="n"/>
      <c r="C2" s="3" t="n"/>
      <c r="D2" s="3" t="n"/>
      <c r="E2" s="3" t="n"/>
    </row>
    <row r="3">
      <c r="A3" t="inlineStr">
        <is>
          <t>company</t>
        </is>
      </c>
      <c r="B3" t="inlineStr">
        <is>
          <t>as_of_date</t>
        </is>
      </c>
      <c r="C3" t="inlineStr">
        <is>
          <t>tokens_per_minute</t>
        </is>
      </c>
      <c r="D3" t="inlineStr">
        <is>
          <t>tokens_per_month_trillions</t>
        </is>
      </c>
      <c r="E3" t="inlineStr">
        <is>
          <t>source_note</t>
        </is>
      </c>
    </row>
    <row r="4">
      <c r="A4" t="inlineStr">
        <is>
          <t>OpenAI</t>
        </is>
      </c>
      <c r="B4" t="inlineStr">
        <is>
          <t>2023-10-01</t>
        </is>
      </c>
      <c r="C4" s="4" t="n">
        <v>300000000</v>
      </c>
      <c r="D4" s="4" t="n">
        <v>13.1</v>
      </c>
      <c r="E4" t="inlineStr">
        <is>
          <t>300M TPM cited by Altman at DevDay 2025 as the 2023 baseline; converted to monthly using 43,830 min/mo</t>
        </is>
      </c>
    </row>
    <row r="5">
      <c r="A5" t="inlineStr">
        <is>
          <t>OpenAI</t>
        </is>
      </c>
      <c r="B5" t="inlineStr">
        <is>
          <t>2024-06-01</t>
        </is>
      </c>
      <c r="C5" s="4" t="n">
        <v>1000000000</v>
      </c>
      <c r="D5" s="4" t="n">
        <v>43.8</v>
      </c>
      <c r="E5" t="inlineStr">
        <is>
          <t>Estimate (interpolation between 300M and 6B TPM)</t>
        </is>
      </c>
    </row>
    <row r="6">
      <c r="A6" t="inlineStr">
        <is>
          <t>OpenAI</t>
        </is>
      </c>
      <c r="B6" t="inlineStr">
        <is>
          <t>2024-12-01</t>
        </is>
      </c>
      <c r="C6" s="4" t="n">
        <v>2000000000</v>
      </c>
      <c r="D6" s="4" t="n">
        <v>87.7</v>
      </c>
      <c r="E6" t="inlineStr">
        <is>
          <t>Estimate (interpolation; coincides with $4B ARR exit)</t>
        </is>
      </c>
    </row>
    <row r="7">
      <c r="A7" t="inlineStr">
        <is>
          <t>OpenAI</t>
        </is>
      </c>
      <c r="B7" t="inlineStr">
        <is>
          <t>2025-06-01</t>
        </is>
      </c>
      <c r="C7" s="4" t="n">
        <v>4000000000</v>
      </c>
      <c r="D7" s="4" t="n">
        <v>175.3</v>
      </c>
      <c r="E7" t="inlineStr">
        <is>
          <t>Estimate (interpolation)</t>
        </is>
      </c>
    </row>
    <row r="8">
      <c r="A8" t="inlineStr">
        <is>
          <t>OpenAI</t>
        </is>
      </c>
      <c r="B8" t="inlineStr">
        <is>
          <t>2025-10-06</t>
        </is>
      </c>
      <c r="C8" s="4" t="n">
        <v>6000000000</v>
      </c>
      <c r="D8" s="4" t="n">
        <v>263</v>
      </c>
      <c r="E8" t="inlineStr">
        <is>
          <t>6B TPM disclosed at OpenAI DevDay 2025; matches ~260T/mo industry reports</t>
        </is>
      </c>
    </row>
    <row r="9">
      <c r="A9" t="inlineStr">
        <is>
          <t>OpenAI</t>
        </is>
      </c>
      <c r="B9" t="inlineStr">
        <is>
          <t>2026-03-01</t>
        </is>
      </c>
      <c r="C9" s="4" t="n">
        <v>15000000000</v>
      </c>
      <c r="D9" s="4" t="n">
        <v>657.5</v>
      </c>
      <c r="E9" t="inlineStr">
        <is>
          <t>15B TPM Q1 2026 (Happycapy / industry reports)</t>
        </is>
      </c>
    </row>
    <row r="10">
      <c r="A10" t="inlineStr">
        <is>
          <t>Anthropic</t>
        </is>
      </c>
      <c r="B10" t="inlineStr">
        <is>
          <t>2025-03-01</t>
        </is>
      </c>
      <c r="C10" s="4" t="n">
        <v>500000000</v>
      </c>
      <c r="D10" s="4" t="n">
        <v>21.9</v>
      </c>
      <c r="E10" t="inlineStr">
        <is>
          <t>Estimate (Claude API API call volume scaling with Claude 3.5 / 3.7 launches)</t>
        </is>
      </c>
    </row>
    <row r="11">
      <c r="A11" t="inlineStr">
        <is>
          <t>Anthropic</t>
        </is>
      </c>
      <c r="B11" t="inlineStr">
        <is>
          <t>2025-06-01</t>
        </is>
      </c>
      <c r="C11" s="4" t="n">
        <v>1000000000</v>
      </c>
      <c r="D11" s="4" t="n">
        <v>43.8</v>
      </c>
      <c r="E11" t="inlineStr">
        <is>
          <t>Estimate; mid-2025 ~25B API calls/mo (Claude AI Statistics)</t>
        </is>
      </c>
    </row>
    <row r="12">
      <c r="A12" t="inlineStr">
        <is>
          <t>Anthropic</t>
        </is>
      </c>
      <c r="B12" t="inlineStr">
        <is>
          <t>2025-09-30</t>
        </is>
      </c>
      <c r="C12" s="4" t="n">
        <v>3000000000</v>
      </c>
      <c r="D12" s="4" t="n">
        <v>131</v>
      </c>
      <c r="E12" t="inlineStr">
        <is>
          <t>Estimate ~5T tokens/day per Tunguz (~150T/mo); converted to TPM</t>
        </is>
      </c>
    </row>
    <row r="13">
      <c r="A13" t="inlineStr">
        <is>
          <t>Anthropic</t>
        </is>
      </c>
      <c r="B13" t="inlineStr">
        <is>
          <t>2025-12-01</t>
        </is>
      </c>
      <c r="C13" s="4" t="n">
        <v>4000000000</v>
      </c>
      <c r="D13" s="4" t="n">
        <v>175.3</v>
      </c>
      <c r="E13" t="inlineStr">
        <is>
          <t>Estimate; consistent with $9B ARR and gross-recorded scale</t>
        </is>
      </c>
    </row>
    <row r="14">
      <c r="A14" t="inlineStr">
        <is>
          <t>Anthropic</t>
        </is>
      </c>
      <c r="B14" t="inlineStr">
        <is>
          <t>2026-03-01</t>
        </is>
      </c>
      <c r="C14" s="4" t="n">
        <v>5000000000</v>
      </c>
      <c r="D14" s="4" t="n">
        <v>219.2</v>
      </c>
      <c r="E14" t="inlineStr">
        <is>
          <t>Estimate; consistent with $19-30B ARR ramp through cloud-mediated demand</t>
        </is>
      </c>
    </row>
    <row r="15">
      <c r="A15" t="inlineStr">
        <is>
          <t>Google (reference)</t>
        </is>
      </c>
      <c r="B15" t="inlineStr">
        <is>
          <t>2025-05-01</t>
        </is>
      </c>
      <c r="C15" s="4" t="n">
        <v/>
      </c>
      <c r="D15" s="4" t="n">
        <v>480</v>
      </c>
      <c r="E15" t="inlineStr">
        <is>
          <t>480T tokens/mo May 2025 (Sundar Pichai / Q2 2025 earnings)</t>
        </is>
      </c>
    </row>
    <row r="16">
      <c r="A16" t="inlineStr">
        <is>
          <t>Google (reference)</t>
        </is>
      </c>
      <c r="B16" t="inlineStr">
        <is>
          <t>2025-06-01</t>
        </is>
      </c>
      <c r="C16" s="4" t="n">
        <v/>
      </c>
      <c r="D16" s="4" t="n">
        <v>980</v>
      </c>
      <c r="E16" t="inlineStr">
        <is>
          <t>980T tokens/mo Jun 2025</t>
        </is>
      </c>
    </row>
    <row r="17">
      <c r="A17" t="inlineStr">
        <is>
          <t>Google (reference)</t>
        </is>
      </c>
      <c r="B17" t="inlineStr">
        <is>
          <t>2025-07-01</t>
        </is>
      </c>
      <c r="C17" s="4" t="n">
        <v/>
      </c>
      <c r="D17" s="4" t="n">
        <v>1300</v>
      </c>
      <c r="E17" t="inlineStr">
        <is>
          <t>1.3 quadrillion tokens/mo Jul 2025 (1300T)</t>
        </is>
      </c>
    </row>
    <row r="18">
      <c r="A18" t="inlineStr">
        <is>
          <t>Microsoft Foundry (reference)</t>
        </is>
      </c>
      <c r="B18" t="inlineStr">
        <is>
          <t>2025-04-01</t>
        </is>
      </c>
      <c r="C18" s="4" t="n">
        <v/>
      </c>
      <c r="D18" s="4" t="n">
        <v>1.7</v>
      </c>
      <c r="E18" t="inlineStr">
        <is>
          <t>~1.7T tokens/mo Apr 2025 (Microsoft Q3 FY25 earnings)</t>
        </is>
      </c>
    </row>
    <row r="19">
      <c r="A19" t="inlineStr">
        <is>
          <t>Microsoft Foundry (reference)</t>
        </is>
      </c>
      <c r="B19" t="inlineStr">
        <is>
          <t>2025-06-01</t>
        </is>
      </c>
      <c r="C19" s="4" t="n">
        <v/>
      </c>
      <c r="D19" s="4" t="n">
        <v>33.3</v>
      </c>
      <c r="E19" t="inlineStr">
        <is>
          <t>100T processed in Q2 FY26 (~33T/mo); 50T in single record month</t>
        </is>
      </c>
    </row>
    <row r="20">
      <c r="A20" t="inlineStr">
        <is>
          <t>Together.ai (reference)</t>
        </is>
      </c>
      <c r="B20" t="inlineStr">
        <is>
          <t>2025-09-15</t>
        </is>
      </c>
      <c r="C20" s="4" t="n">
        <v/>
      </c>
      <c r="D20" s="4" t="n">
        <v>60</v>
      </c>
      <c r="E20" t="inlineStr">
        <is>
          <t>~2T tokens/day Sep 2025 (Vipul VP) ≈ 60T/mo open-source inference</t>
        </is>
      </c>
    </row>
    <row r="21">
      <c r="A21" t="inlineStr">
        <is>
          <t>OpenRouter (reference)</t>
        </is>
      </c>
      <c r="B21" t="inlineStr">
        <is>
          <t>2025-12-01</t>
        </is>
      </c>
      <c r="C21" s="4" t="n">
        <v/>
      </c>
      <c r="D21" s="4" t="n">
        <v>8.300000000000001</v>
      </c>
      <c r="E21" t="inlineStr">
        <is>
          <t>~100T tokens served in 2025; ~8T/mo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2026-04-18T21:36:38Z</dcterms:created>
  <dcterms:modified xsi:type="dcterms:W3CDTF">2026-04-18T21:36:38Z</dcterms:modified>
</cp:coreProperties>
</file>