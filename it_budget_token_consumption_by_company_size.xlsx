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 Budget Benchmarks" sheetId="2" state="visible" r:id="rId2"/>
    <sheet name="AI &amp; Token Spend Benchmarks" sheetId="3" state="visible" r:id="rId3"/>
    <sheet name="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4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amp.com/blog/ai-token-cost-for-businesses" TargetMode="External" Id="rId1" /><Relationship Type="http://schemas.openxmlformats.org/officeDocument/2006/relationships/hyperlink" Target="https://vendorbenchmark.com/guides/enterprise-genai-cost-benchmark-2026" TargetMode="External" Id="rId2" /><Relationship Type="http://schemas.openxmlformats.org/officeDocument/2006/relationships/hyperlink" Target="https://vendorbenchmark.com/blog/it-spend-percentage-revenue-2026-benchmark" TargetMode="External" Id="rId3" /><Relationship Type="http://schemas.openxmlformats.org/officeDocument/2006/relationships/hyperlink" Target="https://vendorbenchmark.com/blog/it-budget-allocation-benchmark-breakdown" TargetMode="External" Id="rId4" /><Relationship Type="http://schemas.openxmlformats.org/officeDocument/2006/relationships/hyperlink" Target="https://itbudgetcalculator.com/average-it-budget" TargetMode="External" Id="rId5" /><Relationship Type="http://schemas.openxmlformats.org/officeDocument/2006/relationships/hyperlink" Target="https://aistackhub.ai/ai-spending-by-industry" TargetMode="External" Id="rId6" /><Relationship Type="http://schemas.openxmlformats.org/officeDocument/2006/relationships/hyperlink" Target="https://presenc.ai/research/ai-spend-per-employee-2026" TargetMode="External" Id="rId7" /><Relationship Type="http://schemas.openxmlformats.org/officeDocument/2006/relationships/hyperlink" Target="https://iternal.ai/token-usage-guide" TargetMode="External" Id="rId8" /><Relationship Type="http://schemas.openxmlformats.org/officeDocument/2006/relationships/hyperlink" Target="https://aisavvy.io/insights/how-much-should-we-budget-for-ai-this-year" TargetMode="External" Id="rId9" /><Relationship Type="http://schemas.openxmlformats.org/officeDocument/2006/relationships/hyperlink" Target="https://alvarezandmarsal-crg.com/insight/the-end-of-the-ai-flat-rate-era/" TargetMode="External" Id="rId10" /><Relationship Type="http://schemas.openxmlformats.org/officeDocument/2006/relationships/hyperlink" Target="https://alicelabs.ai/reports/ai-automation-roi-benchmark-2026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5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IT Budget vs. AI Token Consumption by Company Size (2026 benchmarks)</t>
        </is>
      </c>
    </row>
    <row r="2">
      <c r="A2" s="2" t="inlineStr">
        <is>
          <t>Modeled from public 2025–2026 benchmarks. Yellow column = token/LLM API spend as % of total IT budget. All computed cells are live formulas — edit the assumptions to re-run the model.</t>
        </is>
      </c>
    </row>
    <row r="4" ht="45" customHeight="1">
      <c r="A4" s="3" t="inlineStr">
        <is>
          <t>Company size segment</t>
        </is>
      </c>
      <c r="B4" s="3" t="inlineStr">
        <is>
          <t>Employees (range)</t>
        </is>
      </c>
      <c r="C4" s="3" t="inlineStr">
        <is>
          <t>Representative headcount</t>
        </is>
      </c>
      <c r="D4" s="3" t="inlineStr">
        <is>
          <t>Representative annual revenue</t>
        </is>
      </c>
      <c r="E4" s="3" t="inlineStr">
        <is>
          <t>IT budget (% of revenue, median)</t>
        </is>
      </c>
      <c r="F4" s="3" t="inlineStr">
        <is>
          <t>Estimated annual IT budget</t>
        </is>
      </c>
      <c r="G4" s="3" t="inlineStr">
        <is>
          <t>Total AI spend ($/employee/month)</t>
        </is>
      </c>
      <c r="H4" s="3" t="inlineStr">
        <is>
          <t>Estimated annual AI spend (tools + usage)</t>
        </is>
      </c>
      <c r="I4" s="3" t="inlineStr">
        <is>
          <t>Token / LLM API spend ($/employee/month)</t>
        </is>
      </c>
      <c r="J4" s="3" t="inlineStr">
        <is>
          <t>Estimated annual token spend</t>
        </is>
      </c>
      <c r="K4" s="3" t="inlineStr">
        <is>
          <t>Token spend as % of IT budget</t>
        </is>
      </c>
      <c r="L4" s="3" t="inlineStr">
        <is>
          <t>Total AI spend as % of IT budget</t>
        </is>
      </c>
      <c r="M4" s="3" t="inlineStr">
        <is>
          <t>Est. token consumption (tokens/month)</t>
        </is>
      </c>
    </row>
    <row r="5">
      <c r="A5" s="4" t="inlineStr">
        <is>
          <t>Small business</t>
        </is>
      </c>
      <c r="B5" s="5" t="inlineStr">
        <is>
          <t>10–49</t>
        </is>
      </c>
      <c r="C5" s="6" t="n">
        <v>30</v>
      </c>
      <c r="D5" s="7" t="n">
        <v>6000000</v>
      </c>
      <c r="E5" s="8" t="n">
        <v>0.06900000000000001</v>
      </c>
      <c r="F5" s="7">
        <f>D5*E5</f>
        <v/>
      </c>
      <c r="G5" s="7" t="n">
        <v>55</v>
      </c>
      <c r="H5" s="7">
        <f>C5*G5*12</f>
        <v/>
      </c>
      <c r="I5" s="7" t="n">
        <v>12</v>
      </c>
      <c r="J5" s="7">
        <f>C5*I5*12</f>
        <v/>
      </c>
      <c r="K5" s="9">
        <f>J5/F5</f>
        <v/>
      </c>
      <c r="L5" s="8">
        <f>H5/F5</f>
        <v/>
      </c>
      <c r="M5" s="5" t="inlineStr">
        <is>
          <t>1M – 3M</t>
        </is>
      </c>
    </row>
    <row r="6">
      <c r="A6" s="4" t="inlineStr">
        <is>
          <t>SMB</t>
        </is>
      </c>
      <c r="B6" s="5" t="inlineStr">
        <is>
          <t>50–249</t>
        </is>
      </c>
      <c r="C6" s="6" t="n">
        <v>150</v>
      </c>
      <c r="D6" s="7" t="n">
        <v>30000000</v>
      </c>
      <c r="E6" s="8" t="n">
        <v>0.055</v>
      </c>
      <c r="F6" s="7">
        <f>D6*E6</f>
        <v/>
      </c>
      <c r="G6" s="7" t="n">
        <v>70</v>
      </c>
      <c r="H6" s="7">
        <f>C6*G6*12</f>
        <v/>
      </c>
      <c r="I6" s="7" t="n">
        <v>10</v>
      </c>
      <c r="J6" s="7">
        <f>C6*I6*12</f>
        <v/>
      </c>
      <c r="K6" s="9">
        <f>J6/F6</f>
        <v/>
      </c>
      <c r="L6" s="8">
        <f>H6/F6</f>
        <v/>
      </c>
      <c r="M6" s="5" t="inlineStr">
        <is>
          <t>10M – 30M</t>
        </is>
      </c>
    </row>
    <row r="7">
      <c r="A7" s="4" t="inlineStr">
        <is>
          <t>Mid-market</t>
        </is>
      </c>
      <c r="B7" s="5" t="inlineStr">
        <is>
          <t>250–999</t>
        </is>
      </c>
      <c r="C7" s="6" t="n">
        <v>600</v>
      </c>
      <c r="D7" s="7" t="n">
        <v>120000000</v>
      </c>
      <c r="E7" s="8" t="n">
        <v>0.07000000000000001</v>
      </c>
      <c r="F7" s="7">
        <f>D7*E7</f>
        <v/>
      </c>
      <c r="G7" s="7" t="n">
        <v>145</v>
      </c>
      <c r="H7" s="7">
        <f>C7*G7*12</f>
        <v/>
      </c>
      <c r="I7" s="7" t="n">
        <v>9</v>
      </c>
      <c r="J7" s="7">
        <f>C7*I7*12</f>
        <v/>
      </c>
      <c r="K7" s="9">
        <f>J7/F7</f>
        <v/>
      </c>
      <c r="L7" s="8">
        <f>H7/F7</f>
        <v/>
      </c>
      <c r="M7" s="5" t="inlineStr">
        <is>
          <t>25M – 75M</t>
        </is>
      </c>
    </row>
    <row r="8">
      <c r="A8" s="4" t="inlineStr">
        <is>
          <t>Enterprise</t>
        </is>
      </c>
      <c r="B8" s="5" t="inlineStr">
        <is>
          <t>1,000–4,999</t>
        </is>
      </c>
      <c r="C8" s="6" t="n">
        <v>2500</v>
      </c>
      <c r="D8" s="7" t="n">
        <v>750000000</v>
      </c>
      <c r="E8" s="8" t="n">
        <v>0.061</v>
      </c>
      <c r="F8" s="7">
        <f>D8*E8</f>
        <v/>
      </c>
      <c r="G8" s="7" t="n">
        <v>103</v>
      </c>
      <c r="H8" s="7">
        <f>C8*G8*12</f>
        <v/>
      </c>
      <c r="I8" s="7" t="n">
        <v>8</v>
      </c>
      <c r="J8" s="7">
        <f>C8*I8*12</f>
        <v/>
      </c>
      <c r="K8" s="9">
        <f>J8/F8</f>
        <v/>
      </c>
      <c r="L8" s="8">
        <f>H8/F8</f>
        <v/>
      </c>
      <c r="M8" s="5" t="inlineStr">
        <is>
          <t>250M – 750M</t>
        </is>
      </c>
    </row>
    <row r="9">
      <c r="A9" s="4" t="inlineStr">
        <is>
          <t>Large enterprise</t>
        </is>
      </c>
      <c r="B9" s="5" t="inlineStr">
        <is>
          <t>5,000+</t>
        </is>
      </c>
      <c r="C9" s="6" t="n">
        <v>20000</v>
      </c>
      <c r="D9" s="7" t="n">
        <v>6000000000</v>
      </c>
      <c r="E9" s="8" t="n">
        <v>0.048</v>
      </c>
      <c r="F9" s="7">
        <f>D9*E9</f>
        <v/>
      </c>
      <c r="G9" s="7" t="n">
        <v>103</v>
      </c>
      <c r="H9" s="7">
        <f>C9*G9*12</f>
        <v/>
      </c>
      <c r="I9" s="7" t="n">
        <v>8</v>
      </c>
      <c r="J9" s="7">
        <f>C9*I9*12</f>
        <v/>
      </c>
      <c r="K9" s="9">
        <f>J9/F9</f>
        <v/>
      </c>
      <c r="L9" s="8">
        <f>H9/F9</f>
        <v/>
      </c>
      <c r="M9" s="5" t="inlineStr">
        <is>
          <t>2.5B – 7.5B</t>
        </is>
      </c>
    </row>
    <row r="11" ht="28" customHeight="1">
      <c r="A11" s="10" t="inlineStr">
        <is>
          <t>How to read: 'Token / LLM API spend' is metered usage-based consumption (API tokens) only. 'Total AI spend' also includes AI/copilot seat licenses, inference infrastructure, fine-tuning and program costs (tools + usage, excl. AI headcount).</t>
        </is>
      </c>
    </row>
    <row r="12" ht="28" customHeight="1">
      <c r="A12" s="10" t="inlineStr">
        <is>
          <t>Key finding: token consumption is still a small slice of IT budgets today (~0.5–1.1% across segments; GenAI tools incl. licenses ≈ 1.7% of IT budget per VendorBenchmark 2026), but it is the fastest-growing line: token usage grew 1,001% Jan 2025 → Apr 2026 (Ramp) and planning guidance assumes 50–100% annual spend growth.</t>
        </is>
      </c>
    </row>
    <row r="13" ht="28" customHeight="1">
      <c r="A13" s="10" t="inlineStr">
        <is>
          <t>Total AI spend runs ~5–12% of IT budget in this model; broader industry surveys that include AI infrastructure, implementation and talent put AI at 12–18% of the average IT budget in 2026 (up from 11% in 2024).</t>
        </is>
      </c>
    </row>
  </sheetData>
  <mergeCells count="3">
    <mergeCell ref="A13:M13"/>
    <mergeCell ref="A11:M11"/>
    <mergeCell ref="A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52" customWidth="1" min="4" max="4"/>
  </cols>
  <sheetData>
    <row r="1">
      <c r="A1" s="1" t="inlineStr">
        <is>
          <t>IT Budget Benchmarks by Company Size</t>
        </is>
      </c>
    </row>
    <row r="3">
      <c r="A3" s="11" t="inlineStr">
        <is>
          <t>View 1 — By headcount (ITBudgetCalculator / Deloitte-based, 2026)</t>
        </is>
      </c>
    </row>
    <row r="4">
      <c r="A4" s="12" t="inlineStr">
        <is>
          <t>Company size</t>
        </is>
      </c>
      <c r="B4" s="12" t="inlineStr">
        <is>
          <t>Employees</t>
        </is>
      </c>
      <c r="C4" s="12" t="inlineStr">
        <is>
          <t>IT spend (% of revenue)</t>
        </is>
      </c>
      <c r="D4" s="12" t="inlineStr">
        <is>
          <t>Notes</t>
        </is>
      </c>
    </row>
    <row r="5">
      <c r="A5" s="5" t="inlineStr">
        <is>
          <t>Startup</t>
        </is>
      </c>
      <c r="B5" s="5" t="inlineStr">
        <is>
          <t>1–50</t>
        </is>
      </c>
      <c r="C5" s="5" t="inlineStr">
        <is>
          <t>6.9% (avg)</t>
        </is>
      </c>
      <c r="D5" s="5" t="inlineStr">
        <is>
          <t>Highest ratio: fixed SaaS/security costs over little revenue</t>
        </is>
      </c>
    </row>
    <row r="6">
      <c r="A6" s="5" t="inlineStr">
        <is>
          <t>SMB</t>
        </is>
      </c>
      <c r="B6" s="5" t="inlineStr">
        <is>
          <t>51–250</t>
        </is>
      </c>
      <c r="C6" s="5" t="inlineStr">
        <is>
          <t>4–7%</t>
        </is>
      </c>
      <c r="D6" s="5" t="inlineStr">
        <is>
          <t>First dedicated IT hires or MSP contract; security catch-up</t>
        </is>
      </c>
    </row>
    <row r="7">
      <c r="A7" s="5" t="inlineStr">
        <is>
          <t>Mid-market</t>
        </is>
      </c>
      <c r="B7" s="5" t="inlineStr">
        <is>
          <t>251–1,000</t>
        </is>
      </c>
      <c r="C7" s="5" t="inlineStr">
        <is>
          <t>6–8%</t>
        </is>
      </c>
      <c r="D7" s="5" t="inlineStr">
        <is>
          <t>IT governance and FinOps forming; digital transformation spend</t>
        </is>
      </c>
    </row>
    <row r="8">
      <c r="A8" s="5" t="inlineStr">
        <is>
          <t>Enterprise</t>
        </is>
      </c>
      <c r="B8" s="5" t="inlineStr">
        <is>
          <t>1,001–5,000</t>
        </is>
      </c>
      <c r="C8" s="5" t="inlineStr">
        <is>
          <t>4–6%</t>
        </is>
      </c>
      <c r="D8" s="5" t="inlineStr">
        <is>
          <t>Enterprise platforms and compliance tooling at scale</t>
        </is>
      </c>
    </row>
    <row r="9">
      <c r="A9" s="5" t="inlineStr">
        <is>
          <t>Large enterprise</t>
        </is>
      </c>
      <c r="B9" s="5" t="inlineStr">
        <is>
          <t>5,000+</t>
        </is>
      </c>
      <c r="C9" s="5" t="inlineStr">
        <is>
          <t>3.7% (avg)</t>
        </is>
      </c>
      <c r="D9" s="5" t="inlineStr">
        <is>
          <t>Economies of scale on infrastructure and licensing</t>
        </is>
      </c>
    </row>
    <row r="10">
      <c r="A10" s="5" t="inlineStr">
        <is>
          <t>All companies (cross-industry avg)</t>
        </is>
      </c>
      <c r="B10" s="5" t="inlineStr">
        <is>
          <t>—</t>
        </is>
      </c>
      <c r="C10" s="5" t="inlineStr">
        <is>
          <t>5.49%</t>
        </is>
      </c>
      <c r="D10" s="5" t="inlineStr">
        <is>
          <t>Deloitte, most recent measured cross-industry figure</t>
        </is>
      </c>
    </row>
    <row r="12">
      <c r="A12" s="11" t="inlineStr">
        <is>
          <t>View 2 — By revenue (VendorBenchmark 2026, publicly traded and private companies)</t>
        </is>
      </c>
    </row>
    <row r="13">
      <c r="A13" s="12" t="inlineStr">
        <is>
          <t>Company size</t>
        </is>
      </c>
      <c r="B13" s="12" t="inlineStr">
        <is>
          <t>Annual revenue</t>
        </is>
      </c>
      <c r="C13" s="12" t="inlineStr">
        <is>
          <t>IT spend range (% of revenue)</t>
        </is>
      </c>
      <c r="D13" s="12" t="inlineStr">
        <is>
          <t>Median</t>
        </is>
      </c>
    </row>
    <row r="14">
      <c r="A14" s="5" t="inlineStr">
        <is>
          <t>Small business</t>
        </is>
      </c>
      <c r="B14" s="5" t="inlineStr">
        <is>
          <t>$5M – $50M</t>
        </is>
      </c>
      <c r="C14" s="5" t="inlineStr">
        <is>
          <t>8.5% – 15%</t>
        </is>
      </c>
      <c r="D14" s="5" t="inlineStr">
        <is>
          <t>11.2%</t>
        </is>
      </c>
    </row>
    <row r="15">
      <c r="A15" s="5" t="inlineStr">
        <is>
          <t>Small-to-medium business</t>
        </is>
      </c>
      <c r="B15" s="5" t="inlineStr">
        <is>
          <t>$50M – $500M</t>
        </is>
      </c>
      <c r="C15" s="5" t="inlineStr">
        <is>
          <t>6.5% – 9.2%</t>
        </is>
      </c>
      <c r="D15" s="5" t="inlineStr">
        <is>
          <t>7.8%</t>
        </is>
      </c>
    </row>
    <row r="16">
      <c r="A16" s="5" t="inlineStr">
        <is>
          <t>Mid-market enterprise</t>
        </is>
      </c>
      <c r="B16" s="5" t="inlineStr">
        <is>
          <t>$500M – $5B</t>
        </is>
      </c>
      <c r="C16" s="5" t="inlineStr">
        <is>
          <t>5.2% – 7.1%</t>
        </is>
      </c>
      <c r="D16" s="5" t="inlineStr">
        <is>
          <t>6.1%</t>
        </is>
      </c>
    </row>
    <row r="17">
      <c r="A17" s="5" t="inlineStr">
        <is>
          <t>Large enterprise</t>
        </is>
      </c>
      <c r="B17" s="5" t="inlineStr">
        <is>
          <t>$5B+</t>
        </is>
      </c>
      <c r="C17" s="5" t="inlineStr">
        <is>
          <t>4.1% – 5.8%</t>
        </is>
      </c>
      <c r="D17" s="5" t="inlineStr">
        <is>
          <t>4.8%</t>
        </is>
      </c>
    </row>
    <row r="19" ht="42" customHeight="1">
      <c r="A19" s="10" t="inlineStr">
        <is>
          <t>The two views differ because size taxonomies differ across sources (headcount vs. revenue) and industry mix dominates: financial services runs 8–12% of revenue, technology/SaaS 12–18%, manufacturing 2–4%, traditional retail 2–3.5%. The inverse size relationship reflects economies of scale.</t>
        </is>
      </c>
    </row>
  </sheetData>
  <mergeCells count="1"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4" customWidth="1" min="3" max="3"/>
    <col width="46" customWidth="1" min="4" max="4"/>
  </cols>
  <sheetData>
    <row r="1">
      <c r="A1" s="1" t="inlineStr">
        <is>
          <t>AI / Token Spend Benchmarks (2026)</t>
        </is>
      </c>
    </row>
    <row r="3">
      <c r="A3" s="11" t="inlineStr">
        <is>
          <t>Median total AI spend by company size (AIStackHub 2026 operator survey)</t>
        </is>
      </c>
    </row>
    <row r="4">
      <c r="A4" s="12" t="inlineStr">
        <is>
          <t>Segment</t>
        </is>
      </c>
      <c r="B4" s="12" t="inlineStr">
        <is>
          <t>Revenue band</t>
        </is>
      </c>
      <c r="C4" s="12" t="inlineStr">
        <is>
          <t>Median annual AI spend</t>
        </is>
      </c>
      <c r="D4" s="12" t="inlineStr">
        <is>
          <t>Notes</t>
        </is>
      </c>
    </row>
    <row r="5">
      <c r="A5" s="5" t="inlineStr">
        <is>
          <t>SMB</t>
        </is>
      </c>
      <c r="B5" s="5" t="inlineStr">
        <is>
          <t>&lt; $5M</t>
        </is>
      </c>
      <c r="C5" s="5" t="inlineStr">
        <is>
          <t>$18,400</t>
        </is>
      </c>
      <c r="D5" s="5" t="inlineStr">
        <is>
          <t>Top quartile spends 5–10× the median in every tier</t>
        </is>
      </c>
    </row>
    <row r="6">
      <c r="A6" s="5" t="inlineStr">
        <is>
          <t>Mid-market</t>
        </is>
      </c>
      <c r="B6" s="5" t="inlineStr">
        <is>
          <t>$5M – $50M</t>
        </is>
      </c>
      <c r="C6" s="5" t="inlineStr">
        <is>
          <t>$127,000</t>
        </is>
      </c>
      <c r="D6" s="5" t="inlineStr"/>
    </row>
    <row r="7">
      <c r="A7" s="5" t="inlineStr">
        <is>
          <t>Enterprise</t>
        </is>
      </c>
      <c r="B7" s="5" t="inlineStr">
        <is>
          <t>$50M+</t>
        </is>
      </c>
      <c r="C7" s="5" t="inlineStr">
        <is>
          <t>$1,400,000</t>
        </is>
      </c>
      <c r="D7" s="5" t="inlineStr">
        <is>
          <t>Financial services median $2.1M; tech/SaaS $1.6M</t>
        </is>
      </c>
    </row>
    <row r="9">
      <c r="A9" s="11" t="inlineStr">
        <is>
          <t>AI spend per employee per year (Presenc AI, May 2026)</t>
        </is>
      </c>
    </row>
    <row r="10">
      <c r="A10" s="12" t="inlineStr">
        <is>
          <t>Segment</t>
        </is>
      </c>
      <c r="B10" s="12" t="inlineStr">
        <is>
          <t>Employees</t>
        </is>
      </c>
      <c r="C10" s="12" t="inlineStr">
        <is>
          <t>Annual AI spend / employee</t>
        </is>
      </c>
      <c r="D10" s="12" t="inlineStr">
        <is>
          <t>Notes</t>
        </is>
      </c>
    </row>
    <row r="11">
      <c r="A11" s="5" t="inlineStr">
        <is>
          <t>Solopreneur / micro</t>
        </is>
      </c>
      <c r="B11" s="5" t="inlineStr">
        <is>
          <t>&lt; 10</t>
        </is>
      </c>
      <c r="C11" s="5" t="inlineStr">
        <is>
          <t>$200 – $600</t>
        </is>
      </c>
      <c r="D11" s="5" t="inlineStr">
        <is>
          <t>ChatGPT Plus + Claude + Cursor + Perplexity is roughly the floor</t>
        </is>
      </c>
    </row>
    <row r="12">
      <c r="A12" s="5" t="inlineStr">
        <is>
          <t>Small business</t>
        </is>
      </c>
      <c r="B12" s="5" t="inlineStr">
        <is>
          <t>10–49</t>
        </is>
      </c>
      <c r="C12" s="5" t="inlineStr">
        <is>
          <t>$500 – $1,000</t>
        </is>
      </c>
      <c r="D12" s="5" t="inlineStr">
        <is>
          <t>Heavy reliance on free-tier consumer AI</t>
        </is>
      </c>
    </row>
    <row r="13">
      <c r="A13" s="5" t="inlineStr">
        <is>
          <t>SMB</t>
        </is>
      </c>
      <c r="B13" s="5" t="inlineStr">
        <is>
          <t>50–249</t>
        </is>
      </c>
      <c r="C13" s="5" t="inlineStr">
        <is>
          <t>$900 – $1,400</t>
        </is>
      </c>
      <c r="D13" s="5" t="inlineStr">
        <is>
          <t>Mix of flagship tools and free tiers</t>
        </is>
      </c>
    </row>
    <row r="14">
      <c r="A14" s="5" t="inlineStr">
        <is>
          <t>Mid-market</t>
        </is>
      </c>
      <c r="B14" s="5" t="inlineStr">
        <is>
          <t>250–999</t>
        </is>
      </c>
      <c r="C14" s="5" t="inlineStr">
        <is>
          <t>$1,500 – $2,000</t>
        </is>
      </c>
      <c r="D14" s="5" t="inlineStr">
        <is>
          <t>Higher per-capita than enterprise (less procurement leverage)</t>
        </is>
      </c>
    </row>
    <row r="15">
      <c r="A15" s="5" t="inlineStr">
        <is>
          <t>Enterprise</t>
        </is>
      </c>
      <c r="B15" s="5" t="inlineStr">
        <is>
          <t>1,000+</t>
        </is>
      </c>
      <c r="C15" s="5" t="inlineStr">
        <is>
          <t>~$1,240 (avg)</t>
        </is>
      </c>
      <c r="D15" s="5" t="inlineStr">
        <is>
          <t>Financial services $3,200; tech $2,400; public sector $400</t>
        </is>
      </c>
    </row>
    <row r="17">
      <c r="A17" s="11" t="inlineStr">
        <is>
          <t>Token / LLM API consumption spend (metered usage only)</t>
        </is>
      </c>
    </row>
    <row r="18">
      <c r="A18" s="12" t="inlineStr">
        <is>
          <t>Metric</t>
        </is>
      </c>
      <c r="B18" s="12" t="inlineStr">
        <is>
          <t>Value</t>
        </is>
      </c>
      <c r="C18" s="12" t="inlineStr">
        <is>
          <t>Range / percentiles</t>
        </is>
      </c>
      <c r="D18" s="12" t="inlineStr">
        <is>
          <t>Source</t>
        </is>
      </c>
    </row>
    <row r="19">
      <c r="A19" s="5" t="inlineStr">
        <is>
          <t>Enterprise API consumption, per employee/month</t>
        </is>
      </c>
      <c r="B19" s="5" t="inlineStr">
        <is>
          <t>$8 (median)</t>
        </is>
      </c>
      <c r="C19" s="5" t="inlineStr">
        <is>
          <t>$2 – $24</t>
        </is>
      </c>
      <c r="D19" s="5" t="inlineStr">
        <is>
          <t>VendorBenchmark GenAI cohort 2026</t>
        </is>
      </c>
    </row>
    <row r="20">
      <c r="A20" s="5" t="inlineStr">
        <is>
          <t>Token spend share of GenAI budget</t>
        </is>
      </c>
      <c r="B20" s="5" t="inlineStr">
        <is>
          <t>22–38%</t>
        </is>
      </c>
      <c r="C20" s="5" t="inlineStr">
        <is>
          <t>Copilot licenses are 38–52%</t>
        </is>
      </c>
      <c r="D20" s="5" t="inlineStr">
        <is>
          <t>VendorBenchmark GenAI cohort 2026</t>
        </is>
      </c>
    </row>
    <row r="21">
      <c r="A21" s="5" t="inlineStr">
        <is>
          <t>Median company token spend / month</t>
        </is>
      </c>
      <c r="B21" s="5" t="inlineStr">
        <is>
          <t>$2,246</t>
        </is>
      </c>
      <c r="C21" s="5" t="inlineStr">
        <is>
          <t>Avg $140,842 (power-law skew)</t>
        </is>
      </c>
      <c r="D21" s="5" t="inlineStr">
        <is>
          <t>Ramp AI Index, Apr 2026</t>
        </is>
      </c>
    </row>
    <row r="22">
      <c r="A22" s="5" t="inlineStr">
        <is>
          <t>Token spend percentiles / month</t>
        </is>
      </c>
      <c r="B22" s="5" t="inlineStr">
        <is>
          <t>p75: $14,843</t>
        </is>
      </c>
      <c r="C22" s="5" t="inlineStr">
        <is>
          <t>p90: $73,030 · p95: $211,409 · p99: $831,338</t>
        </is>
      </c>
      <c r="D22" s="5" t="inlineStr">
        <is>
          <t>Ramp AI Index, Apr 2026</t>
        </is>
      </c>
    </row>
    <row r="23">
      <c r="A23" s="5" t="inlineStr">
        <is>
          <t>Median token spend per employee/month</t>
        </is>
      </c>
      <c r="B23" s="5" t="inlineStr">
        <is>
          <t>$11.38</t>
        </is>
      </c>
      <c r="C23" s="5" t="inlineStr">
        <is>
          <t>Top 10%: $611 · Top 1%: $7,450</t>
        </is>
      </c>
      <c r="D23" s="5" t="inlineStr">
        <is>
          <t>Ramp AI Index, Jun 2026</t>
        </is>
      </c>
    </row>
    <row r="24">
      <c r="A24" s="5" t="inlineStr">
        <is>
          <t>Median PEPM by model-usage depth</t>
        </is>
      </c>
      <c r="B24" s="5" t="inlineStr">
        <is>
          <t>$46 (overall)</t>
        </is>
      </c>
      <c r="C24" s="5" t="inlineStr">
        <is>
          <t>4–10 models: $28 · 11–25: $130 · 26+: $442</t>
        </is>
      </c>
      <c r="D24" s="5" t="inlineStr">
        <is>
          <t>Ramp AI Index, Apr 2026</t>
        </is>
      </c>
    </row>
    <row r="25">
      <c r="A25" s="5" t="inlineStr">
        <is>
          <t>Typical Fortune 500 annual AI cost</t>
        </is>
      </c>
      <c r="B25" s="5" t="inlineStr">
        <is>
          <t>$30M+</t>
        </is>
      </c>
      <c r="C25" s="5" t="inlineStr">
        <is>
          <t>Agents use 30–60× more tokens/task than chat</t>
        </is>
      </c>
      <c r="D25" s="5" t="inlineStr">
        <is>
          <t>Alvarez &amp; Marsal, 2026</t>
        </is>
      </c>
    </row>
    <row r="27">
      <c r="A27" s="11" t="inlineStr">
        <is>
          <t>Token consumption volume (document/agent workloads, iternal.ai 2026)</t>
        </is>
      </c>
    </row>
    <row r="28">
      <c r="A28" s="12" t="inlineStr">
        <is>
          <t>Scenario</t>
        </is>
      </c>
      <c r="B28" s="12" t="inlineStr">
        <is>
          <t>Volume</t>
        </is>
      </c>
      <c r="C28" s="12" t="inlineStr">
        <is>
          <t>Tokens / month</t>
        </is>
      </c>
      <c r="D28" s="12" t="inlineStr">
        <is>
          <t>Notes</t>
        </is>
      </c>
    </row>
    <row r="29">
      <c r="A29" s="5" t="inlineStr">
        <is>
          <t>Small business (invoices)</t>
        </is>
      </c>
      <c r="B29" s="5" t="inlineStr">
        <is>
          <t>500 docs/mo</t>
        </is>
      </c>
      <c r="C29" s="5" t="inlineStr">
        <is>
          <t>~1.25M – 2.75M</t>
        </is>
      </c>
      <c r="D29" s="5" t="inlineStr"/>
    </row>
    <row r="30">
      <c r="A30" s="5" t="inlineStr">
        <is>
          <t>Mid-market (mixed docs)</t>
        </is>
      </c>
      <c r="B30" s="5" t="inlineStr">
        <is>
          <t>5,000 docs/mo</t>
        </is>
      </c>
      <c r="C30" s="5" t="inlineStr">
        <is>
          <t>~25M – 75M</t>
        </is>
      </c>
      <c r="D30" s="5" t="inlineStr"/>
    </row>
    <row r="31">
      <c r="A31" s="5" t="inlineStr">
        <is>
          <t>Enterprise (high volume)</t>
        </is>
      </c>
      <c r="B31" s="5" t="inlineStr">
        <is>
          <t>50,000 docs/mo</t>
        </is>
      </c>
      <c r="C31" s="5" t="inlineStr">
        <is>
          <t>~250M – 750M</t>
        </is>
      </c>
      <c r="D31" s="5" t="inlineStr"/>
    </row>
    <row r="32">
      <c r="A32" s="5" t="inlineStr">
        <is>
          <t>Large enterprise (batch)</t>
        </is>
      </c>
      <c r="B32" s="5" t="inlineStr">
        <is>
          <t>500,000 docs/mo</t>
        </is>
      </c>
      <c r="C32" s="5" t="inlineStr">
        <is>
          <t>~2.5B – 7.5B</t>
        </is>
      </c>
      <c r="D32" s="5" t="inlineStr">
        <is>
          <t>Enterprise support ops can reach 1.5–2.5B/mo</t>
        </is>
      </c>
    </row>
    <row r="34">
      <c r="A34" s="11" t="inlineStr">
        <is>
          <t>AI as % of IT budget</t>
        </is>
      </c>
    </row>
    <row r="35">
      <c r="A35" s="12" t="inlineStr">
        <is>
          <t>Metric</t>
        </is>
      </c>
      <c r="B35" s="12" t="inlineStr">
        <is>
          <t>Value</t>
        </is>
      </c>
      <c r="C35" s="12" t="inlineStr">
        <is>
          <t>Trend</t>
        </is>
      </c>
      <c r="D35" s="12" t="inlineStr">
        <is>
          <t>Source</t>
        </is>
      </c>
    </row>
    <row r="36">
      <c r="A36" s="5" t="inlineStr">
        <is>
          <t>Average IT budget share allocated to AI</t>
        </is>
      </c>
      <c r="B36" s="5" t="inlineStr">
        <is>
          <t>18% (2026)</t>
        </is>
      </c>
      <c r="C36" s="5" t="inlineStr">
        <is>
          <t>Up from 11% in 2024</t>
        </is>
      </c>
      <c r="D36" s="5" t="inlineStr">
        <is>
          <t>AIStackHub / Gartner-derived</t>
        </is>
      </c>
    </row>
    <row r="37">
      <c r="A37" s="5" t="inlineStr">
        <is>
          <t>Mid-market AI share of IT budget</t>
        </is>
      </c>
      <c r="B37" s="5" t="inlineStr">
        <is>
          <t>12–18%</t>
        </is>
      </c>
      <c r="C37" s="5" t="inlineStr">
        <is>
          <t>Fastest-growing IT line item, passed cybersecurity</t>
        </is>
      </c>
      <c r="D37" s="5" t="inlineStr">
        <is>
          <t>Deloitte 2025 via aisavvy.io</t>
        </is>
      </c>
    </row>
    <row r="38">
      <c r="A38" s="5" t="inlineStr">
        <is>
          <t>Enterprise AI share of IT budget (common range)</t>
        </is>
      </c>
      <c r="B38" s="5" t="inlineStr">
        <is>
          <t>5–15%</t>
        </is>
      </c>
      <c r="C38" s="5" t="inlineStr">
        <is>
          <t>High performers commit 20%+ of digital budgets</t>
        </is>
      </c>
      <c r="D38" s="5" t="inlineStr">
        <is>
          <t>CIO surveys (Gartner, Deloitte, PwC) 2025–26</t>
        </is>
      </c>
    </row>
    <row r="39">
      <c r="A39" s="5" t="inlineStr">
        <is>
          <t>GenAI &amp; LLM tools share of total IT budget</t>
        </is>
      </c>
      <c r="B39" s="5" t="inlineStr">
        <is>
          <t>1.7%</t>
        </is>
      </c>
      <c r="C39" s="5" t="inlineStr">
        <is>
          <t>+156% YoY — fastest-growing category</t>
        </is>
      </c>
      <c r="D39" s="5" t="inlineStr">
        <is>
          <t>VendorBenchmark IT budget allocation 2026</t>
        </is>
      </c>
    </row>
    <row r="40">
      <c r="A40" s="5" t="inlineStr">
        <is>
          <t>Token usage growth</t>
        </is>
      </c>
      <c r="B40" s="5" t="inlineStr">
        <is>
          <t>+1,001%</t>
        </is>
      </c>
      <c r="C40" s="5" t="inlineStr">
        <is>
          <t>Jan 2025 → Apr 2026; spend grew 497% (prices fell)</t>
        </is>
      </c>
      <c r="D40" s="5" t="inlineStr">
        <is>
          <t>Ramp AI Index</t>
        </is>
      </c>
    </row>
    <row r="41">
      <c r="A41" s="5" t="inlineStr">
        <is>
          <t>Planning assumption for AI spend growth</t>
        </is>
      </c>
      <c r="B41" s="5" t="inlineStr">
        <is>
          <t>50–100% / year</t>
        </is>
      </c>
      <c r="C41" s="5" t="inlineStr">
        <is>
          <t>Goldman Sachs: global tokens ×24 by 2030</t>
        </is>
      </c>
      <c r="D41" s="5" t="inlineStr">
        <is>
          <t>Ramp / Goldman Sachs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  <col width="60" customWidth="1" min="3" max="3"/>
  </cols>
  <sheetData>
    <row r="1">
      <c r="A1" s="1" t="inlineStr">
        <is>
          <t>Methodology, Caveats and Sources</t>
        </is>
      </c>
    </row>
    <row r="3" ht="68" customHeight="1">
      <c r="A3" s="11" t="inlineStr">
        <is>
          <t>Methodology</t>
        </is>
      </c>
      <c r="B3" s="13" t="inlineStr">
        <is>
          <t>The Summary sheet is a model, not a survey: for each company-size segment a representative headcount and revenue are chosen, the median IT-budget-as-%-of-revenue benchmark is applied to estimate the IT budget, and per-employee-per-month (PEPM) benchmarks are applied to estimate total AI spend and token/API spend. Token % of IT budget = estimated annual token spend ÷ estimated annual IT budget. All computed cells are formulas, so assumptions can be edited.</t>
        </is>
      </c>
    </row>
    <row r="4" ht="68" customHeight="1">
      <c r="A4" s="11" t="inlineStr">
        <is>
          <t>Caveat — definitions vary</t>
        </is>
      </c>
      <c r="B4" s="13" t="inlineStr">
        <is>
          <t>'Token consumption' here means metered, usage-based LLM API spend. Some sources report total AI budgets (licenses + usage + infrastructure + talent + implementation), which are 3–10× larger than token spend alone. Size taxonomies also differ across sources (headcount vs. revenue bands).</t>
        </is>
      </c>
    </row>
    <row r="5" ht="68" customHeight="1">
      <c r="A5" s="11" t="inlineStr">
        <is>
          <t>Caveat — extreme variance</t>
        </is>
      </c>
      <c r="B5" s="13" t="inlineStr">
        <is>
          <t>AI spend follows a power-law distribution: Ramp's April 2026 data shows a median of $2,246/month vs. an average of $140,842/month. Top-quartile spenders run 5–10× the median in every size tier. Industry matters more than size: financial services and tech/SaaS spend 2–3× the cross-industry average on both IT and AI.</t>
        </is>
      </c>
    </row>
    <row r="6" ht="68" customHeight="1">
      <c r="A6" s="11" t="inlineStr">
        <is>
          <t>Caveat — fast-moving data</t>
        </is>
      </c>
      <c r="B6" s="13" t="inlineStr">
        <is>
          <t>Token usage grew 1,001% between Jan 2025 and Apr 2026 while per-token prices fell ~80% year over year. Vendors moved enterprise contracts from flat seats to consumption pricing during 2025–26, so these benchmarks age quickly. Figures compiled August 2026.</t>
        </is>
      </c>
    </row>
    <row r="8">
      <c r="A8" s="11" t="inlineStr">
        <is>
          <t>Sources</t>
        </is>
      </c>
    </row>
    <row r="9">
      <c r="A9" s="12" t="inlineStr">
        <is>
          <t>Source</t>
        </is>
      </c>
      <c r="B9" s="12" t="inlineStr">
        <is>
          <t>What it provided</t>
        </is>
      </c>
      <c r="C9" s="12" t="inlineStr">
        <is>
          <t>URL</t>
        </is>
      </c>
    </row>
    <row r="10">
      <c r="A10" s="5" t="inlineStr">
        <is>
          <t>Ramp AI Index (Apr–Jun 2026)</t>
        </is>
      </c>
      <c r="B10" s="5" t="inlineStr">
        <is>
          <t>Company-level token spend distribution, PEPM medians/percentiles, usage growth</t>
        </is>
      </c>
      <c r="C10" s="14" t="inlineStr">
        <is>
          <t>https://ramp.com/blog/ai-token-cost-for-businesses</t>
        </is>
      </c>
    </row>
    <row r="11">
      <c r="A11" s="5" t="inlineStr">
        <is>
          <t>VendorBenchmark — Enterprise GenAI Cost Benchmark 2026</t>
        </is>
      </c>
      <c r="B11" s="5" t="inlineStr">
        <is>
          <t>GenAI PEPM cost breakdown; API consumption $8 PEPM median; token share of GenAI budget</t>
        </is>
      </c>
      <c r="C11" s="14" t="inlineStr">
        <is>
          <t>https://vendorbenchmark.com/guides/enterprise-genai-cost-benchmark-2026</t>
        </is>
      </c>
    </row>
    <row r="12">
      <c r="A12" s="5" t="inlineStr">
        <is>
          <t>VendorBenchmark — IT Spend as % of Revenue 2026</t>
        </is>
      </c>
      <c r="B12" s="5" t="inlineStr">
        <is>
          <t>IT budget benchmarks by revenue band and industry</t>
        </is>
      </c>
      <c r="C12" s="14" t="inlineStr">
        <is>
          <t>https://vendorbenchmark.com/blog/it-spend-percentage-revenue-2026-benchmark</t>
        </is>
      </c>
    </row>
    <row r="13">
      <c r="A13" s="5" t="inlineStr">
        <is>
          <t>VendorBenchmark — IT Budget Allocation 2026</t>
        </is>
      </c>
      <c r="B13" s="5" t="inlineStr">
        <is>
          <t>GenAI &amp; LLM tools = 1.7% of total IT budget, +156% YoY</t>
        </is>
      </c>
      <c r="C13" s="14" t="inlineStr">
        <is>
          <t>https://vendorbenchmark.com/blog/it-budget-allocation-benchmark-breakdown</t>
        </is>
      </c>
    </row>
    <row r="14">
      <c r="A14" s="5" t="inlineStr">
        <is>
          <t>ITBudgetCalculator (Deloitte 2022 baseline)</t>
        </is>
      </c>
      <c r="B14" s="5" t="inlineStr">
        <is>
          <t>IT budget % of revenue by headcount segment; 5.49% cross-industry average</t>
        </is>
      </c>
      <c r="C14" s="14" t="inlineStr">
        <is>
          <t>https://itbudgetcalculator.com/average-it-budget</t>
        </is>
      </c>
    </row>
    <row r="15">
      <c r="A15" s="5" t="inlineStr">
        <is>
          <t>AIStackHub — AI Spending by Industry 2026</t>
        </is>
      </c>
      <c r="B15" s="5" t="inlineStr">
        <is>
          <t>Median AI spend by size tier ($18K / $127K / $1.4M); AI = 18% of IT budget</t>
        </is>
      </c>
      <c r="C15" s="14" t="inlineStr">
        <is>
          <t>https://aistackhub.ai/ai-spending-by-industry</t>
        </is>
      </c>
    </row>
    <row r="16">
      <c r="A16" s="5" t="inlineStr">
        <is>
          <t>Presenc AI — AI Spend per Employee 2026</t>
        </is>
      </c>
      <c r="B16" s="5" t="inlineStr">
        <is>
          <t>Per-employee AI spend by company size and industry</t>
        </is>
      </c>
      <c r="C16" s="14" t="inlineStr">
        <is>
          <t>https://presenc.ai/research/ai-spend-per-employee-2026</t>
        </is>
      </c>
    </row>
    <row r="17">
      <c r="A17" s="5" t="inlineStr">
        <is>
          <t>iternal.ai — Token Usage Guide 2026</t>
        </is>
      </c>
      <c r="B17" s="5" t="inlineStr">
        <is>
          <t>Token volume per month by workload scale</t>
        </is>
      </c>
      <c r="C17" s="14" t="inlineStr">
        <is>
          <t>https://iternal.ai/token-usage-guide</t>
        </is>
      </c>
    </row>
    <row r="18">
      <c r="A18" s="5" t="inlineStr">
        <is>
          <t>aisavvy.io — 2026 CFO Benchmarks</t>
        </is>
      </c>
      <c r="B18" s="5" t="inlineStr">
        <is>
          <t>Mid-market AI budget = 2–5% of revenue; AI = 12–18% of IT budget</t>
        </is>
      </c>
      <c r="C18" s="14" t="inlineStr">
        <is>
          <t>https://aisavvy.io/insights/how-much-should-we-budget-for-ai-this-year</t>
        </is>
      </c>
    </row>
    <row r="19">
      <c r="A19" s="5" t="inlineStr">
        <is>
          <t>Alvarez &amp; Marsal — End of the AI Flat-Rate Era</t>
        </is>
      </c>
      <c r="B19" s="5" t="inlineStr">
        <is>
          <t>Fortune 500 $30M+ annual AI cost; agentic token multipliers; pricing shift</t>
        </is>
      </c>
      <c r="C19" s="14" t="inlineStr">
        <is>
          <t>https://alvarezandmarsal-crg.com/insight/the-end-of-the-ai-flat-rate-era/</t>
        </is>
      </c>
    </row>
    <row r="20">
      <c r="A20" s="5" t="inlineStr">
        <is>
          <t>Alice Labs — AI Automation ROI Benchmark 2026</t>
        </is>
      </c>
      <c r="B20" s="5" t="inlineStr">
        <is>
          <t>Enterprise AI = 5–15% of IT budget (CIO survey synthesis)</t>
        </is>
      </c>
      <c r="C20" s="14" t="inlineStr">
        <is>
          <t>https://alicelabs.ai/reports/ai-automation-roi-benchmark-2026</t>
        </is>
      </c>
    </row>
  </sheetData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2026-08-29T09:47:42Z</dcterms:created>
  <dcterms:modified xsi:type="dcterms:W3CDTF">2026-08-29T09:47:42Z</dcterms:modified>
</cp:coreProperties>
</file>