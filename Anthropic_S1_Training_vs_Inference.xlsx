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Training vs Inference" sheetId="2" state="visible" r:id="rId2"/>
    <sheet name="ARR and New ARR" sheetId="3" state="visible" r:id="rId3"/>
    <sheet name="Revenue Mix and Margins" sheetId="4" state="visible" r:id="rId4"/>
    <sheet name="Quarterly PnL" sheetId="5" state="visible" r:id="rId5"/>
    <sheet name="Annual PnL" sheetId="6" state="visible" r:id="rId6"/>
    <sheet name="Customers and KPIs" sheetId="7" state="visible" r:id="rId7"/>
    <sheet name="Compute Commitments" sheetId="8" state="visible" r:id="rId8"/>
    <sheet name="Inputs" sheetId="9" state="visible" r:id="rId9"/>
    <sheet name="Checks" sheetId="10" state="visible" r:id="rId10"/>
    <sheet name="Sources" sheetId="11" state="visible" r:id="rId11"/>
  </sheets>
  <definedNames>
    <definedName name="_xlnm.Print_Titles" localSheetId="0">'Cover'!$1:$3</definedName>
    <definedName name="_xlnm.Print_Titles" localSheetId="1">'Training vs Inference'!$1:$7</definedName>
    <definedName name="_xlnm.Print_Titles" localSheetId="2">'ARR and New ARR'!$1:$4</definedName>
    <definedName name="_xlnm.Print_Titles" localSheetId="3">'Revenue Mix and Margins'!$1:$7</definedName>
    <definedName name="_xlnm.Print_Titles" localSheetId="4">'Quarterly PnL'!$1:$3</definedName>
    <definedName name="_xlnm.Print_Titles" localSheetId="5">'Annual PnL'!$1:$3</definedName>
    <definedName name="_xlnm.Print_Titles" localSheetId="6">'Customers and KPIs'!$1:$3</definedName>
    <definedName name="_xlnm.Print_Titles" localSheetId="7">'Compute Commitments'!$1:$3</definedName>
    <definedName name="_xlnm.Print_Titles" localSheetId="8">'Inputs'!$1:$5</definedName>
    <definedName name="_xlnm.Print_Titles" localSheetId="9">'Checks'!$1:$3</definedName>
    <definedName name="_xlnm.Print_Titles" localSheetId="10">'Sources'!$1:$3</definedName>
  </definedNames>
  <calcPr calcId="124519" calcMode="auto" fullCalcOnLoad="1"/>
</workbook>
</file>

<file path=xl/styles.xml><?xml version="1.0" encoding="utf-8"?>
<styleSheet xmlns="http://schemas.openxmlformats.org/spreadsheetml/2006/main">
  <numFmts count="3">
    <numFmt numFmtId="164" formatCode="#,##0;(#,##0);&quot;—&quot;"/>
    <numFmt numFmtId="165" formatCode="0.0%;(0.0%);&quot;—&quot;"/>
    <numFmt numFmtId="166" formatCode="0.0"/>
  </numFmts>
  <fonts count="10">
    <font>
      <name val="Calibri"/>
      <family val="2"/>
      <color theme="1"/>
      <sz val="11"/>
      <scheme val="minor"/>
    </font>
    <font>
      <name val="Calibri"/>
      <b val="1"/>
      <color rgb="001B3A4B"/>
      <sz val="20"/>
    </font>
    <font>
      <name val="Calibri"/>
      <color rgb="0057534E"/>
      <sz val="9"/>
    </font>
    <font>
      <name val="Calibri"/>
      <b val="1"/>
      <color rgb="001B3A4B"/>
      <sz val="11"/>
    </font>
    <font>
      <name val="Calibri"/>
      <b val="1"/>
      <color rgb="00FFFFFF"/>
      <sz val="10"/>
    </font>
    <font>
      <name val="Calibri"/>
      <b val="1"/>
      <color rgb="001C1917"/>
      <sz val="10"/>
    </font>
    <font>
      <name val="Calibri"/>
      <color rgb="001D4E89"/>
      <sz val="10"/>
    </font>
    <font>
      <name val="Calibri"/>
      <color rgb="001C1917"/>
      <sz val="10"/>
    </font>
    <font>
      <name val="Calibri"/>
      <b val="1"/>
      <color rgb="001F6A62"/>
      <sz val="14"/>
    </font>
    <font>
      <name val="Calibri"/>
      <i val="1"/>
      <color rgb="001F6A62"/>
      <sz val="10"/>
    </font>
  </fonts>
  <fills count="12">
    <fill>
      <patternFill/>
    </fill>
    <fill>
      <patternFill patternType="gray125"/>
    </fill>
    <fill>
      <patternFill patternType="solid">
        <fgColor rgb="00FBF7F1"/>
      </patternFill>
    </fill>
    <fill>
      <patternFill patternType="solid">
        <fgColor rgb="001B3A4B"/>
      </patternFill>
    </fill>
    <fill>
      <patternFill patternType="solid">
        <fgColor rgb="00FFFFFF"/>
      </patternFill>
    </fill>
    <fill>
      <patternFill patternType="solid">
        <fgColor rgb="00F4F7FB"/>
      </patternFill>
    </fill>
    <fill>
      <patternFill patternType="solid">
        <fgColor rgb="00E6EEF0"/>
      </patternFill>
    </fill>
    <fill>
      <patternFill patternType="solid">
        <fgColor rgb="00FFF6E4"/>
      </patternFill>
    </fill>
    <fill>
      <patternFill patternType="solid">
        <fgColor rgb="00E7F3EE"/>
      </patternFill>
    </fill>
    <fill>
      <patternFill patternType="solid">
        <fgColor rgb="00F3EADA"/>
      </patternFill>
    </fill>
    <fill>
      <patternFill patternType="solid">
        <fgColor rgb="00FDECEC"/>
      </patternFill>
    </fill>
    <fill>
      <patternFill patternType="solid">
        <fgColor rgb="00E5F2E9"/>
      </patternFill>
    </fill>
  </fills>
  <borders count="6">
    <border>
      <left/>
      <right/>
      <top/>
      <bottom/>
      <diagonal/>
    </border>
    <border>
      <left style="thin">
        <color rgb="00E7E0D6"/>
      </left>
      <right style="thin">
        <color rgb="00E7E0D6"/>
      </right>
      <top style="thin">
        <color rgb="00E7E0D6"/>
      </top>
      <bottom style="thin">
        <color rgb="00E7E0D6"/>
      </bottom>
    </border>
    <border>
      <left/>
      <right/>
      <top style="thin">
        <color rgb="00E7E0D6"/>
      </top>
      <bottom/>
      <diagonal/>
    </border>
    <border>
      <left/>
      <right style="thin">
        <color rgb="00E7E0D6"/>
      </right>
      <top style="thin">
        <color rgb="00E7E0D6"/>
      </top>
      <bottom/>
      <diagonal/>
    </border>
    <border>
      <left/>
      <right/>
      <top style="thin">
        <color rgb="00E7E0D6"/>
      </top>
      <bottom style="thin">
        <color rgb="00E7E0D6"/>
      </bottom>
      <diagonal/>
    </border>
    <border>
      <left/>
      <right style="thin">
        <color rgb="00E7E0D6"/>
      </right>
      <top style="thin">
        <color rgb="00E7E0D6"/>
      </top>
      <bottom style="thin">
        <color rgb="00E7E0D6"/>
      </bottom>
      <diagonal/>
    </border>
  </borders>
  <cellStyleXfs count="1">
    <xf numFmtId="0" fontId="0" fillId="0" borderId="0"/>
  </cellStyleXfs>
  <cellXfs count="58">
    <xf numFmtId="0" fontId="0" fillId="0" borderId="0" pivotButton="0" quotePrefix="0" xfId="0"/>
    <xf numFmtId="0" fontId="1" fillId="0" borderId="0" applyAlignment="1" pivotButton="0" quotePrefix="0" xfId="0">
      <alignment horizontal="left" vertical="center" wrapText="1"/>
    </xf>
    <xf numFmtId="0" fontId="8" fillId="0" borderId="0" applyAlignment="1" pivotButton="0" quotePrefix="0" xfId="0">
      <alignment horizontal="left" vertical="center" wrapText="1"/>
    </xf>
    <xf numFmtId="0" fontId="2" fillId="2" borderId="0" applyAlignment="1" pivotButton="0" quotePrefix="0" xfId="0">
      <alignment horizontal="left" vertical="center" wrapText="1"/>
    </xf>
    <xf numFmtId="0" fontId="0" fillId="2" borderId="0" pivotButton="0" quotePrefix="0" xfId="0"/>
    <xf numFmtId="0" fontId="3" fillId="6" borderId="1" applyAlignment="1" pivotButton="0" quotePrefix="0" xfId="0">
      <alignment horizontal="left" vertical="center" wrapText="1"/>
    </xf>
    <xf numFmtId="0" fontId="3" fillId="6" borderId="1" pivotButton="0" quotePrefix="0" xfId="0"/>
    <xf numFmtId="0" fontId="7" fillId="4" borderId="1" applyAlignment="1" pivotButton="0" quotePrefix="0" xfId="0">
      <alignment horizontal="left" vertical="top" wrapText="1"/>
    </xf>
    <xf numFmtId="0" fontId="0" fillId="4" borderId="1" pivotButton="0" quotePrefix="0" xfId="0"/>
    <xf numFmtId="0" fontId="4" fillId="3" borderId="1" applyAlignment="1" pivotButton="0" quotePrefix="0" xfId="0">
      <alignment horizontal="center" vertical="center" wrapText="1"/>
    </xf>
    <xf numFmtId="0" fontId="7" fillId="4" borderId="1" applyAlignment="1" pivotButton="0" quotePrefix="0" xfId="0">
      <alignment horizontal="left" vertical="center" wrapText="1"/>
    </xf>
    <xf numFmtId="164" fontId="7" fillId="8" borderId="1" applyAlignment="1" pivotButton="0" quotePrefix="0" xfId="0">
      <alignment horizontal="center" vertical="center" wrapText="1"/>
    </xf>
    <xf numFmtId="0" fontId="9" fillId="4" borderId="1" applyAlignment="1" pivotButton="0" quotePrefix="0" xfId="0">
      <alignment horizontal="left" vertical="center" wrapText="1"/>
    </xf>
    <xf numFmtId="164" fontId="7" fillId="9" borderId="1" applyAlignment="1" pivotButton="0" quotePrefix="0" xfId="0">
      <alignment horizontal="center" vertical="center" wrapText="1"/>
    </xf>
    <xf numFmtId="165" fontId="7" fillId="9" borderId="1" applyAlignment="1" pivotButton="0" quotePrefix="0" xfId="0">
      <alignment horizontal="center" vertical="center" wrapText="1"/>
    </xf>
    <xf numFmtId="165" fontId="7" fillId="8" borderId="1" applyAlignment="1" pivotButton="0" quotePrefix="0" xfId="0">
      <alignment horizontal="center" vertical="center" wrapText="1"/>
    </xf>
    <xf numFmtId="0" fontId="5" fillId="6" borderId="1" applyAlignment="1" pivotButton="0" quotePrefix="0" xfId="0">
      <alignment horizontal="left" vertical="center" wrapText="1"/>
    </xf>
    <xf numFmtId="0" fontId="2" fillId="2" borderId="0" applyAlignment="1" pivotButton="0" quotePrefix="0" xfId="0">
      <alignment horizontal="left" vertical="top" wrapText="1"/>
    </xf>
    <xf numFmtId="0" fontId="2" fillId="2" borderId="1" applyAlignment="1" pivotButton="0" quotePrefix="0" xfId="0">
      <alignment horizontal="left" vertical="top" wrapText="1"/>
    </xf>
    <xf numFmtId="0" fontId="0" fillId="2" borderId="1" pivotButton="0" quotePrefix="0" xfId="0"/>
    <xf numFmtId="0" fontId="5" fillId="4" borderId="1" applyAlignment="1" pivotButton="0" quotePrefix="0" xfId="0">
      <alignment horizontal="left" vertical="center" wrapText="1"/>
    </xf>
    <xf numFmtId="0" fontId="2" fillId="4" borderId="1" applyAlignment="1" pivotButton="0" quotePrefix="0" xfId="0">
      <alignment horizontal="left" vertical="center" wrapText="1"/>
    </xf>
    <xf numFmtId="0" fontId="5" fillId="9" borderId="1" applyAlignment="1" pivotButton="0" quotePrefix="0" xfId="0">
      <alignment horizontal="left" vertical="center" wrapText="1"/>
    </xf>
    <xf numFmtId="165" fontId="7" fillId="7" borderId="1" applyAlignment="1" pivotButton="0" quotePrefix="0" xfId="0">
      <alignment horizontal="center" vertical="center" wrapText="1"/>
    </xf>
    <xf numFmtId="0" fontId="2" fillId="0" borderId="0" pivotButton="0" quotePrefix="0" xfId="0"/>
    <xf numFmtId="0" fontId="2" fillId="0" borderId="0" applyAlignment="1" pivotButton="0" quotePrefix="0" xfId="0">
      <alignment horizontal="center" vertical="center" wrapText="1"/>
    </xf>
    <xf numFmtId="164" fontId="2" fillId="0" borderId="0" pivotButton="0" quotePrefix="0" xfId="0"/>
    <xf numFmtId="0" fontId="7" fillId="4" borderId="1" applyAlignment="1" pivotButton="0" quotePrefix="0" xfId="0">
      <alignment horizontal="center" vertical="center" wrapText="1"/>
    </xf>
    <xf numFmtId="0" fontId="5" fillId="10" borderId="1" applyAlignment="1" pivotButton="0" quotePrefix="0" xfId="0">
      <alignment horizontal="center" vertical="center" wrapText="1"/>
    </xf>
    <xf numFmtId="0" fontId="2" fillId="10" borderId="1" applyAlignment="1" pivotButton="0" quotePrefix="0" xfId="0">
      <alignment horizontal="left" vertical="center" wrapText="1"/>
    </xf>
    <xf numFmtId="0" fontId="0" fillId="10" borderId="1" pivotButton="0" quotePrefix="0" xfId="0"/>
    <xf numFmtId="0" fontId="5" fillId="4" borderId="1" applyAlignment="1" pivotButton="0" quotePrefix="0" xfId="0">
      <alignment horizontal="center" vertical="center" wrapText="1"/>
    </xf>
    <xf numFmtId="164" fontId="7" fillId="7" borderId="1" applyAlignment="1" pivotButton="0" quotePrefix="0" xfId="0">
      <alignment horizontal="center" vertical="center" wrapText="1"/>
    </xf>
    <xf numFmtId="0" fontId="7" fillId="10" borderId="1" applyAlignment="1" pivotButton="0" quotePrefix="0" xfId="0">
      <alignment horizontal="center" vertical="center" wrapText="1"/>
    </xf>
    <xf numFmtId="166" fontId="6" fillId="7" borderId="1" applyAlignment="1" pivotButton="0" quotePrefix="0" xfId="0">
      <alignment horizontal="center" vertical="center" wrapText="1"/>
    </xf>
    <xf numFmtId="0" fontId="0" fillId="0" borderId="1" pivotButton="0" quotePrefix="0" xfId="0"/>
    <xf numFmtId="3" fontId="6" fillId="7" borderId="1" applyAlignment="1" pivotButton="0" quotePrefix="0" xfId="0">
      <alignment horizontal="center" vertical="center" wrapText="1"/>
    </xf>
    <xf numFmtId="0" fontId="2" fillId="9" borderId="1" applyAlignment="1" pivotButton="0" quotePrefix="0" xfId="0">
      <alignment horizontal="left" vertical="center" wrapText="1"/>
    </xf>
    <xf numFmtId="0" fontId="4" fillId="3" borderId="0" applyAlignment="1" pivotButton="0" quotePrefix="0" xfId="0">
      <alignment horizontal="center" vertical="center" wrapText="1"/>
    </xf>
    <xf numFmtId="0" fontId="4" fillId="3" borderId="0" pivotButton="0" quotePrefix="0" xfId="0"/>
    <xf numFmtId="0" fontId="5" fillId="11" borderId="1" applyAlignment="1" pivotButton="0" quotePrefix="0" xfId="0">
      <alignment horizontal="center" vertical="center" wrapText="1"/>
    </xf>
    <xf numFmtId="164" fontId="6" fillId="7" borderId="1" applyAlignment="1" pivotButton="0" quotePrefix="0" xfId="0">
      <alignment horizontal="center" vertical="center" wrapText="1"/>
    </xf>
    <xf numFmtId="0" fontId="3" fillId="6" borderId="4" pivotButton="0" quotePrefix="0" xfId="0"/>
    <xf numFmtId="0" fontId="3" fillId="6" borderId="5" pivotButton="0" quotePrefix="0" xfId="0"/>
    <xf numFmtId="0" fontId="0" fillId="6" borderId="4" pivotButton="0" quotePrefix="0" xfId="0"/>
    <xf numFmtId="0" fontId="0" fillId="6" borderId="5" pivotButton="0" quotePrefix="0" xfId="0"/>
    <xf numFmtId="3" fontId="6" fillId="5" borderId="1" applyAlignment="1" pivotButton="0" quotePrefix="0" xfId="0">
      <alignment horizontal="center" vertical="center" wrapText="1"/>
    </xf>
    <xf numFmtId="164" fontId="6" fillId="5" borderId="1" applyAlignment="1" pivotButton="0" quotePrefix="0" xfId="0">
      <alignment horizontal="center" vertical="center" wrapText="1"/>
    </xf>
    <xf numFmtId="165" fontId="6" fillId="5" borderId="1" applyAlignment="1" pivotButton="0" quotePrefix="0" xfId="0">
      <alignment horizontal="center" vertical="center" wrapText="1"/>
    </xf>
    <xf numFmtId="165" fontId="6" fillId="7" borderId="1" applyAlignment="1" pivotButton="0" quotePrefix="0" xfId="0">
      <alignment horizontal="center" vertical="center" wrapText="1"/>
    </xf>
    <xf numFmtId="0" fontId="7" fillId="5" borderId="1" applyAlignment="1" pivotButton="0" quotePrefix="0" xfId="0">
      <alignment horizontal="center" vertical="center" wrapText="1"/>
    </xf>
    <xf numFmtId="0" fontId="5" fillId="5" borderId="1" applyAlignment="1" pivotButton="0" quotePrefix="0" xfId="0">
      <alignment horizontal="center" vertical="center" wrapText="1"/>
    </xf>
    <xf numFmtId="0" fontId="2" fillId="4" borderId="1" applyAlignment="1" pivotButton="0" quotePrefix="0" xfId="0">
      <alignment horizontal="center" vertical="center" wrapText="1"/>
    </xf>
    <xf numFmtId="0" fontId="5" fillId="9" borderId="1" applyAlignment="1" pivotButton="0" quotePrefix="0" xfId="0">
      <alignment horizontal="center" vertical="center" wrapText="1"/>
    </xf>
    <xf numFmtId="0" fontId="1" fillId="2" borderId="0" applyAlignment="1" pivotButton="0" quotePrefix="0" xfId="0">
      <alignment horizontal="left" vertical="center" wrapText="1"/>
    </xf>
    <xf numFmtId="0" fontId="3" fillId="0" borderId="0" pivotButton="0" quotePrefix="0" xfId="0"/>
    <xf numFmtId="0" fontId="5" fillId="0" borderId="1" applyAlignment="1" pivotButton="0" quotePrefix="0" xfId="0">
      <alignment horizontal="center" vertical="center" wrapText="1"/>
    </xf>
    <xf numFmtId="0" fontId="5" fillId="6" borderId="1" applyAlignment="1" pivotButton="0" quotePrefix="0" xfId="0">
      <alignment horizontal="left" vertical="top" wrapText="1"/>
    </xf>
  </cellXfs>
  <cellStyles count="1">
    <cellStyle name="Normal" xfId="0" builtinId="0" hidden="0"/>
  </cellStyles>
  <dxfs count="2">
    <dxf>
      <font>
        <name val="Calibri"/>
        <b val="1"/>
        <color rgb="00166534"/>
        <sz val="10"/>
      </font>
      <fill>
        <patternFill patternType="solid">
          <fgColor rgb="00E5F2E9"/>
        </patternFill>
      </fill>
    </dxf>
    <dxf>
      <font>
        <name val="Calibri"/>
        <b val="1"/>
        <color rgb="009C2F2F"/>
        <sz val="10"/>
      </font>
      <fill>
        <patternFill patternType="solid">
          <fgColor rgb="00FDECE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charts/chart1.xml><?xml version="1.0" encoding="utf-8"?>
<chartSpace xmlns:a="http://schemas.openxmlformats.org/drawingml/2006/main" xmlns="http://schemas.openxmlformats.org/drawingml/2006/chart">
  <style val="10"/>
  <chart>
    <title>
      <tx>
        <rich>
          <a:bodyPr/>
          <a:p>
            <a:pPr>
              <a:defRPr/>
            </a:pPr>
            <a:r>
              <a:t>Revenue versus the inference bound and the other-compute bound</a:t>
            </a:r>
          </a:p>
        </rich>
      </tx>
    </title>
    <plotArea>
      <barChart>
        <barDir val="col"/>
        <grouping val="clustered"/>
        <ser>
          <idx val="0"/>
          <order val="0"/>
          <tx>
            <strRef>
              <f>'Training vs Inference'!B82</f>
            </strRef>
          </tx>
          <spPr>
            <a:solidFill>
              <a:srgbClr val="1B3A4B"/>
            </a:solidFill>
            <a:ln>
              <a:solidFill>
                <a:srgbClr val="1B3A4B"/>
              </a:solidFill>
              <a:prstDash val="solid"/>
            </a:ln>
          </spPr>
          <cat>
            <numRef>
              <f>'Training vs Inference'!$C$81:$G$81</f>
            </numRef>
          </cat>
          <val>
            <numRef>
              <f>'Training vs Inference'!$C$82:$G$82</f>
            </numRef>
          </val>
        </ser>
        <ser>
          <idx val="1"/>
          <order val="1"/>
          <tx>
            <strRef>
              <f>'Training vs Inference'!B83</f>
            </strRef>
          </tx>
          <spPr>
            <a:solidFill>
              <a:srgbClr val="1F6A62"/>
            </a:solidFill>
            <a:ln>
              <a:solidFill>
                <a:srgbClr val="1F6A62"/>
              </a:solidFill>
              <a:prstDash val="solid"/>
            </a:ln>
          </spPr>
          <cat>
            <numRef>
              <f>'Training vs Inference'!$C$81:$G$81</f>
            </numRef>
          </cat>
          <val>
            <numRef>
              <f>'Training vs Inference'!$C$83:$G$83</f>
            </numRef>
          </val>
        </ser>
        <ser>
          <idx val="2"/>
          <order val="2"/>
          <tx>
            <strRef>
              <f>'Training vs Inference'!B84</f>
            </strRef>
          </tx>
          <spPr>
            <a:solidFill>
              <a:srgbClr val="C4A35A"/>
            </a:solidFill>
            <a:ln>
              <a:solidFill>
                <a:srgbClr val="C4A35A"/>
              </a:solidFill>
              <a:prstDash val="solid"/>
            </a:ln>
          </spPr>
          <cat>
            <numRef>
              <f>'Training vs Inference'!$C$81:$G$81</f>
            </numRef>
          </cat>
          <val>
            <numRef>
              <f>'Training vs Inference'!$C$84:$G$84</f>
            </numRef>
          </val>
        </ser>
        <gapWidth val="150"/>
        <axId val="10"/>
        <axId val="100"/>
      </barChart>
      <catAx>
        <axId val="10"/>
        <scaling>
          <orientation val="minMax"/>
        </scaling>
        <axPos val="l"/>
        <majorTickMark val="none"/>
        <minorTickMark val="none"/>
        <crossAx val="100"/>
        <lblOffset val="100"/>
      </catAx>
      <valAx>
        <axId val="100"/>
        <scaling>
          <orientation val="minMax"/>
          <min val="0"/>
        </scaling>
        <axPos val="l"/>
        <title>
          <tx>
            <rich>
              <a:bodyPr/>
              <a:p>
                <a:pPr>
                  <a:defRPr/>
                </a:pPr>
                <a:r>
                  <a:t>Millions of USD</a:t>
                </a:r>
              </a:p>
            </rich>
          </tx>
        </title>
        <numFmt formatCode="#,##0" sourceLinked="0"/>
        <majorTickMark val="none"/>
        <minorTickMark val="none"/>
        <crossAx val="10"/>
      </valAx>
    </plotArea>
    <legend>
      <legendPos val="b"/>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Compute expense as a percent of revenue</a:t>
            </a:r>
          </a:p>
        </rich>
      </tx>
    </title>
    <plotArea>
      <lineChart>
        <grouping val="standard"/>
        <ser>
          <idx val="0"/>
          <order val="0"/>
          <tx>
            <strRef>
              <f>'Training vs Inference'!B34</f>
            </strRef>
          </tx>
          <spPr>
            <a:ln w="25000">
              <a:solidFill>
                <a:srgbClr val="1F6A62"/>
              </a:solidFill>
              <a:prstDash val="solid"/>
            </a:ln>
          </spPr>
          <marker>
            <symbol val="circle"/>
            <size val="8"/>
            <spPr>
              <a:solidFill>
                <a:srgbClr val="1B3A4B"/>
              </a:solidFill>
              <a:ln>
                <a:solidFill>
                  <a:srgbClr val="1B3A4B"/>
                </a:solidFill>
                <a:prstDash val="solid"/>
              </a:ln>
            </spPr>
          </marker>
          <cat>
            <numRef>
              <f>'Training vs Inference'!$C$31:$H$31</f>
            </numRef>
          </cat>
          <val>
            <numRef>
              <f>'Training vs Inference'!$C$34:$H$34</f>
            </numRef>
          </val>
        </ser>
        <axId val="10"/>
        <axId val="100"/>
      </lineChart>
      <catAx>
        <axId val="10"/>
        <scaling>
          <orientation val="minMax"/>
        </scaling>
        <axPos val="l"/>
        <majorTickMark val="none"/>
        <minorTickMark val="none"/>
        <crossAx val="100"/>
        <lblOffset val="100"/>
      </catAx>
      <valAx>
        <axId val="100"/>
        <scaling>
          <orientation val="minMax"/>
          <min val="0"/>
        </scaling>
        <axPos val="l"/>
        <title>
          <tx>
            <rich>
              <a:bodyPr/>
              <a:p>
                <a:pPr>
                  <a:defRPr/>
                </a:pPr>
                <a:r>
                  <a:t>Percent of revenue</a:t>
                </a:r>
              </a:p>
            </rich>
          </tx>
        </title>
        <numFmt formatCode="0%" sourceLinked="0"/>
        <majorTickMark val="none"/>
        <minorTickMark val="none"/>
        <crossAx val="10"/>
      </valAx>
    </plotArea>
    <legend>
      <legendPos val="b"/>
    </legend>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GAAP revenue by quarter</a:t>
            </a:r>
          </a:p>
        </rich>
      </tx>
    </title>
    <plotArea>
      <barChart>
        <barDir val="col"/>
        <grouping val="clustered"/>
        <ser>
          <idx val="0"/>
          <order val="0"/>
          <tx>
            <v>GAAP revenue</v>
          </tx>
          <spPr>
            <a:solidFill>
              <a:srgbClr val="1B3A4B"/>
            </a:solidFill>
            <a:ln>
              <a:prstDash val="solid"/>
            </a:ln>
          </spPr>
          <cat>
            <numRef>
              <f>'ARR and New ARR'!$B$13:$B$19</f>
            </numRef>
          </cat>
          <val>
            <numRef>
              <f>'ARR and New ARR'!$C$13:$C$19</f>
            </numRef>
          </val>
        </ser>
        <gapWidth val="150"/>
        <axId val="10"/>
        <axId val="100"/>
      </barChart>
      <catAx>
        <axId val="10"/>
        <scaling>
          <orientation val="minMax"/>
        </scaling>
        <axPos val="l"/>
        <majorTickMark val="none"/>
        <minorTickMark val="none"/>
        <crossAx val="100"/>
        <lblOffset val="100"/>
      </catAx>
      <valAx>
        <axId val="100"/>
        <scaling>
          <orientation val="minMax"/>
          <min val="0"/>
        </scaling>
        <axPos val="l"/>
        <majorGridlines/>
        <title>
          <tx>
            <rich>
              <a:bodyPr/>
              <a:p>
                <a:pPr>
                  <a:defRPr/>
                </a:pPr>
                <a:r>
                  <a:t>Millions of USD</a:t>
                </a:r>
              </a:p>
            </rich>
          </tx>
        </title>
        <numFmt formatCode="#,##0" sourceLinked="0"/>
        <majorTickMark val="none"/>
        <minorTickMark val="none"/>
        <crossAx val="10"/>
      </valAx>
    </plotArea>
    <legend>
      <legendPos val="b"/>
    </legend>
    <plotVisOnly val="1"/>
    <dispBlanksAs val="gap"/>
  </chart>
</chartSpace>
</file>

<file path=xl/charts/chart4.xml><?xml version="1.0" encoding="utf-8"?>
<chartSpace xmlns:a="http://schemas.openxmlformats.org/drawingml/2006/main" xmlns="http://schemas.openxmlformats.org/drawingml/2006/chart">
  <style val="10"/>
  <chart>
    <title>
      <tx>
        <rich>
          <a:bodyPr/>
          <a:p>
            <a:pPr>
              <a:defRPr/>
            </a:pPr>
            <a:r>
              <a:t>Consumption and subscription revenue</a:t>
            </a:r>
          </a:p>
        </rich>
      </tx>
    </title>
    <plotArea>
      <barChart>
        <barDir val="col"/>
        <grouping val="stacked"/>
        <ser>
          <idx val="0"/>
          <order val="0"/>
          <tx>
            <strRef>
              <f>'Revenue Mix and Margins'!B7</f>
            </strRef>
          </tx>
          <spPr>
            <a:solidFill>
              <a:srgbClr val="1B3A4B"/>
            </a:solidFill>
            <a:ln>
              <a:prstDash val="solid"/>
            </a:ln>
          </spPr>
          <cat>
            <numRef>
              <f>'Revenue Mix and Margins'!$C$6:$G$6</f>
            </numRef>
          </cat>
          <val>
            <numRef>
              <f>'Revenue Mix and Margins'!$C$7:$G$7</f>
            </numRef>
          </val>
        </ser>
        <ser>
          <idx val="1"/>
          <order val="1"/>
          <tx>
            <strRef>
              <f>'Revenue Mix and Margins'!B8</f>
            </strRef>
          </tx>
          <spPr>
            <a:solidFill>
              <a:srgbClr val="C4A35A"/>
            </a:solidFill>
            <a:ln>
              <a:prstDash val="solid"/>
            </a:ln>
          </spPr>
          <cat>
            <numRef>
              <f>'Revenue Mix and Margins'!$C$6:$G$6</f>
            </numRef>
          </cat>
          <val>
            <numRef>
              <f>'Revenue Mix and Margins'!$C$8:$G$8</f>
            </numRef>
          </val>
        </ser>
        <gapWidth val="150"/>
        <axId val="10"/>
        <axId val="100"/>
      </barChart>
      <catAx>
        <axId val="10"/>
        <scaling>
          <orientation val="minMax"/>
        </scaling>
        <axPos val="l"/>
        <majorTickMark val="none"/>
        <minorTickMark val="none"/>
        <crossAx val="100"/>
        <lblOffset val="100"/>
      </catAx>
      <valAx>
        <axId val="100"/>
        <scaling>
          <orientation val="minMax"/>
          <min val="0"/>
        </scaling>
        <axPos val="l"/>
        <majorGridlines/>
        <title>
          <tx>
            <rich>
              <a:bodyPr/>
              <a:p>
                <a:pPr>
                  <a:defRPr/>
                </a:pPr>
                <a:r>
                  <a:t>Millions of USD</a:t>
                </a:r>
              </a:p>
            </rich>
          </tx>
        </title>
        <numFmt formatCode="#,##0" sourceLinked="0"/>
        <majorTickMark val="none"/>
        <minorTickMark val="none"/>
        <crossAx val="10"/>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_rels/drawing2.xml.rels><Relationships xmlns="http://schemas.openxmlformats.org/package/2006/relationships"><Relationship Type="http://schemas.openxmlformats.org/officeDocument/2006/relationships/chart" Target="/xl/charts/chart3.xml" Id="rId1" /></Relationships>
</file>

<file path=xl/drawings/_rels/drawing3.xml.rels><Relationships xmlns="http://schemas.openxmlformats.org/package/2006/relationships"><Relationship Type="http://schemas.openxmlformats.org/officeDocument/2006/relationships/chart" Target="/xl/charts/chart4.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45</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61</row>
      <rowOff>0</rowOff>
    </from>
    <ext cx="5400000" cy="2520000"/>
    <graphicFrame>
      <nvGraphicFramePr>
        <cNvPr id="2" name="Chart 2"/>
        <cNvGraphicFramePr/>
      </nvGraphicFramePr>
      <xfrm/>
      <a:graphic>
        <a:graphicData uri="http://schemas.openxmlformats.org/drawingml/2006/chart">
          <c:chart r:id="rId2"/>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41</row>
      <rowOff>0</rowOff>
    </from>
    <ext cx="6480000" cy="252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49</row>
      <rowOff>0</rowOff>
    </from>
    <ext cx="5400000" cy="252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drawing" Target="/xl/drawings/drawing2.xml" Id="rId1" /></Relationships>
</file>

<file path=xl/worksheets/_rels/sheet4.xml.rels><Relationships xmlns="http://schemas.openxmlformats.org/package/2006/relationships"><Relationship Type="http://schemas.openxmlformats.org/officeDocument/2006/relationships/drawing" Target="/xl/drawings/drawing3.xml" Id="rId1" /></Relationships>
</file>

<file path=xl/worksheets/sheet1.xml><?xml version="1.0" encoding="utf-8"?>
<worksheet xmlns="http://schemas.openxmlformats.org/spreadsheetml/2006/main">
  <sheetPr>
    <tabColor rgb="001B3A4B"/>
    <outlinePr summaryBelow="1" summaryRight="1"/>
    <pageSetUpPr fitToPage="1"/>
  </sheetPr>
  <dimension ref="A1:H36"/>
  <sheetViews>
    <sheetView showGridLines="0" view="normal" zoomScale="110" workbookViewId="0">
      <pane xSplit="1" ySplit="4" topLeftCell="B5" activePane="bottomRight" state="frozen"/>
      <selection pane="topRight"/>
      <selection pane="bottomLeft"/>
      <selection pane="bottomRight" activeCell="A1" sqref="A1"/>
    </sheetView>
  </sheetViews>
  <sheetFormatPr baseColWidth="8" defaultRowHeight="15"/>
  <cols>
    <col width="3" customWidth="1" min="1" max="1"/>
    <col width="38" customWidth="1" min="2" max="2"/>
    <col width="18" customWidth="1" min="3" max="3"/>
    <col width="18" customWidth="1" min="4" max="4"/>
    <col width="18" customWidth="1" min="5" max="5"/>
    <col width="18" customWidth="1" min="6" max="6"/>
    <col width="18" customWidth="1" min="7" max="7"/>
    <col width="42" customWidth="1" min="8" max="8"/>
  </cols>
  <sheetData>
    <row r="1" ht="30" customHeight="1">
      <c r="B1" s="1" t="inlineStr">
        <is>
          <t>Anthropic S-1</t>
        </is>
      </c>
    </row>
    <row r="2" ht="22" customHeight="1">
      <c r="B2" s="2" t="inlineStr">
        <is>
          <t>Training versus inference, run-rate revenue, and revenue mix</t>
        </is>
      </c>
    </row>
    <row r="3" ht="20" customHeight="1">
      <c r="B3" s="3" t="inlineStr">
        <is>
          <t>Preliminary Form S-1 filed October 26, 2026  ·  Accession 0001628280-26-067168  ·  Dollars in millions  ·  Blue inputs, green formulas</t>
        </is>
      </c>
      <c r="C3" s="4" t="n"/>
      <c r="D3" s="4" t="n"/>
      <c r="E3" s="4" t="n"/>
      <c r="F3" s="4" t="n"/>
      <c r="G3" s="4" t="n"/>
      <c r="H3" s="4" t="n"/>
    </row>
    <row r="5" ht="22" customHeight="1">
      <c r="A5" s="5" t="inlineStr">
        <is>
          <t>The filing’s answer, in one page</t>
        </is>
      </c>
      <c r="B5" s="6" t="n"/>
      <c r="C5" s="6" t="n"/>
      <c r="D5" s="6" t="n"/>
      <c r="E5" s="6" t="n"/>
      <c r="F5" s="6" t="n"/>
      <c r="G5" s="6" t="n"/>
      <c r="H5" s="6" t="n"/>
    </row>
    <row r="6" ht="36" customHeight="1">
      <c r="B6" s="7" t="inlineStr">
        <is>
          <t>Compute is not split between training and inference. It is one fungible pool — research, model development, serving customers, and internal use of Claude — and it is expensed in a single line when the capacity arrives.</t>
        </is>
      </c>
      <c r="C6" s="8" t="n"/>
      <c r="D6" s="8" t="n"/>
      <c r="E6" s="8" t="n"/>
      <c r="F6" s="8" t="n"/>
      <c r="G6" s="8" t="n"/>
      <c r="H6" s="8" t="n"/>
    </row>
    <row r="7" ht="36" customHeight="1">
      <c r="B7" s="7" t="inlineStr">
        <is>
          <t>Note 8 is the workaround. Cost of revenue is the upper bound on compute that serves paying customers. In the first half of 2026 that line was $2.38 billion, against $8.95 billion of compute expense and $16.29 billion of revenue. Implied gross margin was 85%. At least $6.57 billion of compute sat outside cost of revenue.</t>
        </is>
      </c>
      <c r="C7" s="8" t="n"/>
      <c r="D7" s="8" t="n"/>
      <c r="E7" s="8" t="n"/>
      <c r="F7" s="8" t="n"/>
      <c r="G7" s="8" t="n"/>
      <c r="H7" s="8" t="n"/>
    </row>
    <row r="8" ht="36" customHeight="1">
      <c r="B8" s="7" t="inlineStr">
        <is>
          <t>That outside bucket is not “training.” It also holds internal inference and the free tier. Research and development was $9.74 billion in the same half, larger than the outside-compute bound, because R&amp;D includes people and overhead.</t>
        </is>
      </c>
      <c r="C8" s="8" t="n"/>
      <c r="D8" s="8" t="n"/>
      <c r="E8" s="8" t="n"/>
      <c r="F8" s="8" t="n"/>
      <c r="G8" s="8" t="n"/>
      <c r="H8" s="8" t="n"/>
    </row>
    <row r="9" ht="36" customHeight="1">
      <c r="B9" s="7" t="inlineStr">
        <is>
          <t>The ratio the company itself cites moved from compute at 201% of revenue in the first half of 2025 to 55% in the first half of 2026. In Q2 2026, revenue grew 1,368% year over year and compute grew 300%. GAAP operating margin was 8%. Adjusted operating margin was 19%.</t>
        </is>
      </c>
      <c r="C9" s="8" t="n"/>
      <c r="D9" s="8" t="n"/>
      <c r="E9" s="8" t="n"/>
      <c r="F9" s="8" t="n"/>
      <c r="G9" s="8" t="n"/>
      <c r="H9" s="8" t="n"/>
    </row>
    <row r="10" ht="36" customHeight="1">
      <c r="B10" s="7" t="inlineStr">
        <is>
          <t>There is no ARR and no new ARR. Run-Rate Revenue is defined — 28 days of consumption × 13, plus a month of subscriptions × 12 — and the October 31, 2026 amount is blank. The ARR sheet shows GAAP revenue by quarter and refuses to relabel it.</t>
        </is>
      </c>
      <c r="C10" s="8" t="n"/>
      <c r="D10" s="8" t="n"/>
      <c r="E10" s="8" t="n"/>
      <c r="F10" s="8" t="n"/>
      <c r="G10" s="8" t="n"/>
      <c r="H10" s="8" t="n"/>
    </row>
    <row r="11" ht="36" customHeight="1">
      <c r="B11" s="7" t="inlineStr">
        <is>
          <t>Revenue is 80% consumption and 20% subscription in the first half of 2026 ($13.06 billion and $3.22 billion). There is one segment. No margin is disclosed by product, model, channel, or pricing model. Channel-partner fees rose $2.7 billion in that half, equal to about 17% of revenue before counting the prior-period base.</t>
        </is>
      </c>
      <c r="C11" s="8" t="n"/>
      <c r="D11" s="8" t="n"/>
      <c r="E11" s="8" t="n"/>
      <c r="F11" s="8" t="n"/>
      <c r="G11" s="8" t="n"/>
      <c r="H11" s="8" t="n"/>
    </row>
    <row r="13" ht="22" customHeight="1">
      <c r="A13" s="5" t="inlineStr">
        <is>
          <t>First-half 2026, linked to the calculation sheets</t>
        </is>
      </c>
      <c r="B13" s="6" t="n"/>
      <c r="C13" s="6" t="n"/>
      <c r="D13" s="6" t="n"/>
      <c r="E13" s="6" t="n"/>
      <c r="F13" s="6" t="n"/>
      <c r="G13" s="6" t="n"/>
      <c r="H13" s="6" t="n"/>
    </row>
    <row r="14">
      <c r="B14" s="9" t="inlineStr">
        <is>
          <t>Figure</t>
        </is>
      </c>
      <c r="C14" s="9" t="inlineStr">
        <is>
          <t>H1 2026</t>
        </is>
      </c>
      <c r="D14" s="9" t="inlineStr">
        <is>
          <t>Where it is calculated</t>
        </is>
      </c>
    </row>
    <row r="15" ht="18" customHeight="1">
      <c r="B15" s="10" t="inlineStr">
        <is>
          <t>Revenue</t>
        </is>
      </c>
      <c r="C15" s="11">
        <f>'Training vs Inference'!G8</f>
        <v/>
      </c>
      <c r="D15" s="12" t="inlineStr">
        <is>
          <t>Training vs Inference</t>
        </is>
      </c>
      <c r="E15" s="8" t="n"/>
      <c r="F15" s="8" t="n"/>
      <c r="G15" s="8" t="n"/>
      <c r="H15" s="8" t="n"/>
    </row>
    <row r="16" ht="18" customHeight="1">
      <c r="B16" s="10" t="inlineStr">
        <is>
          <t>Compute and infrastructure</t>
        </is>
      </c>
      <c r="C16" s="11">
        <f>'Training vs Inference'!G9</f>
        <v/>
      </c>
      <c r="D16" s="12" t="inlineStr">
        <is>
          <t>Training vs Inference</t>
        </is>
      </c>
      <c r="E16" s="8" t="n"/>
      <c r="F16" s="8" t="n"/>
      <c r="G16" s="8" t="n"/>
      <c r="H16" s="8" t="n"/>
    </row>
    <row r="17" ht="18" customHeight="1">
      <c r="B17" s="10" t="inlineStr">
        <is>
          <t>Cost of revenue, inference upper bound</t>
        </is>
      </c>
      <c r="C17" s="13">
        <f>'Training vs Inference'!G14</f>
        <v/>
      </c>
      <c r="D17" s="12" t="inlineStr">
        <is>
          <t>Training vs Inference</t>
        </is>
      </c>
      <c r="E17" s="8" t="n"/>
      <c r="F17" s="8" t="n"/>
      <c r="G17" s="8" t="n"/>
      <c r="H17" s="8" t="n"/>
    </row>
    <row r="18" ht="18" customHeight="1">
      <c r="B18" s="10" t="inlineStr">
        <is>
          <t>Other compute, lower bound</t>
        </is>
      </c>
      <c r="C18" s="13">
        <f>'Training vs Inference'!G15</f>
        <v/>
      </c>
      <c r="D18" s="12" t="inlineStr">
        <is>
          <t>Training vs Inference</t>
        </is>
      </c>
      <c r="E18" s="8" t="n"/>
      <c r="F18" s="8" t="n"/>
      <c r="G18" s="8" t="n"/>
      <c r="H18" s="8" t="n"/>
    </row>
    <row r="19" ht="18" customHeight="1">
      <c r="B19" s="10" t="inlineStr">
        <is>
          <t>Implied gross margin</t>
        </is>
      </c>
      <c r="C19" s="14">
        <f>'Training vs Inference'!G22</f>
        <v/>
      </c>
      <c r="D19" s="12" t="inlineStr">
        <is>
          <t>Training vs Inference</t>
        </is>
      </c>
      <c r="E19" s="8" t="n"/>
      <c r="F19" s="8" t="n"/>
      <c r="G19" s="8" t="n"/>
      <c r="H19" s="8" t="n"/>
    </row>
    <row r="20" ht="18" customHeight="1">
      <c r="B20" s="10" t="inlineStr">
        <is>
          <t>Compute as % of revenue</t>
        </is>
      </c>
      <c r="C20" s="15">
        <f>'Training vs Inference'!G18</f>
        <v/>
      </c>
      <c r="D20" s="12" t="inlineStr">
        <is>
          <t>Training vs Inference</t>
        </is>
      </c>
      <c r="E20" s="8" t="n"/>
      <c r="F20" s="8" t="n"/>
      <c r="G20" s="8" t="n"/>
      <c r="H20" s="8" t="n"/>
    </row>
    <row r="21" ht="18" customHeight="1">
      <c r="B21" s="10" t="inlineStr">
        <is>
          <t>Consumption revenue</t>
        </is>
      </c>
      <c r="C21" s="11">
        <f>'Revenue Mix and Margins'!G7</f>
        <v/>
      </c>
      <c r="D21" s="12" t="inlineStr">
        <is>
          <t>Revenue Mix and Margins</t>
        </is>
      </c>
      <c r="E21" s="8" t="n"/>
      <c r="F21" s="8" t="n"/>
      <c r="G21" s="8" t="n"/>
      <c r="H21" s="8" t="n"/>
    </row>
    <row r="22" ht="18" customHeight="1">
      <c r="B22" s="10" t="inlineStr">
        <is>
          <t>Subscription revenue</t>
        </is>
      </c>
      <c r="C22" s="11">
        <f>'Revenue Mix and Margins'!G8</f>
        <v/>
      </c>
      <c r="D22" s="12" t="inlineStr">
        <is>
          <t>Revenue Mix and Margins</t>
        </is>
      </c>
      <c r="E22" s="8" t="n"/>
      <c r="F22" s="8" t="n"/>
      <c r="G22" s="8" t="n"/>
      <c r="H22" s="8" t="n"/>
    </row>
    <row r="23" ht="18" customHeight="1">
      <c r="B23" s="10" t="inlineStr">
        <is>
          <t>Consumption mix</t>
        </is>
      </c>
      <c r="C23" s="15">
        <f>'Revenue Mix and Margins'!G10</f>
        <v/>
      </c>
      <c r="D23" s="12" t="inlineStr">
        <is>
          <t>Revenue Mix and Margins</t>
        </is>
      </c>
      <c r="E23" s="8" t="n"/>
      <c r="F23" s="8" t="n"/>
      <c r="G23" s="8" t="n"/>
      <c r="H23" s="8" t="n"/>
    </row>
    <row r="24" ht="18" customHeight="1">
      <c r="B24" s="10" t="inlineStr">
        <is>
          <t>Adjusted operating margin</t>
        </is>
      </c>
      <c r="C24" s="15">
        <f>'Revenue Mix and Margins'!G26</f>
        <v/>
      </c>
      <c r="D24" s="12" t="inlineStr">
        <is>
          <t>Revenue Mix and Margins</t>
        </is>
      </c>
      <c r="E24" s="8" t="n"/>
      <c r="F24" s="8" t="n"/>
      <c r="G24" s="8" t="n"/>
      <c r="H24" s="8" t="n"/>
    </row>
    <row r="26" ht="22" customHeight="1">
      <c r="A26" s="5" t="inlineStr">
        <is>
          <t>How the workbook is organized</t>
        </is>
      </c>
      <c r="B26" s="6" t="n"/>
      <c r="C26" s="6" t="n"/>
      <c r="D26" s="6" t="n"/>
      <c r="E26" s="6" t="n"/>
      <c r="F26" s="6" t="n"/>
      <c r="G26" s="6" t="n"/>
      <c r="H26" s="6" t="n"/>
    </row>
    <row r="27" ht="20" customHeight="1">
      <c r="B27" s="16" t="inlineStr">
        <is>
          <t>Training vs Inference</t>
        </is>
      </c>
      <c r="C27" s="10" t="inlineStr">
        <is>
          <t>The bounds, the quarterly compute ratio, and what still sits inside “other compute.”</t>
        </is>
      </c>
      <c r="D27" s="8" t="n"/>
      <c r="E27" s="8" t="n"/>
      <c r="F27" s="8" t="n"/>
      <c r="G27" s="8" t="n"/>
      <c r="H27" s="8" t="n"/>
    </row>
    <row r="28" ht="20" customHeight="1">
      <c r="B28" s="16" t="inlineStr">
        <is>
          <t>ARR and New ARR</t>
        </is>
      </c>
      <c r="C28" s="10" t="inlineStr">
        <is>
          <t>The Run-Rate Revenue definition, the blank October 31 figure, and GAAP revenue by quarter with an annualization that is explicitly not ARR.</t>
        </is>
      </c>
      <c r="D28" s="8" t="n"/>
      <c r="E28" s="8" t="n"/>
      <c r="F28" s="8" t="n"/>
      <c r="G28" s="8" t="n"/>
      <c r="H28" s="8" t="n"/>
    </row>
    <row r="29" ht="20" customHeight="1">
      <c r="B29" s="16" t="inlineStr">
        <is>
          <t>Revenue Mix and Margins</t>
        </is>
      </c>
      <c r="C29" s="10" t="inlineStr">
        <is>
          <t>Consumption, subscriptions, geography, company-wide margins, and the product cuts that are absent.</t>
        </is>
      </c>
      <c r="D29" s="8" t="n"/>
      <c r="E29" s="8" t="n"/>
      <c r="F29" s="8" t="n"/>
      <c r="G29" s="8" t="n"/>
      <c r="H29" s="8" t="n"/>
    </row>
    <row r="30" ht="20" customHeight="1">
      <c r="B30" s="16" t="inlineStr">
        <is>
          <t>Quarterly PnL</t>
        </is>
      </c>
      <c r="C30" s="10" t="inlineStr">
        <is>
          <t>Q4 2024 revenue, then the full quarterly statement from Q1 2025 through Q2 2026, with adjusted margins.</t>
        </is>
      </c>
      <c r="D30" s="8" t="n"/>
      <c r="E30" s="8" t="n"/>
      <c r="F30" s="8" t="n"/>
      <c r="G30" s="8" t="n"/>
      <c r="H30" s="8" t="n"/>
    </row>
    <row r="31" ht="20" customHeight="1">
      <c r="B31" s="16" t="inlineStr">
        <is>
          <t>Annual PnL</t>
        </is>
      </c>
      <c r="C31" s="10" t="inlineStr">
        <is>
          <t>2023, 2024, 2025, and both first halves, nature and function, with adjusted income.</t>
        </is>
      </c>
      <c r="D31" s="8" t="n"/>
      <c r="E31" s="8" t="n"/>
      <c r="F31" s="8" t="n"/>
      <c r="G31" s="8" t="n"/>
      <c r="H31" s="8" t="n"/>
    </row>
    <row r="32" ht="20" customHeight="1">
      <c r="B32" s="16" t="inlineStr">
        <is>
          <t>Customers and KPIs</t>
        </is>
      </c>
      <c r="C32" s="10" t="inlineStr">
        <is>
          <t>The $100k cohort, 900% net revenue retention, concentration, and productivity.</t>
        </is>
      </c>
      <c r="D32" s="8" t="n"/>
      <c r="E32" s="8" t="n"/>
      <c r="F32" s="8" t="n"/>
      <c r="G32" s="8" t="n"/>
      <c r="H32" s="8" t="n"/>
    </row>
    <row r="33" ht="20" customHeight="1">
      <c r="B33" s="16" t="inlineStr">
        <is>
          <t>Compute Commitments</t>
        </is>
      </c>
      <c r="C33" s="10" t="inlineStr">
        <is>
          <t>Note totals and the named contracts. They are not added together, and they are not split by workload.</t>
        </is>
      </c>
      <c r="D33" s="8" t="n"/>
      <c r="E33" s="8" t="n"/>
      <c r="F33" s="8" t="n"/>
      <c r="G33" s="8" t="n"/>
      <c r="H33" s="8" t="n"/>
    </row>
    <row r="34" ht="20" customHeight="1">
      <c r="B34" s="16" t="inlineStr">
        <is>
          <t>Inputs</t>
        </is>
      </c>
      <c r="C34" s="10" t="inlineStr">
        <is>
          <t>Every typed S-1 number. Edit here only.</t>
        </is>
      </c>
      <c r="D34" s="8" t="n"/>
      <c r="E34" s="8" t="n"/>
      <c r="F34" s="8" t="n"/>
      <c r="G34" s="8" t="n"/>
      <c r="H34" s="8" t="n"/>
    </row>
    <row r="35" ht="20" customHeight="1">
      <c r="B35" s="16" t="inlineStr">
        <is>
          <t>Checks</t>
        </is>
      </c>
      <c r="C35" s="10" t="inlineStr">
        <is>
          <t>Tie-outs. Each one should read OK.</t>
        </is>
      </c>
      <c r="D35" s="8" t="n"/>
      <c r="E35" s="8" t="n"/>
      <c r="F35" s="8" t="n"/>
      <c r="G35" s="8" t="n"/>
      <c r="H35" s="8" t="n"/>
    </row>
    <row r="36" ht="20" customHeight="1">
      <c r="B36" s="16" t="inlineStr">
        <is>
          <t>Sources</t>
        </is>
      </c>
      <c r="C36" s="10" t="inlineStr">
        <is>
          <t>Filing citation, methodology, and the press figures that were not used as facts.</t>
        </is>
      </c>
      <c r="D36" s="8" t="n"/>
      <c r="E36" s="8" t="n"/>
      <c r="F36" s="8" t="n"/>
      <c r="G36" s="8" t="n"/>
      <c r="H36" s="8" t="n"/>
    </row>
  </sheetData>
  <mergeCells count="32">
    <mergeCell ref="D20:H20"/>
    <mergeCell ref="B9:H9"/>
    <mergeCell ref="D19:H19"/>
    <mergeCell ref="C31:H31"/>
    <mergeCell ref="B6:H6"/>
    <mergeCell ref="D22:H22"/>
    <mergeCell ref="D21:H21"/>
    <mergeCell ref="C36:H36"/>
    <mergeCell ref="C27:H27"/>
    <mergeCell ref="B7:H7"/>
    <mergeCell ref="B3:H3"/>
    <mergeCell ref="D17:H17"/>
    <mergeCell ref="C32:H32"/>
    <mergeCell ref="A26:H26"/>
    <mergeCell ref="D16:H16"/>
    <mergeCell ref="C28:H28"/>
    <mergeCell ref="B2:H2"/>
    <mergeCell ref="A5:H5"/>
    <mergeCell ref="B11:H11"/>
    <mergeCell ref="C34:H34"/>
    <mergeCell ref="D18:H18"/>
    <mergeCell ref="C30:H30"/>
    <mergeCell ref="C33:H33"/>
    <mergeCell ref="B8:H8"/>
    <mergeCell ref="D15:H15"/>
    <mergeCell ref="B1:H1"/>
    <mergeCell ref="D24:H24"/>
    <mergeCell ref="A13:H13"/>
    <mergeCell ref="D23:H23"/>
    <mergeCell ref="C35:H35"/>
    <mergeCell ref="B10:H10"/>
    <mergeCell ref="C29:H29"/>
  </mergeCells>
  <pageMargins left="0.5" right="0.5" top="0.7" bottom="0.6" header="0.25" footer="0.25"/>
  <pageSetup orientation="landscape" paperSize="3" fitToHeight="1" fitToWidth="1" horizontalDpi="300" verticalDpi="300"/>
  <headerFooter>
    <oddHeader>&amp;L&amp;"Calibri"&amp;9 Anthropic, PBC  |  Form S-1 filed October 26, 2026</oddHeader>
    <oddFooter>&amp;L&amp;"Calibri"&amp;8 Cover  |  Anthropic, PBC  |  Form S-1 filed October 26, 2026&amp;RPage &amp;P of &amp;N</oddFooter>
    <evenHeader/>
    <evenFooter/>
    <firstHeader/>
    <firstFooter/>
  </headerFooter>
</worksheet>
</file>

<file path=xl/worksheets/sheet2.xml><?xml version="1.0" encoding="utf-8"?>
<worksheet xmlns="http://schemas.openxmlformats.org/spreadsheetml/2006/main">
  <sheetPr>
    <tabColor rgb="001F6A62"/>
    <outlinePr summaryBelow="1" summaryRight="1"/>
    <pageSetUpPr fitToPage="1"/>
  </sheetPr>
  <dimension ref="A1:I84"/>
  <sheetViews>
    <sheetView showGridLines="0" view="normal" zoomScale="110" workbookViewId="0">
      <pane xSplit="1" ySplit="7" topLeftCell="B8" activePane="bottomRight" state="frozen"/>
      <selection pane="topRight"/>
      <selection pane="bottomLeft"/>
      <selection pane="bottomRight" activeCell="A1" sqref="A1"/>
    </sheetView>
  </sheetViews>
  <sheetFormatPr baseColWidth="8" defaultRowHeight="15"/>
  <cols>
    <col width="3" customWidth="1" min="1" max="1"/>
    <col width="78" customWidth="1" min="2" max="2"/>
    <col width="15" customWidth="1" min="3" max="3"/>
    <col width="15" customWidth="1" min="4" max="4"/>
    <col width="15" customWidth="1" min="5" max="5"/>
    <col width="15" customWidth="1" min="6" max="6"/>
    <col width="15" customWidth="1" min="7" max="7"/>
    <col width="16" customWidth="1" min="8" max="8"/>
    <col width="62" customWidth="1" min="9" max="9"/>
  </cols>
  <sheetData>
    <row r="1" ht="28" customHeight="1">
      <c r="B1" s="1" t="inlineStr">
        <is>
          <t>Training versus inference</t>
        </is>
      </c>
    </row>
    <row r="2" ht="48" customHeight="1">
      <c r="B2" s="17" t="inlineStr">
        <is>
          <t>Anthropic does not report training spend and inference spend as separate lines. Compute is one fungible pool, expensed as it comes online, and presented as a single “Compute and infrastructure” operating expense. Note 8 is the only functional split. It supports bounds, not a clean training-versus-inference income statement.</t>
        </is>
      </c>
      <c r="C2" s="4" t="n"/>
      <c r="D2" s="4" t="n"/>
      <c r="E2" s="4" t="n"/>
      <c r="F2" s="4" t="n"/>
      <c r="G2" s="4" t="n"/>
      <c r="H2" s="4" t="n"/>
    </row>
    <row r="4" ht="22" customHeight="1">
      <c r="A4" s="5" t="inlineStr">
        <is>
          <t>How to read the two numbers that matter</t>
        </is>
      </c>
      <c r="B4" s="6" t="n"/>
      <c r="C4" s="6" t="n"/>
      <c r="D4" s="6" t="n"/>
      <c r="E4" s="6" t="n"/>
      <c r="F4" s="6" t="n"/>
      <c r="G4" s="6" t="n"/>
      <c r="H4" s="6" t="n"/>
    </row>
    <row r="5" ht="62" customHeight="1">
      <c r="A5" s="18" t="inlineStr">
        <is>
          <t>Cost of revenue is the upper bound on compute used to serve paying customers (inference that generates revenue). The footnote says substantially all of cost of revenue is that compute, and that the line also includes some personnel and allocated overhead. Compute expense minus cost of revenue is the lower bound on everything else: pre-training, post-training, research, internal use of Claude, and free-tier inference. Internal use and the free tier are inference, not training, and they sit outside cost of revenue. Research and development is not a training line. It mixes that other compute with people, software, and overhead.</t>
        </is>
      </c>
      <c r="B5" s="19" t="n"/>
      <c r="C5" s="19" t="n"/>
      <c r="D5" s="19" t="n"/>
      <c r="E5" s="19" t="n"/>
      <c r="F5" s="19" t="n"/>
      <c r="G5" s="19" t="n"/>
      <c r="H5" s="19" t="n"/>
    </row>
    <row r="7">
      <c r="B7" s="9" t="inlineStr">
        <is>
          <t>Millions of USD, except ratios</t>
        </is>
      </c>
      <c r="C7" s="9" t="inlineStr">
        <is>
          <t>2023</t>
        </is>
      </c>
      <c r="D7" s="9" t="inlineStr">
        <is>
          <t>2024</t>
        </is>
      </c>
      <c r="E7" s="9" t="inlineStr">
        <is>
          <t>2025</t>
        </is>
      </c>
      <c r="F7" s="9" t="inlineStr">
        <is>
          <t>H1 2025</t>
        </is>
      </c>
      <c r="G7" s="9" t="inlineStr">
        <is>
          <t>H1 2026</t>
        </is>
      </c>
      <c r="I7" s="9" t="inlineStr">
        <is>
          <t>What the row is</t>
        </is>
      </c>
    </row>
    <row r="8">
      <c r="B8" s="20" t="inlineStr">
        <is>
          <t>Revenue</t>
        </is>
      </c>
      <c r="C8" s="11">
        <f>Inputs!C6</f>
        <v/>
      </c>
      <c r="D8" s="11">
        <f>Inputs!D6</f>
        <v/>
      </c>
      <c r="E8" s="11">
        <f>Inputs!E6</f>
        <v/>
      </c>
      <c r="F8" s="11">
        <f>Inputs!F6</f>
        <v/>
      </c>
      <c r="G8" s="11">
        <f>Inputs!G6</f>
        <v/>
      </c>
      <c r="I8" s="21" t="inlineStr">
        <is>
          <t>Reported revenue.</t>
        </is>
      </c>
    </row>
    <row r="9">
      <c r="B9" s="20" t="inlineStr">
        <is>
          <t>Compute and infrastructure expense</t>
        </is>
      </c>
      <c r="C9" s="11">
        <f>Inputs!C7</f>
        <v/>
      </c>
      <c r="D9" s="11">
        <f>Inputs!D7</f>
        <v/>
      </c>
      <c r="E9" s="11">
        <f>Inputs!E7</f>
        <v/>
      </c>
      <c r="F9" s="11">
        <f>Inputs!F7</f>
        <v/>
      </c>
      <c r="G9" s="11">
        <f>Inputs!G7</f>
        <v/>
      </c>
      <c r="I9" s="21" t="inlineStr">
        <is>
          <t>All workloads. The line the company manages.</t>
        </is>
      </c>
    </row>
    <row r="10">
      <c r="B10" s="20" t="inlineStr">
        <is>
          <t>Cost of revenue (Note 8)</t>
        </is>
      </c>
      <c r="C10" s="11">
        <f>Inputs!C26</f>
        <v/>
      </c>
      <c r="D10" s="11">
        <f>Inputs!D26</f>
        <v/>
      </c>
      <c r="E10" s="11">
        <f>Inputs!E26</f>
        <v/>
      </c>
      <c r="F10" s="11">
        <f>Inputs!F26</f>
        <v/>
      </c>
      <c r="G10" s="11">
        <f>Inputs!G26</f>
        <v/>
      </c>
      <c r="I10" s="21" t="inlineStr">
        <is>
          <t>Upper bound on paying-customer inference compute.</t>
        </is>
      </c>
    </row>
    <row r="11">
      <c r="B11" s="20" t="inlineStr">
        <is>
          <t>Research and development (Note 8)</t>
        </is>
      </c>
      <c r="C11" s="11">
        <f>Inputs!C27</f>
        <v/>
      </c>
      <c r="D11" s="11">
        <f>Inputs!D27</f>
        <v/>
      </c>
      <c r="E11" s="11">
        <f>Inputs!E27</f>
        <v/>
      </c>
      <c r="F11" s="11">
        <f>Inputs!F27</f>
        <v/>
      </c>
      <c r="G11" s="11">
        <f>Inputs!G27</f>
        <v/>
      </c>
      <c r="I11" s="21" t="inlineStr">
        <is>
          <t>Not equal to training. Includes internal inference and people.</t>
        </is>
      </c>
    </row>
    <row r="13" ht="22" customHeight="1">
      <c r="A13" s="5" t="inlineStr">
        <is>
          <t>Bounds</t>
        </is>
      </c>
      <c r="B13" s="6" t="n"/>
      <c r="C13" s="6" t="n"/>
      <c r="D13" s="6" t="n"/>
      <c r="E13" s="6" t="n"/>
      <c r="F13" s="6" t="n"/>
      <c r="G13" s="6" t="n"/>
      <c r="H13" s="6" t="n"/>
    </row>
    <row r="14" ht="32" customHeight="1">
      <c r="B14" s="22" t="inlineStr">
        <is>
          <t>Upper bound: paying-customer inference compute</t>
        </is>
      </c>
      <c r="C14" s="13">
        <f>C10</f>
        <v/>
      </c>
      <c r="D14" s="13">
        <f>D10</f>
        <v/>
      </c>
      <c r="E14" s="13">
        <f>E10</f>
        <v/>
      </c>
      <c r="F14" s="13">
        <f>F10</f>
        <v/>
      </c>
      <c r="G14" s="13">
        <f>G10</f>
        <v/>
      </c>
      <c r="I14" s="21" t="inlineStr">
        <is>
          <t>Equals cost of revenue. Overstates inference compute by the personnel and overhead inside cost of revenue.</t>
        </is>
      </c>
    </row>
    <row r="15" ht="32" customHeight="1">
      <c r="B15" s="22" t="inlineStr">
        <is>
          <t>Lower bound: all other compute</t>
        </is>
      </c>
      <c r="C15" s="13">
        <f>C9-C10</f>
        <v/>
      </c>
      <c r="D15" s="13">
        <f>D9-D10</f>
        <v/>
      </c>
      <c r="E15" s="13">
        <f>E9-E10</f>
        <v/>
      </c>
      <c r="F15" s="13">
        <f>F9-F10</f>
        <v/>
      </c>
      <c r="G15" s="13">
        <f>G9-G10</f>
        <v/>
      </c>
      <c r="I15" s="21" t="inlineStr">
        <is>
          <t>Training, research, internal Claude usage, and free-tier inference, combined. Understates that bucket by any non-compute cost inside cost of revenue.</t>
        </is>
      </c>
    </row>
    <row r="16" ht="32" customHeight="1">
      <c r="B16" s="20" t="inlineStr">
        <is>
          <t>Inference bound as % of compute expense</t>
        </is>
      </c>
      <c r="C16" s="15">
        <f>IF(C9=0,NA(),C14/C9)</f>
        <v/>
      </c>
      <c r="D16" s="15">
        <f>IF(D9=0,NA(),D14/D9)</f>
        <v/>
      </c>
      <c r="E16" s="15">
        <f>IF(E9=0,NA(),E14/E9)</f>
        <v/>
      </c>
      <c r="F16" s="15">
        <f>IF(F9=0,NA(),F14/F9)</f>
        <v/>
      </c>
      <c r="G16" s="15">
        <f>IF(G9=0,NA(),G14/G9)</f>
        <v/>
      </c>
      <c r="I16" s="21" t="inlineStr">
        <is>
          <t>Upper bound on the share of compute expense that serves paying customers.</t>
        </is>
      </c>
    </row>
    <row r="17" ht="32" customHeight="1">
      <c r="B17" s="20" t="inlineStr">
        <is>
          <t>Other-compute bound as % of compute expense</t>
        </is>
      </c>
      <c r="C17" s="15">
        <f>IF(C9=0,NA(),C15/C9)</f>
        <v/>
      </c>
      <c r="D17" s="15">
        <f>IF(D9=0,NA(),D15/D9)</f>
        <v/>
      </c>
      <c r="E17" s="15">
        <f>IF(E9=0,NA(),E15/E9)</f>
        <v/>
      </c>
      <c r="F17" s="15">
        <f>IF(F9=0,NA(),F15/F9)</f>
        <v/>
      </c>
      <c r="G17" s="15">
        <f>IF(G9=0,NA(),G15/G9)</f>
        <v/>
      </c>
      <c r="I17" s="21" t="inlineStr">
        <is>
          <t>Lower bound on the share that does not serve paying customers.</t>
        </is>
      </c>
    </row>
    <row r="18" ht="32" customHeight="1">
      <c r="B18" s="20" t="inlineStr">
        <is>
          <t>Total compute expense as % of revenue</t>
        </is>
      </c>
      <c r="C18" s="15">
        <f>IF(C8=0,NA(),C9/C8)</f>
        <v/>
      </c>
      <c r="D18" s="15">
        <f>IF(D8=0,NA(),D9/D8)</f>
        <v/>
      </c>
      <c r="E18" s="15">
        <f>IF(E8=0,NA(),E9/E8)</f>
        <v/>
      </c>
      <c r="F18" s="15">
        <f>IF(F8=0,NA(),F9/F8)</f>
        <v/>
      </c>
      <c r="G18" s="15">
        <f>IF(G8=0,NA(),G9/G8)</f>
        <v/>
      </c>
      <c r="I18" s="21" t="inlineStr">
        <is>
          <t>The ratio the company discusses. Fell from about 10x revenue in 2023 to 55% in the first half of 2026.</t>
        </is>
      </c>
    </row>
    <row r="19" ht="32" customHeight="1">
      <c r="B19" s="20" t="inlineStr">
        <is>
          <t>Inference bound as % of revenue</t>
        </is>
      </c>
      <c r="C19" s="15">
        <f>IF(C8=0,NA(),C14/C8)</f>
        <v/>
      </c>
      <c r="D19" s="15">
        <f>IF(D8=0,NA(),D14/D8)</f>
        <v/>
      </c>
      <c r="E19" s="15">
        <f>IF(E8=0,NA(),E14/E8)</f>
        <v/>
      </c>
      <c r="F19" s="15">
        <f>IF(F8=0,NA(),F14/F8)</f>
        <v/>
      </c>
      <c r="G19" s="15">
        <f>IF(G8=0,NA(),G14/G8)</f>
        <v/>
      </c>
      <c r="I19" s="21" t="inlineStr">
        <is>
          <t>Cost of revenue over revenue. This is the gross-margin complement.</t>
        </is>
      </c>
    </row>
    <row r="20" ht="32" customHeight="1">
      <c r="B20" s="20" t="inlineStr">
        <is>
          <t>Other-compute bound as % of revenue</t>
        </is>
      </c>
      <c r="C20" s="15">
        <f>IF(C8=0,NA(),C15/C8)</f>
        <v/>
      </c>
      <c r="D20" s="15">
        <f>IF(D8=0,NA(),D15/D8)</f>
        <v/>
      </c>
      <c r="E20" s="15">
        <f>IF(E8=0,NA(),E15/E8)</f>
        <v/>
      </c>
      <c r="F20" s="15">
        <f>IF(F8=0,NA(),F15/F8)</f>
        <v/>
      </c>
      <c r="G20" s="15">
        <f>IF(G8=0,NA(),G15/G8)</f>
        <v/>
      </c>
      <c r="I20" s="21" t="inlineStr">
        <is>
          <t>Still large in dollars in 2026, but no longer larger than revenue.</t>
        </is>
      </c>
    </row>
    <row r="21" ht="32" customHeight="1">
      <c r="B21" s="20" t="inlineStr">
        <is>
          <t>Implied gross profit</t>
        </is>
      </c>
      <c r="C21" s="11">
        <f>C8-C10</f>
        <v/>
      </c>
      <c r="D21" s="11">
        <f>D8-D10</f>
        <v/>
      </c>
      <c r="E21" s="11">
        <f>E8-E10</f>
        <v/>
      </c>
      <c r="F21" s="11">
        <f>F8-F10</f>
        <v/>
      </c>
      <c r="G21" s="11">
        <f>G8-G10</f>
        <v/>
      </c>
      <c r="I21" s="21" t="inlineStr">
        <is>
          <t>Revenue minus Note 8 cost of revenue. Not a line the company presents. Training is excluded from this profit.</t>
        </is>
      </c>
    </row>
    <row r="22" ht="32" customHeight="1">
      <c r="B22" s="22" t="inlineStr">
        <is>
          <t>Implied gross margin</t>
        </is>
      </c>
      <c r="C22" s="14">
        <f>IF(C8=0,NA(),C21/C8)</f>
        <v/>
      </c>
      <c r="D22" s="14">
        <f>IF(D8=0,NA(),D21/D8)</f>
        <v/>
      </c>
      <c r="E22" s="14">
        <f>IF(E8=0,NA(),E21/E8)</f>
        <v/>
      </c>
      <c r="F22" s="14">
        <f>IF(F8=0,NA(),F21/F8)</f>
        <v/>
      </c>
      <c r="G22" s="14">
        <f>IF(G8=0,NA(),G21/G8)</f>
        <v/>
      </c>
      <c r="I22" s="21" t="inlineStr">
        <is>
          <t>About 40% in 2025 and about 85% in the first half of 2026. This margin does not carry training.</t>
        </is>
      </c>
    </row>
    <row r="23" ht="32" customHeight="1">
      <c r="B23" s="20" t="inlineStr">
        <is>
          <t>Research and development as % of revenue</t>
        </is>
      </c>
      <c r="C23" s="15">
        <f>IF(C8=0,NA(),C11/C8)</f>
        <v/>
      </c>
      <c r="D23" s="15">
        <f>IF(D8=0,NA(),D11/D8)</f>
        <v/>
      </c>
      <c r="E23" s="15">
        <f>IF(E8=0,NA(),E11/E8)</f>
        <v/>
      </c>
      <c r="F23" s="15">
        <f>IF(F8=0,NA(),F11/F8)</f>
        <v/>
      </c>
      <c r="G23" s="15">
        <f>IF(G8=0,NA(),G11/G8)</f>
        <v/>
      </c>
      <c r="I23" s="21" t="inlineStr">
        <is>
          <t>R&amp;D fell from many times revenue to 60% of revenue in the first half of 2026, and is still mostly not a gross-margin item.</t>
        </is>
      </c>
    </row>
    <row r="25" ht="72" customHeight="1">
      <c r="A25" s="18" t="inlineStr">
        <is>
          <t>Read the 2026 columns this way. In the first half of 2026, revenue was $16.3 billion and compute expense was $8.9 billion, or 55% of revenue. At most $2.4 billion of that compute-and-overhead bucket was cost of revenue. At least $6.6 billion of compute expense sat outside cost of revenue. Implied gross margin was 85%. Research and development was $9.7 billion, larger than the other-compute bound, because R&amp;D also contains payroll, software, and overhead. A year earlier, compute expense was 201% of revenue and implied gross margin was 12%. The change is operating leverage on a compute base that was committed 12 to 18 months ahead of delivery, not a disclosure that training stopped.</t>
        </is>
      </c>
      <c r="B25" s="19" t="n"/>
      <c r="C25" s="19" t="n"/>
      <c r="D25" s="19" t="n"/>
      <c r="E25" s="19" t="n"/>
      <c r="F25" s="19" t="n"/>
      <c r="G25" s="19" t="n"/>
      <c r="H25" s="19" t="n"/>
    </row>
    <row r="27" ht="22" customHeight="1">
      <c r="A27" s="5" t="inlineStr">
        <is>
          <t>What still sits inside “other compute”</t>
        </is>
      </c>
      <c r="B27" s="6" t="n"/>
      <c r="C27" s="6" t="n"/>
      <c r="D27" s="6" t="n"/>
      <c r="E27" s="6" t="n"/>
      <c r="F27" s="6" t="n"/>
      <c r="G27" s="6" t="n"/>
      <c r="H27" s="6" t="n"/>
    </row>
    <row r="28" ht="78" customHeight="1">
      <c r="A28" s="18" t="inlineStr">
        <is>
          <t>The company lists four workloads that share the pool: research, model development, serving customers, and internal usage of Claude. Serving customers is the only one that maps cleanly toward cost of revenue. Model development includes pre-training and post-training. Internal usage is employees running Claude, which is inference. Sales and marketing also contains compute for free access, which is inference given away and is outside cost of revenue. The filing says demand has historically exceeded capacity, so the marginal unit is steered to whichever workload is most productive at the time, and the company plans and assesses compute in total rather than by workload. That is why a training-versus-inference percentage is not knowable from this prospectus.</t>
        </is>
      </c>
      <c r="B28" s="19" t="n"/>
      <c r="C28" s="19" t="n"/>
      <c r="D28" s="19" t="n"/>
      <c r="E28" s="19" t="n"/>
      <c r="F28" s="19" t="n"/>
      <c r="G28" s="19" t="n"/>
      <c r="H28" s="19" t="n"/>
    </row>
    <row r="30" ht="22" customHeight="1">
      <c r="A30" s="5" t="inlineStr">
        <is>
          <t>Quarterly path of total compute  —  no training / inference split is disclosed by quarter</t>
        </is>
      </c>
      <c r="B30" s="6" t="n"/>
      <c r="C30" s="6" t="n"/>
      <c r="D30" s="6" t="n"/>
      <c r="E30" s="6" t="n"/>
      <c r="F30" s="6" t="n"/>
      <c r="G30" s="6" t="n"/>
      <c r="H30" s="6" t="n"/>
    </row>
    <row r="31">
      <c r="B31" s="9" t="inlineStr">
        <is>
          <t>Quarterly, millions of USD</t>
        </is>
      </c>
      <c r="C31" s="9" t="inlineStr">
        <is>
          <t>Q1 2025</t>
        </is>
      </c>
      <c r="D31" s="9" t="inlineStr">
        <is>
          <t>Q2 2025</t>
        </is>
      </c>
      <c r="E31" s="9" t="inlineStr">
        <is>
          <t>Q3 2025</t>
        </is>
      </c>
      <c r="F31" s="9" t="inlineStr">
        <is>
          <t>Q4 2025</t>
        </is>
      </c>
      <c r="G31" s="9" t="inlineStr">
        <is>
          <t>Q1 2026</t>
        </is>
      </c>
      <c r="H31" s="9" t="inlineStr">
        <is>
          <t>Q2 2026</t>
        </is>
      </c>
    </row>
    <row r="32" ht="20" customHeight="1">
      <c r="B32" s="20" t="inlineStr">
        <is>
          <t>Revenue</t>
        </is>
      </c>
      <c r="C32" s="11">
        <f>Inputs!D73</f>
        <v/>
      </c>
      <c r="D32" s="11">
        <f>Inputs!E73</f>
        <v/>
      </c>
      <c r="E32" s="11">
        <f>Inputs!F73</f>
        <v/>
      </c>
      <c r="F32" s="11">
        <f>Inputs!G73</f>
        <v/>
      </c>
      <c r="G32" s="11">
        <f>Inputs!H73</f>
        <v/>
      </c>
      <c r="H32" s="11">
        <f>Inputs!I73</f>
        <v/>
      </c>
      <c r="I32" s="21" t="inlineStr">
        <is>
          <t>From the quarterly table.</t>
        </is>
      </c>
    </row>
    <row r="33" ht="20" customHeight="1">
      <c r="B33" s="20" t="inlineStr">
        <is>
          <t>Compute and infrastructure</t>
        </is>
      </c>
      <c r="C33" s="11">
        <f>Inputs!D74</f>
        <v/>
      </c>
      <c r="D33" s="11">
        <f>Inputs!E74</f>
        <v/>
      </c>
      <c r="E33" s="11">
        <f>Inputs!F74</f>
        <v/>
      </c>
      <c r="F33" s="11">
        <f>Inputs!G74</f>
        <v/>
      </c>
      <c r="G33" s="11">
        <f>Inputs!H74</f>
        <v/>
      </c>
      <c r="H33" s="11">
        <f>Inputs!I74</f>
        <v/>
      </c>
      <c r="I33" s="21" t="inlineStr">
        <is>
          <t>Not split by workload in any quarter.</t>
        </is>
      </c>
    </row>
    <row r="34" ht="20" customHeight="1">
      <c r="B34" s="20" t="inlineStr">
        <is>
          <t>Compute as % of revenue</t>
        </is>
      </c>
      <c r="C34" s="15">
        <f>IF(C32=0,NA(),C33/C32)</f>
        <v/>
      </c>
      <c r="D34" s="15">
        <f>IF(D32=0,NA(),D33/D32)</f>
        <v/>
      </c>
      <c r="E34" s="15">
        <f>IF(E32=0,NA(),E33/E32)</f>
        <v/>
      </c>
      <c r="F34" s="15">
        <f>IF(F32=0,NA(),F33/F32)</f>
        <v/>
      </c>
      <c r="G34" s="15">
        <f>IF(G32=0,NA(),G33/G32)</f>
        <v/>
      </c>
      <c r="H34" s="15">
        <f>IF(H32=0,NA(),H33/H32)</f>
        <v/>
      </c>
      <c r="I34" s="21" t="inlineStr">
        <is>
          <t>Filing prints 251%, 177%, 148%, 144%, 72%, and 48%.</t>
        </is>
      </c>
    </row>
    <row r="35" ht="20" customHeight="1">
      <c r="B35" s="20" t="inlineStr">
        <is>
          <t>Year-over-year revenue growth</t>
        </is>
      </c>
      <c r="C35" s="23" t="n"/>
      <c r="D35" s="23" t="n"/>
      <c r="E35" s="23" t="n"/>
      <c r="F35" s="23" t="n"/>
      <c r="G35" s="15">
        <f>IF(C32=0,NA(),G32/C32-1)</f>
        <v/>
      </c>
      <c r="H35" s="15">
        <f>IF(D32=0,NA(),H32/D32-1)</f>
        <v/>
      </c>
      <c r="I35" s="21" t="inlineStr">
        <is>
          <t>Q2 2026 revenue growth of 1,368% is the figure cited in the prospectus.</t>
        </is>
      </c>
    </row>
    <row r="36" ht="20" customHeight="1">
      <c r="B36" s="20" t="inlineStr">
        <is>
          <t>Year-over-year compute growth</t>
        </is>
      </c>
      <c r="C36" s="23" t="n"/>
      <c r="D36" s="23" t="n"/>
      <c r="E36" s="23" t="n"/>
      <c r="F36" s="23" t="n"/>
      <c r="G36" s="15">
        <f>IF(C33=0,NA(),G33/C33-1)</f>
        <v/>
      </c>
      <c r="H36" s="15">
        <f>IF(D33=0,NA(),H33/D33-1)</f>
        <v/>
      </c>
      <c r="I36" s="21" t="inlineStr">
        <is>
          <t>Q2 2026 compute growth of 300% is the companion figure.</t>
        </is>
      </c>
    </row>
    <row r="38" ht="72" customHeight="1">
      <c r="A38" s="18" t="inlineStr">
        <is>
          <t>For the quarter ended June 30, 2026, revenue grew 1,368% year over year and compute expense grew 300%. Compute was 48% of that quarter’s revenue, and the company reported GAAP operating income of $974 million (8% operating margin; 19% adjusted operating margin). The company also says the next increments of compute, and a greater mix of short-term compute, can compress operating margin even if unit economics improve, because the expense is recognized when capacity arrives, ahead of the revenue it will support. Owned-compute cash capex is still small next to the expense line: $482 million in the first half of 2026, versus $8.9 billion of compute expense. See Compute Commitments for the contracted amounts that have not yet hit the income statement.</t>
        </is>
      </c>
      <c r="B38" s="19" t="n"/>
      <c r="C38" s="19" t="n"/>
      <c r="D38" s="19" t="n"/>
      <c r="E38" s="19" t="n"/>
      <c r="F38" s="19" t="n"/>
      <c r="G38" s="19" t="n"/>
      <c r="H38" s="19" t="n"/>
    </row>
    <row r="46" ht="18" customHeight="1"/>
    <row r="80">
      <c r="B80" s="24" t="inlineStr">
        <is>
          <t>Chart source</t>
        </is>
      </c>
    </row>
    <row r="81">
      <c r="C81" s="25">
        <f>C7</f>
        <v/>
      </c>
      <c r="D81" s="25">
        <f>D7</f>
        <v/>
      </c>
      <c r="E81" s="25">
        <f>E7</f>
        <v/>
      </c>
      <c r="F81" s="25">
        <f>F7</f>
        <v/>
      </c>
      <c r="G81" s="25">
        <f>G7</f>
        <v/>
      </c>
    </row>
    <row r="82">
      <c r="B82" t="inlineStr">
        <is>
          <t>Revenue</t>
        </is>
      </c>
      <c r="C82" s="26">
        <f>C8</f>
        <v/>
      </c>
      <c r="D82" s="26">
        <f>D8</f>
        <v/>
      </c>
      <c r="E82" s="26">
        <f>E8</f>
        <v/>
      </c>
      <c r="F82" s="26">
        <f>F8</f>
        <v/>
      </c>
      <c r="G82" s="26">
        <f>G8</f>
        <v/>
      </c>
    </row>
    <row r="83">
      <c r="B83" t="inlineStr">
        <is>
          <t>Inference compute, upper bound</t>
        </is>
      </c>
      <c r="C83" s="26">
        <f>C14</f>
        <v/>
      </c>
      <c r="D83" s="26">
        <f>D14</f>
        <v/>
      </c>
      <c r="E83" s="26">
        <f>E14</f>
        <v/>
      </c>
      <c r="F83" s="26">
        <f>F14</f>
        <v/>
      </c>
      <c r="G83" s="26">
        <f>G14</f>
        <v/>
      </c>
    </row>
    <row r="84">
      <c r="B84" t="inlineStr">
        <is>
          <t>Other compute, lower bound</t>
        </is>
      </c>
      <c r="C84" s="26">
        <f>C15</f>
        <v/>
      </c>
      <c r="D84" s="26">
        <f>D15</f>
        <v/>
      </c>
      <c r="E84" s="26">
        <f>E15</f>
        <v/>
      </c>
      <c r="F84" s="26">
        <f>F15</f>
        <v/>
      </c>
      <c r="G84" s="26">
        <f>G15</f>
        <v/>
      </c>
    </row>
  </sheetData>
  <mergeCells count="10">
    <mergeCell ref="A4:H4"/>
    <mergeCell ref="A30:H30"/>
    <mergeCell ref="B1:H1"/>
    <mergeCell ref="A25:H25"/>
    <mergeCell ref="A38:H38"/>
    <mergeCell ref="A28:H28"/>
    <mergeCell ref="B2:H2"/>
    <mergeCell ref="A13:H13"/>
    <mergeCell ref="A5:H5"/>
    <mergeCell ref="A27:H27"/>
  </mergeCells>
  <pageMargins left="0.5" right="0.5" top="0.7" bottom="0.6" header="0.25" footer="0.25"/>
  <pageSetup orientation="landscape" paperSize="3" fitToHeight="3" fitToWidth="1" horizontalDpi="300" verticalDpi="300"/>
  <headerFooter>
    <oddHeader>&amp;L&amp;"Calibri"&amp;9 Anthropic, PBC  |  Form S-1 filed October 26, 2026</oddHeader>
    <oddFooter>&amp;L&amp;"Calibri"&amp;8 Training vs inference  |  S-1 bounds, not a reported split&amp;RPage &amp;P of &amp;N</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tabColor rgb="008A6A2F"/>
    <outlinePr summaryBelow="1" summaryRight="1"/>
    <pageSetUpPr fitToPage="1"/>
  </sheetPr>
  <dimension ref="A1:J40"/>
  <sheetViews>
    <sheetView showGridLines="0" view="normal" zoomScale="11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28" customWidth="1" min="2" max="2"/>
    <col width="16" customWidth="1" min="3" max="3"/>
    <col width="16" customWidth="1" min="4" max="4"/>
    <col width="16" customWidth="1" min="5" max="5"/>
    <col width="18" customWidth="1" min="6" max="6"/>
    <col width="20" customWidth="1" min="7" max="7"/>
    <col width="22" customWidth="1" min="8" max="8"/>
    <col width="24" customWidth="1" min="9" max="9"/>
    <col width="36" customWidth="1" min="10" max="10"/>
  </cols>
  <sheetData>
    <row r="1" ht="28" customHeight="1">
      <c r="B1" s="1" t="inlineStr">
        <is>
          <t>ARR and new ARR by quarter</t>
        </is>
      </c>
    </row>
    <row r="2" ht="48" customHeight="1">
      <c r="B2" s="17" t="inlineStr">
        <is>
          <t>Anthropic does not report ARR or new ARR. The operating metric is Run-Rate Revenue. The prospectus defines it and names one measurement date, October 31, 2026. The dollar amount on that date is blank in this preliminary S-1. No quarterly series, and no new-versus-expansion bridge, is disclosed. The table below is GAAP revenue. The annualized column is arithmetic, not the company’s metric.</t>
        </is>
      </c>
      <c r="C2" s="4" t="n"/>
      <c r="D2" s="4" t="n"/>
      <c r="E2" s="4" t="n"/>
      <c r="F2" s="4" t="n"/>
      <c r="G2" s="4" t="n"/>
      <c r="H2" s="4" t="n"/>
      <c r="I2" s="4" t="n"/>
      <c r="J2" s="4" t="n"/>
    </row>
    <row r="4" ht="22" customHeight="1">
      <c r="A4" s="5" t="inlineStr">
        <is>
          <t>Definition printed in the S-1</t>
        </is>
      </c>
      <c r="B4" s="6" t="n"/>
      <c r="C4" s="6" t="n"/>
      <c r="D4" s="6" t="n"/>
      <c r="E4" s="6" t="n"/>
      <c r="F4" s="6" t="n"/>
      <c r="G4" s="6" t="n"/>
      <c r="H4" s="6" t="n"/>
      <c r="I4" s="6" t="n"/>
      <c r="J4" s="6" t="n"/>
    </row>
    <row r="5" ht="78" customHeight="1">
      <c r="A5" s="18" t="inlineStr">
        <is>
          <t>Run-Rate Revenue = (consumption-based fees during the trailing 28 days × 13) + (aggregate monthly subscription fees on the measurement date × 12). Both pieces come from customer usage and active subscriptions. It is not GAAP revenue and not a forecast. Because it annualizes 28 days, a holiday trough or a launch spike moves the number by a full year. The company says usage is lower around summer and winter holidays. For the two weeks ended January 2, 2026, customer spend was about 20% below the prior two weeks ended December 19, 2025. Run-Rate Revenue also includes customers later found to be outside the usage policy; that revenue is not expected to recur once access is cut off. The company expects the Run-Rate Revenue growth rate to decline.</t>
        </is>
      </c>
      <c r="B5" s="19" t="n"/>
      <c r="C5" s="19" t="n"/>
      <c r="D5" s="19" t="n"/>
      <c r="E5" s="19" t="n"/>
      <c r="F5" s="19" t="n"/>
      <c r="G5" s="19" t="n"/>
      <c r="H5" s="19" t="n"/>
      <c r="I5" s="19" t="n"/>
      <c r="J5" s="19" t="n"/>
    </row>
    <row r="7" ht="22" customHeight="1">
      <c r="A7" s="5" t="inlineStr">
        <is>
          <t>The one reported observation</t>
        </is>
      </c>
      <c r="B7" s="6" t="n"/>
      <c r="C7" s="6" t="n"/>
      <c r="D7" s="6" t="n"/>
      <c r="E7" s="6" t="n"/>
      <c r="F7" s="6" t="n"/>
      <c r="G7" s="6" t="n"/>
      <c r="H7" s="6" t="n"/>
      <c r="I7" s="6" t="n"/>
      <c r="J7" s="6" t="n"/>
    </row>
    <row r="8">
      <c r="B8" s="9" t="inlineStr">
        <is>
          <t>Item</t>
        </is>
      </c>
      <c r="C8" s="9" t="inlineStr">
        <is>
          <t>Date</t>
        </is>
      </c>
      <c r="D8" s="9" t="inlineStr">
        <is>
          <t>Amount</t>
        </is>
      </c>
      <c r="E8" s="9" t="inlineStr">
        <is>
          <t>Unit</t>
        </is>
      </c>
      <c r="F8" s="9" t="inlineStr">
        <is>
          <t>Status</t>
        </is>
      </c>
    </row>
    <row r="9" ht="32" customHeight="1">
      <c r="B9" s="20" t="inlineStr">
        <is>
          <t>Run-Rate Revenue</t>
        </is>
      </c>
      <c r="C9" s="27" t="inlineStr">
        <is>
          <t>October 31, 2026</t>
        </is>
      </c>
      <c r="D9" s="28" t="inlineStr">
        <is>
          <t>Blank in the filing</t>
        </is>
      </c>
      <c r="E9" s="27" t="inlineStr">
        <is>
          <t>USD</t>
        </is>
      </c>
      <c r="F9" s="28" t="inlineStr">
        <is>
          <t>Not disclosed</t>
        </is>
      </c>
      <c r="G9" s="29" t="inlineStr">
        <is>
          <t>The sentence reads “our Run-Rate Revenue was $      as of October 31, 2026.” The dollars are non-breaking spaces, not a failed extract.</t>
        </is>
      </c>
      <c r="H9" s="30" t="n"/>
      <c r="I9" s="30" t="n"/>
      <c r="J9" s="30" t="n"/>
    </row>
    <row r="11" ht="22" customHeight="1">
      <c r="A11" s="5" t="inlineStr">
        <is>
          <t>GAAP revenue by quarter  —  not ARR, and not new ARR</t>
        </is>
      </c>
      <c r="B11" s="6" t="n"/>
      <c r="C11" s="6" t="n"/>
      <c r="D11" s="6" t="n"/>
      <c r="E11" s="6" t="n"/>
      <c r="F11" s="6" t="n"/>
      <c r="G11" s="6" t="n"/>
      <c r="H11" s="6" t="n"/>
      <c r="I11" s="6" t="n"/>
      <c r="J11" s="6" t="n"/>
    </row>
    <row r="12" ht="36" customHeight="1">
      <c r="B12" s="9" t="inlineStr">
        <is>
          <t>Quarter</t>
        </is>
      </c>
      <c r="C12" s="9" t="inlineStr">
        <is>
          <t>GAAP revenue</t>
        </is>
      </c>
      <c r="D12" s="9" t="inlineStr">
        <is>
          <t>Sequential change</t>
        </is>
      </c>
      <c r="E12" s="9" t="inlineStr">
        <is>
          <t>Sequential growth</t>
        </is>
      </c>
      <c r="F12" s="9" t="inlineStr">
        <is>
          <t>Year-over-year growth</t>
        </is>
      </c>
      <c r="G12" s="9" t="inlineStr">
        <is>
          <t>Illustrative annualized GAAP (×4)</t>
        </is>
      </c>
      <c r="H12" s="9" t="inlineStr">
        <is>
          <t>Change in illustrative annualized</t>
        </is>
      </c>
      <c r="I12" s="9" t="inlineStr">
        <is>
          <t>Run-Rate Revenue</t>
        </is>
      </c>
      <c r="J12" s="9" t="inlineStr">
        <is>
          <t>New ARR</t>
        </is>
      </c>
    </row>
    <row r="13" ht="20" customHeight="1">
      <c r="B13" s="31" t="inlineStr">
        <is>
          <t>Q4 2024</t>
        </is>
      </c>
      <c r="C13" s="11">
        <f>Inputs!C73</f>
        <v/>
      </c>
      <c r="D13" s="32" t="n"/>
      <c r="E13" s="23" t="n"/>
      <c r="F13" s="23" t="n"/>
      <c r="G13" s="11">
        <f>C13*4</f>
        <v/>
      </c>
      <c r="H13" s="32" t="n"/>
      <c r="I13" s="33" t="inlineStr">
        <is>
          <t>Not disclosed</t>
        </is>
      </c>
      <c r="J13" s="33" t="inlineStr">
        <is>
          <t>Not disclosed</t>
        </is>
      </c>
    </row>
    <row r="14" ht="20" customHeight="1">
      <c r="B14" s="31" t="inlineStr">
        <is>
          <t>Q1 2025</t>
        </is>
      </c>
      <c r="C14" s="11">
        <f>Inputs!D73</f>
        <v/>
      </c>
      <c r="D14" s="11">
        <f>C14-C13</f>
        <v/>
      </c>
      <c r="E14" s="15">
        <f>IF(C13=0,NA(),C14/C13-1)</f>
        <v/>
      </c>
      <c r="F14" s="23" t="n"/>
      <c r="G14" s="11">
        <f>C14*4</f>
        <v/>
      </c>
      <c r="H14" s="11">
        <f>G14-G13</f>
        <v/>
      </c>
      <c r="I14" s="33" t="inlineStr">
        <is>
          <t>Not disclosed</t>
        </is>
      </c>
      <c r="J14" s="33" t="inlineStr">
        <is>
          <t>Not disclosed</t>
        </is>
      </c>
    </row>
    <row r="15" ht="20" customHeight="1">
      <c r="B15" s="31" t="inlineStr">
        <is>
          <t>Q2 2025</t>
        </is>
      </c>
      <c r="C15" s="11">
        <f>Inputs!E73</f>
        <v/>
      </c>
      <c r="D15" s="11">
        <f>C15-C14</f>
        <v/>
      </c>
      <c r="E15" s="15">
        <f>IF(C14=0,NA(),C15/C14-1)</f>
        <v/>
      </c>
      <c r="F15" s="23" t="n"/>
      <c r="G15" s="11">
        <f>C15*4</f>
        <v/>
      </c>
      <c r="H15" s="11">
        <f>G15-G14</f>
        <v/>
      </c>
      <c r="I15" s="33" t="inlineStr">
        <is>
          <t>Not disclosed</t>
        </is>
      </c>
      <c r="J15" s="33" t="inlineStr">
        <is>
          <t>Not disclosed</t>
        </is>
      </c>
    </row>
    <row r="16" ht="20" customHeight="1">
      <c r="B16" s="31" t="inlineStr">
        <is>
          <t>Q3 2025</t>
        </is>
      </c>
      <c r="C16" s="11">
        <f>Inputs!F73</f>
        <v/>
      </c>
      <c r="D16" s="11">
        <f>C16-C15</f>
        <v/>
      </c>
      <c r="E16" s="15">
        <f>IF(C15=0,NA(),C16/C15-1)</f>
        <v/>
      </c>
      <c r="F16" s="23" t="n"/>
      <c r="G16" s="11">
        <f>C16*4</f>
        <v/>
      </c>
      <c r="H16" s="11">
        <f>G16-G15</f>
        <v/>
      </c>
      <c r="I16" s="33" t="inlineStr">
        <is>
          <t>Not disclosed</t>
        </is>
      </c>
      <c r="J16" s="33" t="inlineStr">
        <is>
          <t>Not disclosed</t>
        </is>
      </c>
    </row>
    <row r="17" ht="20" customHeight="1">
      <c r="B17" s="31" t="inlineStr">
        <is>
          <t>Q4 2025</t>
        </is>
      </c>
      <c r="C17" s="11">
        <f>Inputs!G73</f>
        <v/>
      </c>
      <c r="D17" s="11">
        <f>C17-C16</f>
        <v/>
      </c>
      <c r="E17" s="15">
        <f>IF(C16=0,NA(),C17/C16-1)</f>
        <v/>
      </c>
      <c r="F17" s="15">
        <f>IF(C13=0,NA(),C17/C13-1)</f>
        <v/>
      </c>
      <c r="G17" s="11">
        <f>C17*4</f>
        <v/>
      </c>
      <c r="H17" s="11">
        <f>G17-G16</f>
        <v/>
      </c>
      <c r="I17" s="33" t="inlineStr">
        <is>
          <t>Not disclosed</t>
        </is>
      </c>
      <c r="J17" s="33" t="inlineStr">
        <is>
          <t>Not disclosed</t>
        </is>
      </c>
    </row>
    <row r="18" ht="20" customHeight="1">
      <c r="B18" s="31" t="inlineStr">
        <is>
          <t>Q1 2026</t>
        </is>
      </c>
      <c r="C18" s="11">
        <f>Inputs!H73</f>
        <v/>
      </c>
      <c r="D18" s="11">
        <f>C18-C17</f>
        <v/>
      </c>
      <c r="E18" s="15">
        <f>IF(C17=0,NA(),C18/C17-1)</f>
        <v/>
      </c>
      <c r="F18" s="15">
        <f>IF(C14=0,NA(),C18/C14-1)</f>
        <v/>
      </c>
      <c r="G18" s="11">
        <f>C18*4</f>
        <v/>
      </c>
      <c r="H18" s="11">
        <f>G18-G17</f>
        <v/>
      </c>
      <c r="I18" s="33" t="inlineStr">
        <is>
          <t>Not disclosed</t>
        </is>
      </c>
      <c r="J18" s="33" t="inlineStr">
        <is>
          <t>Not disclosed</t>
        </is>
      </c>
    </row>
    <row r="19" ht="20" customHeight="1">
      <c r="B19" s="31" t="inlineStr">
        <is>
          <t>Q2 2026</t>
        </is>
      </c>
      <c r="C19" s="11">
        <f>Inputs!I73</f>
        <v/>
      </c>
      <c r="D19" s="11">
        <f>C19-C18</f>
        <v/>
      </c>
      <c r="E19" s="15">
        <f>IF(C18=0,NA(),C19/C18-1)</f>
        <v/>
      </c>
      <c r="F19" s="15">
        <f>IF(C15=0,NA(),C19/C15-1)</f>
        <v/>
      </c>
      <c r="G19" s="11">
        <f>C19*4</f>
        <v/>
      </c>
      <c r="H19" s="11">
        <f>G19-G18</f>
        <v/>
      </c>
      <c r="I19" s="33" t="inlineStr">
        <is>
          <t>Not disclosed</t>
        </is>
      </c>
      <c r="J19" s="33" t="inlineStr">
        <is>
          <t>Not disclosed</t>
        </is>
      </c>
    </row>
    <row r="21" ht="68" customHeight="1">
      <c r="A21" s="18" t="inlineStr">
        <is>
          <t>Column G multiplies the quarter by four. Column H is four times the sequential revenue change. Neither column is Run-Rate Revenue. Run-Rate Revenue annualizes the last 28 days of consumption and one month of subscriptions, not the quarter. With sequential growth of 132% in Q1 2026 and 144% in Q2 2026, an end-of-quarter run-rate would sit above the quarterly annualization, and a holiday measurement would sit below it. The filing does not give the 28-day or monthly-subscription inputs, so the company’s formula cannot be rebuilt by quarter. New ARR is not a concept in the filing. Consumption is recognized as tokens are used. It is not booked as annual contract value, and there is no disclosure of new-logo ARR versus expansion ARR.</t>
        </is>
      </c>
      <c r="B21" s="19" t="n"/>
      <c r="C21" s="19" t="n"/>
      <c r="D21" s="19" t="n"/>
      <c r="E21" s="19" t="n"/>
      <c r="F21" s="19" t="n"/>
      <c r="G21" s="19" t="n"/>
      <c r="H21" s="19" t="n"/>
      <c r="I21" s="19" t="n"/>
      <c r="J21" s="19" t="n"/>
    </row>
    <row r="23" ht="22" customHeight="1">
      <c r="A23" s="5" t="inlineStr">
        <is>
          <t>Why net revenue retention is not a new-ARR bridge</t>
        </is>
      </c>
      <c r="B23" s="6" t="n"/>
      <c r="C23" s="6" t="n"/>
      <c r="D23" s="6" t="n"/>
      <c r="E23" s="6" t="n"/>
      <c r="F23" s="6" t="n"/>
      <c r="G23" s="6" t="n"/>
      <c r="H23" s="6" t="n"/>
      <c r="I23" s="6" t="n"/>
      <c r="J23" s="6" t="n"/>
    </row>
    <row r="24" ht="72" customHeight="1">
      <c r="A24" s="18" t="inlineStr">
        <is>
          <t>Net revenue retention was approximately 900% as of September 30, 2026, and that is the only NRR figure in the prospectus. It equals qualified customers’ current-quarter revenue divided by those same customers’ revenue in the quarter one year earlier. A qualified customer had at least $1 of revenue in the base quarter. Claude Pro and Max subscribers are excluded, because a fixed subscription does not show expansion. 900% means the retained cohort’s revenue was about 9×, not that the company added a stated dollar amount of ARR. Company-wide revenue in Q2 2026 was 14.7× Q2 2025. That is a different ratio: it includes new customers and it includes Pro and Max. The two ratios cannot be subtracted to produce new-logo revenue. Doing so would invent a number the filing does not support.</t>
        </is>
      </c>
      <c r="B24" s="19" t="n"/>
      <c r="C24" s="19" t="n"/>
      <c r="D24" s="19" t="n"/>
      <c r="E24" s="19" t="n"/>
      <c r="F24" s="19" t="n"/>
      <c r="G24" s="19" t="n"/>
      <c r="H24" s="19" t="n"/>
      <c r="I24" s="19" t="n"/>
      <c r="J24" s="19" t="n"/>
    </row>
    <row r="26" ht="22" customHeight="1">
      <c r="A26" s="5" t="inlineStr">
        <is>
          <t>GAAP totals that are often mistaken for ARR</t>
        </is>
      </c>
      <c r="B26" s="6" t="n"/>
      <c r="C26" s="6" t="n"/>
      <c r="D26" s="6" t="n"/>
      <c r="E26" s="6" t="n"/>
      <c r="F26" s="6" t="n"/>
      <c r="G26" s="6" t="n"/>
      <c r="H26" s="6" t="n"/>
      <c r="I26" s="6" t="n"/>
      <c r="J26" s="6" t="n"/>
    </row>
    <row r="27">
      <c r="B27" s="9" t="inlineStr">
        <is>
          <t>Construct</t>
        </is>
      </c>
      <c r="C27" s="9" t="inlineStr">
        <is>
          <t>Amount ($ millions)</t>
        </is>
      </c>
      <c r="D27" s="9" t="inlineStr">
        <is>
          <t>What it is</t>
        </is>
      </c>
      <c r="E27" s="9" t="inlineStr">
        <is>
          <t>Is it ARR?</t>
        </is>
      </c>
    </row>
    <row r="28" ht="22" customHeight="1">
      <c r="B28" s="10" t="inlineStr">
        <is>
          <t>Q2 2026 revenue × 4</t>
        </is>
      </c>
      <c r="C28" s="11">
        <f>C19*4</f>
        <v/>
      </c>
      <c r="D28" s="21" t="inlineStr">
        <is>
          <t>Annualizes the June quarter only.</t>
        </is>
      </c>
      <c r="E28" s="8" t="n"/>
      <c r="F28" s="8" t="n"/>
    </row>
    <row r="29" ht="22" customHeight="1">
      <c r="B29" s="10" t="inlineStr">
        <is>
          <t>H1 2026 revenue × 2</t>
        </is>
      </c>
      <c r="C29" s="11">
        <f>Inputs!G6*2</f>
        <v/>
      </c>
      <c r="D29" s="21" t="inlineStr">
        <is>
          <t>Annualizes the first half.</t>
        </is>
      </c>
      <c r="E29" s="8" t="n"/>
      <c r="F29" s="8" t="n"/>
    </row>
    <row r="30" ht="22" customHeight="1">
      <c r="B30" s="10" t="inlineStr">
        <is>
          <t>TTM revenue ended June 30, 2026</t>
        </is>
      </c>
      <c r="C30" s="11">
        <f>C16+C17+C18+C19</f>
        <v/>
      </c>
      <c r="D30" s="21" t="inlineStr">
        <is>
          <t>Q3 2025 through Q2 2026. About $19.7 billion.</t>
        </is>
      </c>
      <c r="E30" s="8" t="n"/>
      <c r="F30" s="8" t="n"/>
    </row>
    <row r="31" ht="22" customHeight="1">
      <c r="B31" s="10" t="inlineStr">
        <is>
          <t>TTM revenue ended September 30, 2025</t>
        </is>
      </c>
      <c r="C31" s="11">
        <f>C13+C14+C15+C16</f>
        <v/>
      </c>
      <c r="D31" s="21" t="inlineStr">
        <is>
          <t>Q4 2024 through Q3 2025. The base under the “about 1,200%” TTM comment.</t>
        </is>
      </c>
      <c r="E31" s="8" t="n"/>
      <c r="F31" s="8" t="n"/>
    </row>
    <row r="32" ht="22" customHeight="1">
      <c r="B32" s="10" t="inlineStr">
        <is>
          <t>Known quarters inside TTM ended September 30, 2026</t>
        </is>
      </c>
      <c r="C32" s="11">
        <f>C17+C18+C19</f>
        <v/>
      </c>
      <c r="D32" s="21" t="inlineStr">
        <is>
          <t>Q4 2025 through Q2 2026. Q3 2026 revenue is blank, so this is not TTM.</t>
        </is>
      </c>
      <c r="E32" s="8" t="n"/>
      <c r="F32" s="8" t="n"/>
    </row>
    <row r="34" ht="22" customHeight="1">
      <c r="A34" s="5" t="inlineStr">
        <is>
          <t>A cross-check that is not in the filing</t>
        </is>
      </c>
      <c r="B34" s="6" t="n"/>
      <c r="C34" s="6" t="n"/>
      <c r="D34" s="6" t="n"/>
      <c r="E34" s="6" t="n"/>
      <c r="F34" s="6" t="n"/>
      <c r="G34" s="6" t="n"/>
      <c r="H34" s="6" t="n"/>
      <c r="I34" s="6" t="n"/>
      <c r="J34" s="6" t="n"/>
    </row>
    <row r="35" ht="72" customHeight="1">
      <c r="A35" s="18" t="inlineStr">
        <is>
          <t>Two rounded operating metrics can be multiplied, and the product is easy to misread as ARR. TTM revenue per employee was over $6.6 million as of September 30, 2026, and headcount was about 5,300. The product is just over $35 billion of implied TTM revenue. Subtracting the $18.3 billion of known quarters inside that TTM window would imply a Q3 2026 revenue on the order of $17 billion. Both inputs are approximate (“over”, “approximately”), Q3 revenue is blank in the prospectus, and Run-Rate Revenue is a 28-day construct rather than TTM. The cells below show the arithmetic so it can be stress-tested. They are not S-1 figures and they are not a forecast.</t>
        </is>
      </c>
      <c r="B35" s="19" t="n"/>
      <c r="C35" s="19" t="n"/>
      <c r="D35" s="19" t="n"/>
      <c r="E35" s="19" t="n"/>
      <c r="F35" s="19" t="n"/>
      <c r="G35" s="19" t="n"/>
      <c r="H35" s="19" t="n"/>
      <c r="I35" s="19" t="n"/>
      <c r="J35" s="19" t="n"/>
    </row>
    <row r="36">
      <c r="B36" s="9" t="inlineStr">
        <is>
          <t>Cross-check input</t>
        </is>
      </c>
      <c r="C36" s="9" t="inlineStr">
        <is>
          <t>Value</t>
        </is>
      </c>
      <c r="D36" s="9" t="inlineStr">
        <is>
          <t>Source of the input</t>
        </is>
      </c>
    </row>
    <row r="37" ht="22" customHeight="1">
      <c r="B37" s="10" t="inlineStr">
        <is>
          <t>TTM revenue per employee, $ millions</t>
        </is>
      </c>
      <c r="C37" s="34" t="n">
        <v>6.6</v>
      </c>
      <c r="D37" s="21" t="inlineStr">
        <is>
          <t>S-1 says “over $6.6 million”. Typed here as 6.6 so the floor can be recomputed.</t>
        </is>
      </c>
      <c r="E37" s="35" t="n"/>
      <c r="F37" s="35" t="n"/>
      <c r="G37" s="35" t="n"/>
      <c r="H37" s="35" t="n"/>
      <c r="I37" s="35" t="n"/>
      <c r="J37" s="35" t="n"/>
    </row>
    <row r="38" ht="22" customHeight="1">
      <c r="B38" s="10" t="inlineStr">
        <is>
          <t>Employees</t>
        </is>
      </c>
      <c r="C38" s="36" t="n">
        <v>5300</v>
      </c>
      <c r="D38" s="21" t="inlineStr">
        <is>
          <t>S-1 says “approximately 5,300” as of September 30, 2026.</t>
        </is>
      </c>
      <c r="E38" s="35" t="n"/>
      <c r="F38" s="35" t="n"/>
      <c r="G38" s="35" t="n"/>
      <c r="H38" s="35" t="n"/>
      <c r="I38" s="35" t="n"/>
      <c r="J38" s="35" t="n"/>
    </row>
    <row r="39" ht="22" customHeight="1">
      <c r="B39" s="20" t="inlineStr">
        <is>
          <t>Implied TTM revenue, $ millions</t>
        </is>
      </c>
      <c r="C39" s="13">
        <f>C37*C38</f>
        <v/>
      </c>
      <c r="D39" s="37" t="inlineStr">
        <is>
          <t>Floor only if both inputs are taken at the printed rounded values. Not reported TTM.</t>
        </is>
      </c>
      <c r="E39" s="35" t="n"/>
      <c r="F39" s="35" t="n"/>
      <c r="G39" s="35" t="n"/>
      <c r="H39" s="35" t="n"/>
      <c r="I39" s="35" t="n"/>
      <c r="J39" s="35" t="n"/>
    </row>
    <row r="40" ht="22" customHeight="1">
      <c r="B40" s="20" t="inlineStr">
        <is>
          <t>Implied Q3 2026 revenue, $ millions</t>
        </is>
      </c>
      <c r="C40" s="13">
        <f>C39-C32</f>
        <v/>
      </c>
      <c r="D40" s="37" t="inlineStr">
        <is>
          <t>Implied TTM minus Q4 2025, Q1 2026, and Q2 2026. Not a disclosed quarter.</t>
        </is>
      </c>
      <c r="E40" s="35" t="n"/>
      <c r="F40" s="35" t="n"/>
      <c r="G40" s="35" t="n"/>
      <c r="H40" s="35" t="n"/>
      <c r="I40" s="35" t="n"/>
      <c r="J40" s="35" t="n"/>
    </row>
  </sheetData>
  <mergeCells count="22">
    <mergeCell ref="A5:J5"/>
    <mergeCell ref="A23:J23"/>
    <mergeCell ref="D32:F32"/>
    <mergeCell ref="D39:J39"/>
    <mergeCell ref="A35:J35"/>
    <mergeCell ref="B1:J1"/>
    <mergeCell ref="A4:J4"/>
    <mergeCell ref="B2:J2"/>
    <mergeCell ref="D38:J38"/>
    <mergeCell ref="G9:J9"/>
    <mergeCell ref="D28:F28"/>
    <mergeCell ref="A34:J34"/>
    <mergeCell ref="A24:J24"/>
    <mergeCell ref="D30:F30"/>
    <mergeCell ref="A11:J11"/>
    <mergeCell ref="D29:F29"/>
    <mergeCell ref="D40:J40"/>
    <mergeCell ref="A7:J7"/>
    <mergeCell ref="D31:F31"/>
    <mergeCell ref="A21:J21"/>
    <mergeCell ref="A26:J26"/>
    <mergeCell ref="D37:J37"/>
  </mergeCells>
  <pageMargins left="0.5" right="0.5" top="0.7" bottom="0.6" header="0.25" footer="0.25"/>
  <pageSetup orientation="landscape" paperSize="3" fitToHeight="0" fitToWidth="1" horizontalDpi="300" verticalDpi="300"/>
  <headerFooter>
    <oddHeader>&amp;L&amp;"Calibri"&amp;9 Anthropic, PBC  |  Form S-1 filed October 26, 2026</oddHeader>
    <oddFooter>&amp;L&amp;"Calibri"&amp;8 ARR and new ARR  |  Run-Rate Revenue dollars are blank in the preliminary S-1&amp;RPage &amp;P of &amp;N</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tabColor rgb="001F6A62"/>
    <outlinePr summaryBelow="1" summaryRight="1"/>
    <pageSetUpPr fitToPage="1"/>
  </sheetPr>
  <dimension ref="A1:H46"/>
  <sheetViews>
    <sheetView showGridLines="0" view="normal" zoomScale="110" workbookViewId="0">
      <pane xSplit="1" ySplit="7" topLeftCell="B8" activePane="bottomRight" state="frozen"/>
      <selection pane="topRight"/>
      <selection pane="bottomLeft"/>
      <selection pane="bottomRight" activeCell="A1" sqref="A1"/>
    </sheetView>
  </sheetViews>
  <sheetFormatPr baseColWidth="8" defaultRowHeight="15"/>
  <cols>
    <col width="3" customWidth="1" min="1" max="1"/>
    <col width="62" customWidth="1" min="2" max="2"/>
    <col width="15" customWidth="1" min="3" max="3"/>
    <col width="15" customWidth="1" min="4" max="4"/>
    <col width="15" customWidth="1" min="5" max="5"/>
    <col width="15" customWidth="1" min="6" max="6"/>
    <col width="15" customWidth="1" min="7" max="7"/>
    <col width="55" customWidth="1" min="8" max="8"/>
  </cols>
  <sheetData>
    <row r="1" ht="28" customHeight="1">
      <c r="B1" s="1" t="inlineStr">
        <is>
          <t>Revenue by consumption and subscription, and margins</t>
        </is>
      </c>
    </row>
    <row r="2" ht="48" customHeight="1">
      <c r="B2" s="17" t="inlineStr">
        <is>
          <t>Note 2 disaggregates revenue two ways: consumption versus subscription, and United States versus international. There is one operating segment. There is no gross margin, and no margin, by product, model class, or pricing model. The gross margin below is revenue minus Note 8 cost of revenue. It is calculated here. It is not a line in the statements of operations.</t>
        </is>
      </c>
      <c r="C2" s="4" t="n"/>
      <c r="D2" s="4" t="n"/>
      <c r="E2" s="4" t="n"/>
      <c r="F2" s="4" t="n"/>
      <c r="G2" s="4" t="n"/>
      <c r="H2" s="4" t="n"/>
    </row>
    <row r="4" ht="22" customHeight="1">
      <c r="A4" s="5" t="inlineStr">
        <is>
          <t>Consumption and subscription</t>
        </is>
      </c>
      <c r="B4" s="6" t="n"/>
      <c r="C4" s="6" t="n"/>
      <c r="D4" s="6" t="n"/>
      <c r="E4" s="6" t="n"/>
      <c r="F4" s="6" t="n"/>
      <c r="G4" s="6" t="n"/>
      <c r="H4" s="6" t="n"/>
    </row>
    <row r="5" ht="58" customHeight="1">
      <c r="A5" s="18" t="inlineStr">
        <is>
          <t>Consumption (“pay-for-intelligence”) is metered in tokens and priced by model. It is the substantial majority of revenue, and the company expects that to continue. Subscriptions cover a stated level of usage, generally for 12 months or less, for enterprises and prosumers. Customers can be on both. When a subscriber exhausts included usage, they step up a tier or buy more tokens. Minimum-commit contracts are mostly consumption revenue, not subscription revenue. 2023 subscription revenue was $2 million. The MD&amp;A describes 2023 as substantially all consumption; the note is the precise split.</t>
        </is>
      </c>
      <c r="B5" s="19" t="n"/>
      <c r="C5" s="19" t="n"/>
      <c r="D5" s="19" t="n"/>
      <c r="E5" s="19" t="n"/>
      <c r="F5" s="19" t="n"/>
      <c r="G5" s="19" t="n"/>
      <c r="H5" s="19" t="n"/>
    </row>
    <row r="6">
      <c r="B6" s="9" t="inlineStr">
        <is>
          <t>Millions of USD</t>
        </is>
      </c>
      <c r="C6" s="9" t="inlineStr">
        <is>
          <t>2023</t>
        </is>
      </c>
      <c r="D6" s="9" t="inlineStr">
        <is>
          <t>2024</t>
        </is>
      </c>
      <c r="E6" s="9" t="inlineStr">
        <is>
          <t>2025</t>
        </is>
      </c>
      <c r="F6" s="9" t="inlineStr">
        <is>
          <t>H1 2025</t>
        </is>
      </c>
      <c r="G6" s="9" t="inlineStr">
        <is>
          <t>H1 2026</t>
        </is>
      </c>
      <c r="H6" s="38" t="inlineStr">
        <is>
          <t>Note</t>
        </is>
      </c>
    </row>
    <row r="7" ht="20" customHeight="1">
      <c r="B7" s="20" t="inlineStr">
        <is>
          <t>Consumption-based revenue</t>
        </is>
      </c>
      <c r="C7" s="11">
        <f>Inputs!C34</f>
        <v/>
      </c>
      <c r="D7" s="11">
        <f>Inputs!D34</f>
        <v/>
      </c>
      <c r="E7" s="11">
        <f>Inputs!E34</f>
        <v/>
      </c>
      <c r="F7" s="11">
        <f>Inputs!F34</f>
        <v/>
      </c>
      <c r="G7" s="11">
        <f>Inputs!G34</f>
        <v/>
      </c>
      <c r="H7" s="21" t="inlineStr">
        <is>
          <t>Note 2.</t>
        </is>
      </c>
    </row>
    <row r="8" ht="20" customHeight="1">
      <c r="B8" s="20" t="inlineStr">
        <is>
          <t>Subscription-based revenue</t>
        </is>
      </c>
      <c r="C8" s="11">
        <f>Inputs!C35</f>
        <v/>
      </c>
      <c r="D8" s="11">
        <f>Inputs!D35</f>
        <v/>
      </c>
      <c r="E8" s="11">
        <f>Inputs!E35</f>
        <v/>
      </c>
      <c r="F8" s="11">
        <f>Inputs!F35</f>
        <v/>
      </c>
      <c r="G8" s="11">
        <f>Inputs!G35</f>
        <v/>
      </c>
      <c r="H8" s="21" t="inlineStr">
        <is>
          <t>Note 2.</t>
        </is>
      </c>
    </row>
    <row r="9" ht="20" customHeight="1">
      <c r="B9" s="20" t="inlineStr">
        <is>
          <t>Total</t>
        </is>
      </c>
      <c r="C9" s="11">
        <f>C7+C8</f>
        <v/>
      </c>
      <c r="D9" s="11">
        <f>D7+D8</f>
        <v/>
      </c>
      <c r="E9" s="11">
        <f>E7+E8</f>
        <v/>
      </c>
      <c r="F9" s="11">
        <f>F7+F8</f>
        <v/>
      </c>
      <c r="G9" s="11">
        <f>G7+G8</f>
        <v/>
      </c>
      <c r="H9" s="21" t="inlineStr">
        <is>
          <t>Ties to reported revenue. See Checks.</t>
        </is>
      </c>
    </row>
    <row r="10" ht="20" customHeight="1">
      <c r="B10" s="10" t="inlineStr">
        <is>
          <t>Consumption mix</t>
        </is>
      </c>
      <c r="C10" s="14">
        <f>IF(C9=0,NA(),C7/C9)</f>
        <v/>
      </c>
      <c r="D10" s="14">
        <f>IF(D9=0,NA(),D7/D9)</f>
        <v/>
      </c>
      <c r="E10" s="14">
        <f>IF(E9=0,NA(),E7/E9)</f>
        <v/>
      </c>
      <c r="F10" s="14">
        <f>IF(F9=0,NA(),F7/F9)</f>
        <v/>
      </c>
      <c r="G10" s="14">
        <f>IF(G9=0,NA(),G7/G9)</f>
        <v/>
      </c>
      <c r="H10" s="21" t="inlineStr">
        <is>
          <t>75% in 2024, 83% in 2025, 80% in H1 2026, as the MD&amp;A rounds them.</t>
        </is>
      </c>
    </row>
    <row r="11" ht="20" customHeight="1">
      <c r="B11" s="10" t="inlineStr">
        <is>
          <t>Subscription mix</t>
        </is>
      </c>
      <c r="C11" s="14">
        <f>IF(C9=0,NA(),C8/C9)</f>
        <v/>
      </c>
      <c r="D11" s="14">
        <f>IF(D9=0,NA(),D8/D9)</f>
        <v/>
      </c>
      <c r="E11" s="14">
        <f>IF(E9=0,NA(),E8/E9)</f>
        <v/>
      </c>
      <c r="F11" s="14">
        <f>IF(F9=0,NA(),F8/F9)</f>
        <v/>
      </c>
      <c r="G11" s="14">
        <f>IF(G9=0,NA(),G8/G9)</f>
        <v/>
      </c>
      <c r="H11" s="21" t="inlineStr">
        <is>
          <t>25%, 17%, and 20% on the same rounding.</t>
        </is>
      </c>
    </row>
    <row r="12" ht="20" customHeight="1">
      <c r="B12" s="10" t="inlineStr">
        <is>
          <t>Consumption growth vs prior comparable period</t>
        </is>
      </c>
      <c r="C12" s="23" t="n"/>
      <c r="D12" s="15">
        <f>IF(C7=0,NA(),D7/C7-1)</f>
        <v/>
      </c>
      <c r="E12" s="15">
        <f>IF(D7=0,NA(),E7/D7-1)</f>
        <v/>
      </c>
      <c r="F12" s="23" t="n"/>
      <c r="G12" s="15">
        <f>IF(F7=0,NA(),G7/F7-1)</f>
        <v/>
      </c>
      <c r="H12" s="21" t="inlineStr">
        <is>
          <t>H1 2026 vs H1 2025, not vs full-year 2025. Amber cells have no comparable base.</t>
        </is>
      </c>
    </row>
    <row r="13" ht="20" customHeight="1">
      <c r="B13" s="10" t="inlineStr">
        <is>
          <t>Subscription growth vs prior comparable period</t>
        </is>
      </c>
      <c r="C13" s="23" t="n"/>
      <c r="D13" s="15">
        <f>IF(C8=0,NA(),D8/C8-1)</f>
        <v/>
      </c>
      <c r="E13" s="15">
        <f>IF(D8=0,NA(),E8/D8-1)</f>
        <v/>
      </c>
      <c r="F13" s="23" t="n"/>
      <c r="G13" s="15">
        <f>IF(F8=0,NA(),G8/F8-1)</f>
        <v/>
      </c>
      <c r="H13" s="21" t="inlineStr">
        <is>
          <t>Same comparison windows.</t>
        </is>
      </c>
    </row>
    <row r="15" ht="22" customHeight="1">
      <c r="A15" s="5" t="inlineStr">
        <is>
          <t>Geography, by billing address</t>
        </is>
      </c>
      <c r="B15" s="6" t="n"/>
      <c r="C15" s="6" t="n"/>
      <c r="D15" s="6" t="n"/>
      <c r="E15" s="6" t="n"/>
      <c r="F15" s="6" t="n"/>
      <c r="G15" s="6" t="n"/>
      <c r="H15" s="6" t="n"/>
    </row>
    <row r="16">
      <c r="B16" s="9" t="inlineStr">
        <is>
          <t>Millions of USD</t>
        </is>
      </c>
      <c r="C16" s="9" t="inlineStr">
        <is>
          <t>2023</t>
        </is>
      </c>
      <c r="D16" s="9" t="inlineStr">
        <is>
          <t>2024</t>
        </is>
      </c>
      <c r="E16" s="9" t="inlineStr">
        <is>
          <t>2025</t>
        </is>
      </c>
      <c r="F16" s="9" t="inlineStr">
        <is>
          <t>H1 2025</t>
        </is>
      </c>
      <c r="G16" s="9" t="inlineStr">
        <is>
          <t>H1 2026</t>
        </is>
      </c>
      <c r="H16" s="39" t="inlineStr">
        <is>
          <t>Note</t>
        </is>
      </c>
    </row>
    <row r="17" ht="20" customHeight="1">
      <c r="B17" s="20" t="inlineStr">
        <is>
          <t>United States</t>
        </is>
      </c>
      <c r="C17" s="11">
        <f>Inputs!C37</f>
        <v/>
      </c>
      <c r="D17" s="11">
        <f>Inputs!D37</f>
        <v/>
      </c>
      <c r="E17" s="11">
        <f>Inputs!E37</f>
        <v/>
      </c>
      <c r="F17" s="11">
        <f>Inputs!F37</f>
        <v/>
      </c>
      <c r="G17" s="11">
        <f>Inputs!G37</f>
        <v/>
      </c>
      <c r="H17" s="21" t="inlineStr">
        <is>
          <t>Note 2. No country outside the U.S. is broken out.</t>
        </is>
      </c>
    </row>
    <row r="18" ht="20" customHeight="1">
      <c r="B18" s="20" t="inlineStr">
        <is>
          <t>International</t>
        </is>
      </c>
      <c r="C18" s="11">
        <f>Inputs!C38</f>
        <v/>
      </c>
      <c r="D18" s="11">
        <f>Inputs!D38</f>
        <v/>
      </c>
      <c r="E18" s="11">
        <f>Inputs!E38</f>
        <v/>
      </c>
      <c r="F18" s="11">
        <f>Inputs!F38</f>
        <v/>
      </c>
      <c r="G18" s="11">
        <f>Inputs!G38</f>
        <v/>
      </c>
      <c r="H18" s="21" t="inlineStr">
        <is>
          <t>Note 2.</t>
        </is>
      </c>
    </row>
    <row r="19" ht="20" customHeight="1">
      <c r="B19" s="10" t="inlineStr">
        <is>
          <t>United States mix</t>
        </is>
      </c>
      <c r="C19" s="15">
        <f>IF((C17+C18)=0,NA(),C17/(C17+C18))</f>
        <v/>
      </c>
      <c r="D19" s="15">
        <f>IF((D17+D18)=0,NA(),D17/(D17+D18))</f>
        <v/>
      </c>
      <c r="E19" s="15">
        <f>IF((E17+E18)=0,NA(),E17/(E17+E18))</f>
        <v/>
      </c>
      <c r="F19" s="15">
        <f>IF((F17+F18)=0,NA(),F17/(F17+F18))</f>
        <v/>
      </c>
      <c r="G19" s="15">
        <f>IF((G17+G18)=0,NA(),G17/(G17+G18))</f>
        <v/>
      </c>
      <c r="H19" s="21" t="inlineStr">
        <is>
          <t>About two-thirds to the low-70s since 2024. 83% in 2023.</t>
        </is>
      </c>
    </row>
    <row r="20" ht="20" customHeight="1">
      <c r="B20" s="10" t="inlineStr">
        <is>
          <t>International mix</t>
        </is>
      </c>
      <c r="C20" s="15">
        <f>IF((C17+C18)=0,NA(),C18/(C17+C18))</f>
        <v/>
      </c>
      <c r="D20" s="15">
        <f>IF((D17+D18)=0,NA(),D18/(D17+D18))</f>
        <v/>
      </c>
      <c r="E20" s="15">
        <f>IF((E17+E18)=0,NA(),E18/(E17+E18))</f>
        <v/>
      </c>
      <c r="F20" s="15">
        <f>IF((F17+F18)=0,NA(),F18/(F17+F18))</f>
        <v/>
      </c>
      <c r="G20" s="15">
        <f>IF((G17+G18)=0,NA(),G18/(G17+G18))</f>
        <v/>
      </c>
      <c r="H20" s="21" t="inlineStr">
        <is>
          <t>No margin by region.</t>
        </is>
      </c>
    </row>
    <row r="22" ht="22" customHeight="1">
      <c r="A22" s="5" t="inlineStr">
        <is>
          <t>Margins the filing supports, and the cuts it does not</t>
        </is>
      </c>
      <c r="B22" s="6" t="n"/>
      <c r="C22" s="6" t="n"/>
      <c r="D22" s="6" t="n"/>
      <c r="E22" s="6" t="n"/>
      <c r="F22" s="6" t="n"/>
      <c r="G22" s="6" t="n"/>
      <c r="H22" s="6" t="n"/>
    </row>
    <row r="23">
      <c r="B23" s="9" t="inlineStr">
        <is>
          <t>Margin</t>
        </is>
      </c>
      <c r="C23" s="9" t="inlineStr">
        <is>
          <t>2023</t>
        </is>
      </c>
      <c r="D23" s="9" t="inlineStr">
        <is>
          <t>2024</t>
        </is>
      </c>
      <c r="E23" s="9" t="inlineStr">
        <is>
          <t>2025</t>
        </is>
      </c>
      <c r="F23" s="9" t="inlineStr">
        <is>
          <t>H1 2025</t>
        </is>
      </c>
      <c r="G23" s="9" t="inlineStr">
        <is>
          <t>H1 2026</t>
        </is>
      </c>
      <c r="H23" s="39" t="inlineStr">
        <is>
          <t>Scope</t>
        </is>
      </c>
    </row>
    <row r="24" ht="30" customHeight="1">
      <c r="B24" s="10" t="inlineStr">
        <is>
          <t>Implied gross margin (revenue − cost of revenue)</t>
        </is>
      </c>
      <c r="C24" s="14">
        <f>(Inputs!C6-Inputs!C26)/Inputs!C6</f>
        <v/>
      </c>
      <c r="D24" s="14">
        <f>(Inputs!D6-Inputs!D26)/Inputs!D6</f>
        <v/>
      </c>
      <c r="E24" s="14">
        <f>(Inputs!E6-Inputs!E26)/Inputs!E6</f>
        <v/>
      </c>
      <c r="F24" s="14">
        <f>(Inputs!F6-Inputs!F26)/Inputs!F6</f>
        <v/>
      </c>
      <c r="G24" s="14">
        <f>(Inputs!G6-Inputs!G26)/Inputs!G6</f>
        <v/>
      </c>
      <c r="H24" s="21" t="inlineStr">
        <is>
          <t>Company-wide. Training is in R&amp;D, not in this margin. Not reported as gross margin.</t>
        </is>
      </c>
    </row>
    <row r="25" ht="30" customHeight="1">
      <c r="B25" s="10" t="inlineStr">
        <is>
          <t>GAAP operating margin</t>
        </is>
      </c>
      <c r="C25" s="15">
        <f>Inputs!C13/Inputs!C6</f>
        <v/>
      </c>
      <c r="D25" s="15">
        <f>Inputs!D13/Inputs!D6</f>
        <v/>
      </c>
      <c r="E25" s="15">
        <f>Inputs!E13/Inputs!E6</f>
        <v/>
      </c>
      <c r="F25" s="15">
        <f>Inputs!F13/Inputs!F6</f>
        <v/>
      </c>
      <c r="G25" s="15">
        <f>Inputs!G13/Inputs!G6</f>
        <v/>
      </c>
      <c r="H25" s="21" t="inlineStr">
        <is>
          <t>Company-wide. One segment. Q2 2026 was the first quarterly operating profit in the series.</t>
        </is>
      </c>
    </row>
    <row r="26" ht="30" customHeight="1">
      <c r="B26" s="10" t="inlineStr">
        <is>
          <t>Adjusted operating margin</t>
        </is>
      </c>
      <c r="C26" s="14">
        <f>(Inputs!C13+Inputs!C21+Inputs!C22+Inputs!C9)/Inputs!C6</f>
        <v/>
      </c>
      <c r="D26" s="14">
        <f>(Inputs!D13+Inputs!D21+Inputs!D22+Inputs!D9)/Inputs!D6</f>
        <v/>
      </c>
      <c r="E26" s="14">
        <f>(Inputs!E13+Inputs!E21+Inputs!E22+Inputs!E9)/Inputs!E6</f>
        <v/>
      </c>
      <c r="F26" s="14">
        <f>(Inputs!F13+Inputs!F21+Inputs!F22+Inputs!F9)/Inputs!F6</f>
        <v/>
      </c>
      <c r="G26" s="14">
        <f>(Inputs!G13+Inputs!G21+Inputs!G22+Inputs!G9)/Inputs!G6</f>
        <v/>
      </c>
      <c r="H26" s="21" t="inlineStr">
        <is>
          <t>Excludes stock-based compensation, non-cash donations, and the Bartz settlement.</t>
        </is>
      </c>
    </row>
    <row r="27" ht="30" customHeight="1">
      <c r="B27" s="10" t="inlineStr">
        <is>
          <t>Compute expense as % of revenue</t>
        </is>
      </c>
      <c r="C27" s="15">
        <f>Inputs!C7/Inputs!C6</f>
        <v/>
      </c>
      <c r="D27" s="15">
        <f>Inputs!D7/Inputs!D6</f>
        <v/>
      </c>
      <c r="E27" s="15">
        <f>Inputs!E7/Inputs!E6</f>
        <v/>
      </c>
      <c r="F27" s="15">
        <f>Inputs!F7/Inputs!F6</f>
        <v/>
      </c>
      <c r="G27" s="15">
        <f>Inputs!G7/Inputs!G6</f>
        <v/>
      </c>
      <c r="H27" s="21" t="inlineStr">
        <is>
          <t>All workloads. The ratio management cites.</t>
        </is>
      </c>
    </row>
    <row r="28" ht="30" customHeight="1">
      <c r="B28" s="10" t="inlineStr">
        <is>
          <t>Cost of revenue as % of revenue</t>
        </is>
      </c>
      <c r="C28" s="15">
        <f>Inputs!C26/Inputs!C6</f>
        <v/>
      </c>
      <c r="D28" s="15">
        <f>Inputs!D26/Inputs!D6</f>
        <v/>
      </c>
      <c r="E28" s="15">
        <f>Inputs!E26/Inputs!E6</f>
        <v/>
      </c>
      <c r="F28" s="15">
        <f>Inputs!F26/Inputs!F6</f>
        <v/>
      </c>
      <c r="G28" s="15">
        <f>Inputs!G26/Inputs!G6</f>
        <v/>
      </c>
      <c r="H28" s="21" t="inlineStr">
        <is>
          <t>Complement of the implied gross margin.</t>
        </is>
      </c>
    </row>
    <row r="29" ht="30" customHeight="1">
      <c r="B29" s="10" t="inlineStr">
        <is>
          <t>Sales, marketing, and partnerships as % of revenue</t>
        </is>
      </c>
      <c r="C29" s="15">
        <f>Inputs!C10/Inputs!C6</f>
        <v/>
      </c>
      <c r="D29" s="15">
        <f>Inputs!D10/Inputs!D6</f>
        <v/>
      </c>
      <c r="E29" s="15">
        <f>Inputs!E10/Inputs!E6</f>
        <v/>
      </c>
      <c r="F29" s="15">
        <f>Inputs!F10/Inputs!F6</f>
        <v/>
      </c>
      <c r="G29" s="15">
        <f>Inputs!G10/Inputs!G6</f>
        <v/>
      </c>
      <c r="H29" s="21" t="inlineStr">
        <is>
          <t>Nature line: channel fees and advertising. 19% in H1 2026.</t>
        </is>
      </c>
    </row>
    <row r="30" ht="30" customHeight="1">
      <c r="B30" s="10" t="inlineStr">
        <is>
          <t>Functional sales and marketing as % of revenue</t>
        </is>
      </c>
      <c r="C30" s="15">
        <f>Inputs!C28/Inputs!C6</f>
        <v/>
      </c>
      <c r="D30" s="15">
        <f>Inputs!D28/Inputs!D6</f>
        <v/>
      </c>
      <c r="E30" s="15">
        <f>Inputs!E28/Inputs!E6</f>
        <v/>
      </c>
      <c r="F30" s="15">
        <f>Inputs!F28/Inputs!F6</f>
        <v/>
      </c>
      <c r="G30" s="15">
        <f>Inputs!G28/Inputs!G6</f>
        <v/>
      </c>
      <c r="H30" s="21" t="inlineStr">
        <is>
          <t>Note 8. Higher than the nature line because it includes people, free-tier compute, and overhead.</t>
        </is>
      </c>
    </row>
    <row r="31" ht="30" customHeight="1">
      <c r="B31" s="20" t="inlineStr">
        <is>
          <t>Channel-fee increase as % of revenue</t>
        </is>
      </c>
      <c r="C31" s="23">
        <f>IF(Inputs!C45="",NA(),Inputs!C45/Inputs!C6)</f>
        <v/>
      </c>
      <c r="D31" s="23">
        <f>IF(Inputs!D45="",NA(),Inputs!D45/Inputs!D6)</f>
        <v/>
      </c>
      <c r="E31" s="15">
        <f>IF(Inputs!E45="",NA(),Inputs!E45/Inputs!E6)</f>
        <v/>
      </c>
      <c r="F31" s="23">
        <f>IF(Inputs!F45="",NA(),Inputs!F45/Inputs!F6)</f>
        <v/>
      </c>
      <c r="G31" s="15">
        <f>IF(Inputs!G45="",NA(),Inputs!G45/Inputs!G6)</f>
        <v/>
      </c>
      <c r="H31" s="21" t="inlineStr">
        <is>
          <t>Increase only. $341 million in 2025 and $2.7 billion in H1 2026. The fee level is not disclosed.</t>
        </is>
      </c>
    </row>
    <row r="32" ht="32" customHeight="1">
      <c r="B32" s="20" t="inlineStr">
        <is>
          <t>Upper bound: margin after cost of revenue and the channel-fee increase</t>
        </is>
      </c>
      <c r="C32" s="23">
        <f>IF(Inputs!C45="",NA(),C24-C31)</f>
        <v/>
      </c>
      <c r="D32" s="23">
        <f>IF(Inputs!D45="",NA(),D24-D31)</f>
        <v/>
      </c>
      <c r="E32" s="14">
        <f>IF(Inputs!E45="",NA(),E24-E31)</f>
        <v/>
      </c>
      <c r="F32" s="23">
        <f>IF(Inputs!F45="",NA(),F24-F31)</f>
        <v/>
      </c>
      <c r="G32" s="14">
        <f>IF(Inputs!G45="",NA(),G24-G31)</f>
        <v/>
      </c>
      <c r="H32" s="21" t="inlineStr">
        <is>
          <t>Upper bound. Subtracting the increase and not the base overstates the margin that remains. Not a product or channel margin.</t>
        </is>
      </c>
    </row>
    <row r="34" ht="64" customHeight="1">
      <c r="A34" s="18" t="inlineStr">
        <is>
          <t>Channel-partner fees are the closest thing to a cost that differs by route to market, and even that is not allocated to consumption versus subscription. The filing discloses the increase, not the fee. Prior-period sales and marketing was $43 million in 2024 and $120 million in the first half of 2025, so the base fee inside the increase is small relative to the $2.7 billion step-up, but it is still omitted from the upper bound above. The company pays cloud providers a fee and keeps the customer contract, so a large share of this cost rides on consumption sold through AWS, Google Cloud, and Azure. The filing does not say how much.</t>
        </is>
      </c>
      <c r="B34" s="19" t="n"/>
      <c r="C34" s="19" t="n"/>
      <c r="D34" s="19" t="n"/>
      <c r="E34" s="19" t="n"/>
      <c r="F34" s="19" t="n"/>
      <c r="G34" s="19" t="n"/>
      <c r="H34" s="19" t="n"/>
    </row>
    <row r="36" ht="22" customHeight="1">
      <c r="A36" s="5" t="inlineStr">
        <is>
          <t>Cuts that were requested and are not in the S-1</t>
        </is>
      </c>
      <c r="B36" s="6" t="n"/>
      <c r="C36" s="6" t="n"/>
      <c r="D36" s="6" t="n"/>
      <c r="E36" s="6" t="n"/>
      <c r="F36" s="6" t="n"/>
      <c r="G36" s="6" t="n"/>
      <c r="H36" s="6" t="n"/>
    </row>
    <row r="37">
      <c r="B37" s="9" t="inlineStr">
        <is>
          <t>Cut</t>
        </is>
      </c>
      <c r="C37" s="9" t="inlineStr">
        <is>
          <t>Disclosed?</t>
        </is>
      </c>
      <c r="D37" s="9" t="inlineStr">
        <is>
          <t>What exists instead</t>
        </is>
      </c>
      <c r="E37" s="9" t="inlineStr">
        <is>
          <t>Margin?</t>
        </is>
      </c>
    </row>
    <row r="38" ht="32" customHeight="1">
      <c r="B38" s="10" t="inlineStr">
        <is>
          <t>Consumption vs subscription</t>
        </is>
      </c>
      <c r="C38" s="40" t="inlineStr">
        <is>
          <t>Revenue only</t>
        </is>
      </c>
      <c r="D38" s="21" t="inlineStr">
        <is>
          <t>Note 2, annual and first half. Not quarterly.</t>
        </is>
      </c>
      <c r="E38" s="8" t="n"/>
      <c r="F38" s="8" t="n"/>
      <c r="G38" s="8" t="n"/>
      <c r="H38" s="8" t="n"/>
    </row>
    <row r="39" ht="32" customHeight="1">
      <c r="B39" s="10" t="inlineStr">
        <is>
          <t>United States vs international</t>
        </is>
      </c>
      <c r="C39" s="40" t="inlineStr">
        <is>
          <t>Revenue only</t>
        </is>
      </c>
      <c r="D39" s="21" t="inlineStr">
        <is>
          <t>Note 2, billing address. Long-lived assets are 94–95% in the U.S.</t>
        </is>
      </c>
      <c r="E39" s="8" t="n"/>
      <c r="F39" s="8" t="n"/>
      <c r="G39" s="8" t="n"/>
      <c r="H39" s="8" t="n"/>
    </row>
    <row r="40" ht="32" customHeight="1">
      <c r="B40" s="10" t="inlineStr">
        <is>
          <t>Operating segment</t>
        </is>
      </c>
      <c r="C40" s="40" t="inlineStr">
        <is>
          <t>One segment</t>
        </is>
      </c>
      <c r="D40" s="21" t="inlineStr">
        <is>
          <t>Note 14. CODM is the CEO and President. Segment profit is consolidated net loss. SBC inside personnel is the only extra item the CODM receives.</t>
        </is>
      </c>
      <c r="E40" s="8" t="n"/>
      <c r="F40" s="8" t="n"/>
      <c r="G40" s="8" t="n"/>
      <c r="H40" s="8" t="n"/>
    </row>
    <row r="41" ht="32" customHeight="1">
      <c r="B41" s="10" t="inlineStr">
        <is>
          <t>Claude Platform vs first-party apps</t>
        </is>
      </c>
      <c r="C41" s="28" t="inlineStr">
        <is>
          <t>Not disclosed</t>
        </is>
      </c>
      <c r="D41" s="21" t="inlineStr">
        <is>
          <t>Qualitative. Over 50% of ≥$100k customers used both the platform and an app in Q3 2026, up from about 30% in Q4 2025.</t>
        </is>
      </c>
      <c r="E41" s="8" t="n"/>
      <c r="F41" s="8" t="n"/>
      <c r="G41" s="8" t="n"/>
      <c r="H41" s="8" t="n"/>
    </row>
    <row r="42" ht="32" customHeight="1">
      <c r="B42" s="10" t="inlineStr">
        <is>
          <t>Claude Code, Cowork, Claude.ai</t>
        </is>
      </c>
      <c r="C42" s="28" t="inlineStr">
        <is>
          <t>Not disclosed</t>
        </is>
      </c>
      <c r="D42" s="21" t="inlineStr">
        <is>
          <t>Enterprise users who did not use Claude Code spent under $75 a month on average. The top 5% of Enterprise users who used Claude Code spent about 20× that. Not a revenue total.</t>
        </is>
      </c>
      <c r="E42" s="8" t="n"/>
      <c r="F42" s="8" t="n"/>
      <c r="G42" s="8" t="n"/>
      <c r="H42" s="8" t="n"/>
    </row>
    <row r="43" ht="32" customHeight="1">
      <c r="B43" s="10" t="inlineStr">
        <is>
          <t>Model class (Mythos/Fable, Opus, Sonnet, Haiku)</t>
        </is>
      </c>
      <c r="C43" s="28" t="inlineStr">
        <is>
          <t>Not disclosed</t>
        </is>
      </c>
      <c r="D43" s="21" t="inlineStr">
        <is>
          <t>Pricing and cost-per-task comments only. Opus 5.5 cut customer cost per task about 40% versus Opus 5. Fable 5.1 cut typical-workload cost about 25% versus Fable 5.</t>
        </is>
      </c>
      <c r="E43" s="8" t="n"/>
      <c r="F43" s="8" t="n"/>
      <c r="G43" s="8" t="n"/>
      <c r="H43" s="8" t="n"/>
    </row>
    <row r="44" ht="32" customHeight="1">
      <c r="B44" s="10" t="inlineStr">
        <is>
          <t>Direct vs cloud marketplace</t>
        </is>
      </c>
      <c r="C44" s="28" t="inlineStr">
        <is>
          <t>Not disclosed</t>
        </is>
      </c>
      <c r="D44" s="21" t="inlineStr">
        <is>
          <t>Channel-partner fee is in sales and marketing. The increase is disclosed. The level, and the split of revenue by channel, are not.</t>
        </is>
      </c>
      <c r="E44" s="8" t="n"/>
      <c r="F44" s="8" t="n"/>
      <c r="G44" s="8" t="n"/>
      <c r="H44" s="8" t="n"/>
    </row>
    <row r="45" ht="32" customHeight="1">
      <c r="B45" s="10" t="inlineStr">
        <is>
          <t>Free tier</t>
        </is>
      </c>
      <c r="C45" s="28" t="inlineStr">
        <is>
          <t>Not disclosed</t>
        </is>
      </c>
      <c r="D45" s="21" t="inlineStr">
        <is>
          <t>Compute for free access is inside functional sales and marketing, not cost of revenue.</t>
        </is>
      </c>
      <c r="E45" s="8" t="n"/>
      <c r="F45" s="8" t="n"/>
      <c r="G45" s="8" t="n"/>
      <c r="H45" s="8" t="n"/>
    </row>
    <row r="46" ht="32" customHeight="1">
      <c r="B46" s="10" t="inlineStr">
        <is>
          <t>Gross margin as reported</t>
        </is>
      </c>
      <c r="C46" s="28" t="inlineStr">
        <is>
          <t>Not presented</t>
        </is>
      </c>
      <c r="D46" s="21" t="inlineStr">
        <is>
          <t>The company changed from a functional income statement to a nature income statement in 2025 and recast prior periods. Gross profit is no longer a line. Note 8 preserves the functional totals.</t>
        </is>
      </c>
      <c r="E46" s="8" t="n"/>
      <c r="F46" s="8" t="n"/>
      <c r="G46" s="8" t="n"/>
      <c r="H46" s="8" t="n"/>
    </row>
  </sheetData>
  <mergeCells count="17">
    <mergeCell ref="D44:H44"/>
    <mergeCell ref="A4:H4"/>
    <mergeCell ref="D45:H45"/>
    <mergeCell ref="D39:H39"/>
    <mergeCell ref="A15:H15"/>
    <mergeCell ref="B1:H1"/>
    <mergeCell ref="D43:H43"/>
    <mergeCell ref="D42:H42"/>
    <mergeCell ref="D46:H46"/>
    <mergeCell ref="B2:H2"/>
    <mergeCell ref="A36:H36"/>
    <mergeCell ref="D38:H38"/>
    <mergeCell ref="D41:H41"/>
    <mergeCell ref="A5:H5"/>
    <mergeCell ref="D40:H40"/>
    <mergeCell ref="A22:H22"/>
    <mergeCell ref="A34:H34"/>
  </mergeCells>
  <pageMargins left="0.5" right="0.5" top="0.7" bottom="0.6" header="0.25" footer="0.25"/>
  <pageSetup orientation="landscape" paperSize="3" fitToHeight="0" fitToWidth="1" horizontalDpi="300" verticalDpi="300"/>
  <headerFooter>
    <oddHeader>&amp;L&amp;"Calibri"&amp;9 Anthropic, PBC  |  Form S-1 filed October 26, 2026</oddHeader>
    <oddFooter>&amp;L&amp;"Calibri"&amp;8 Revenue mix  |  one segment  |  no product margins in the S-1&amp;RPage &amp;P of &amp;N</oddFooter>
    <evenHeader/>
    <evenFooter/>
    <firstHeader/>
    <firstFooter/>
  </headerFooter>
  <drawing xmlns:r="http://schemas.openxmlformats.org/officeDocument/2006/relationships" r:id="rId1"/>
</worksheet>
</file>

<file path=xl/worksheets/sheet5.xml><?xml version="1.0" encoding="utf-8"?>
<worksheet xmlns="http://schemas.openxmlformats.org/spreadsheetml/2006/main">
  <sheetPr>
    <tabColor rgb="00334155"/>
    <outlinePr summaryBelow="1" summaryRight="1"/>
    <pageSetUpPr fitToPage="1"/>
  </sheetPr>
  <dimension ref="A1:J32"/>
  <sheetViews>
    <sheetView showGridLines="0" view="normal" zoomScale="110" workbookViewId="0">
      <pane xSplit="2" ySplit="7" topLeftCell="C8" activePane="bottomRight" state="frozen"/>
      <selection pane="topRight"/>
      <selection pane="bottomLeft"/>
      <selection pane="bottomRight" activeCell="A1" sqref="A1"/>
    </sheetView>
  </sheetViews>
  <sheetFormatPr baseColWidth="8" defaultRowHeight="15"/>
  <cols>
    <col width="3" customWidth="1" min="1" max="1"/>
    <col width="62" customWidth="1" min="2" max="2"/>
    <col width="14" customWidth="1" min="3" max="3"/>
    <col width="14" customWidth="1" min="4" max="4"/>
    <col width="14" customWidth="1" min="5" max="5"/>
    <col width="14" customWidth="1" min="6" max="6"/>
    <col width="14" customWidth="1" min="7" max="7"/>
    <col width="14" customWidth="1" min="8" max="8"/>
    <col width="14" customWidth="1" min="9" max="9"/>
    <col width="28" customWidth="1" min="10" max="10"/>
  </cols>
  <sheetData>
    <row r="1" ht="28" customHeight="1">
      <c r="B1" s="1" t="inlineStr">
        <is>
          <t>Quarterly results of operations</t>
        </is>
      </c>
    </row>
    <row r="2" ht="32" customHeight="1">
      <c r="B2" s="17" t="inlineStr">
        <is>
          <t>Unaudited, from the MD&amp;A quarterly table, except Q4 2024 revenue, which is the $197 million named in the risk factors. Amber cells are not in the filing. Margins and adjusted figures are formulas.</t>
        </is>
      </c>
      <c r="C2" s="4" t="n"/>
      <c r="D2" s="4" t="n"/>
      <c r="E2" s="4" t="n"/>
      <c r="F2" s="4" t="n"/>
      <c r="G2" s="4" t="n"/>
      <c r="H2" s="4" t="n"/>
      <c r="I2" s="4" t="n"/>
      <c r="J2" s="4" t="n"/>
    </row>
    <row r="4">
      <c r="B4" s="9" t="inlineStr">
        <is>
          <t>Millions of USD</t>
        </is>
      </c>
      <c r="C4" s="9" t="inlineStr">
        <is>
          <t>Q4 2024</t>
        </is>
      </c>
      <c r="D4" s="9" t="inlineStr">
        <is>
          <t>Q1 2025</t>
        </is>
      </c>
      <c r="E4" s="9" t="inlineStr">
        <is>
          <t>Q2 2025</t>
        </is>
      </c>
      <c r="F4" s="9" t="inlineStr">
        <is>
          <t>Q3 2025</t>
        </is>
      </c>
      <c r="G4" s="9" t="inlineStr">
        <is>
          <t>Q4 2025</t>
        </is>
      </c>
      <c r="H4" s="9" t="inlineStr">
        <is>
          <t>Q1 2026</t>
        </is>
      </c>
      <c r="I4" s="9" t="inlineStr">
        <is>
          <t>Q2 2026</t>
        </is>
      </c>
    </row>
    <row r="5" ht="18" customHeight="1">
      <c r="B5" s="10" t="inlineStr">
        <is>
          <t>Revenue</t>
        </is>
      </c>
      <c r="C5" s="11">
        <f>Inputs!C73</f>
        <v/>
      </c>
      <c r="D5" s="11">
        <f>Inputs!D73</f>
        <v/>
      </c>
      <c r="E5" s="11">
        <f>Inputs!E73</f>
        <v/>
      </c>
      <c r="F5" s="11">
        <f>Inputs!F73</f>
        <v/>
      </c>
      <c r="G5" s="11">
        <f>Inputs!G73</f>
        <v/>
      </c>
      <c r="H5" s="11">
        <f>Inputs!H73</f>
        <v/>
      </c>
      <c r="I5" s="11">
        <f>Inputs!I73</f>
        <v/>
      </c>
    </row>
    <row r="6" ht="18" customHeight="1">
      <c r="B6" s="10" t="inlineStr">
        <is>
          <t>Compute and infrastructure</t>
        </is>
      </c>
      <c r="C6" s="41" t="n"/>
      <c r="D6" s="11">
        <f>Inputs!D74</f>
        <v/>
      </c>
      <c r="E6" s="11">
        <f>Inputs!E74</f>
        <v/>
      </c>
      <c r="F6" s="11">
        <f>Inputs!F74</f>
        <v/>
      </c>
      <c r="G6" s="11">
        <f>Inputs!G74</f>
        <v/>
      </c>
      <c r="H6" s="11">
        <f>Inputs!H74</f>
        <v/>
      </c>
      <c r="I6" s="11">
        <f>Inputs!I74</f>
        <v/>
      </c>
    </row>
    <row r="7" ht="18" customHeight="1">
      <c r="B7" s="10" t="inlineStr">
        <is>
          <t>Personnel</t>
        </is>
      </c>
      <c r="C7" s="41" t="n"/>
      <c r="D7" s="11">
        <f>Inputs!D75</f>
        <v/>
      </c>
      <c r="E7" s="11">
        <f>Inputs!E75</f>
        <v/>
      </c>
      <c r="F7" s="11">
        <f>Inputs!F75</f>
        <v/>
      </c>
      <c r="G7" s="11">
        <f>Inputs!G75</f>
        <v/>
      </c>
      <c r="H7" s="11">
        <f>Inputs!H75</f>
        <v/>
      </c>
      <c r="I7" s="11">
        <f>Inputs!I75</f>
        <v/>
      </c>
    </row>
    <row r="8" ht="18" customHeight="1">
      <c r="B8" s="10" t="inlineStr">
        <is>
          <t>Bartz settlement</t>
        </is>
      </c>
      <c r="C8" s="41" t="n"/>
      <c r="D8" s="11">
        <f>Inputs!D76</f>
        <v/>
      </c>
      <c r="E8" s="11">
        <f>Inputs!E76</f>
        <v/>
      </c>
      <c r="F8" s="11">
        <f>Inputs!F76</f>
        <v/>
      </c>
      <c r="G8" s="11">
        <f>Inputs!G76</f>
        <v/>
      </c>
      <c r="H8" s="11">
        <f>Inputs!H76</f>
        <v/>
      </c>
      <c r="I8" s="11">
        <f>Inputs!I76</f>
        <v/>
      </c>
    </row>
    <row r="9" ht="18" customHeight="1">
      <c r="B9" s="10" t="inlineStr">
        <is>
          <t>Sales, marketing, and partnerships</t>
        </is>
      </c>
      <c r="C9" s="41" t="n"/>
      <c r="D9" s="11">
        <f>Inputs!D77</f>
        <v/>
      </c>
      <c r="E9" s="11">
        <f>Inputs!E77</f>
        <v/>
      </c>
      <c r="F9" s="11">
        <f>Inputs!F77</f>
        <v/>
      </c>
      <c r="G9" s="11">
        <f>Inputs!G77</f>
        <v/>
      </c>
      <c r="H9" s="11">
        <f>Inputs!H77</f>
        <v/>
      </c>
      <c r="I9" s="11">
        <f>Inputs!I77</f>
        <v/>
      </c>
    </row>
    <row r="10" ht="18" customHeight="1">
      <c r="B10" s="10" t="inlineStr">
        <is>
          <t>Other operating and administrative</t>
        </is>
      </c>
      <c r="C10" s="41" t="n"/>
      <c r="D10" s="11">
        <f>Inputs!D78</f>
        <v/>
      </c>
      <c r="E10" s="11">
        <f>Inputs!E78</f>
        <v/>
      </c>
      <c r="F10" s="11">
        <f>Inputs!F78</f>
        <v/>
      </c>
      <c r="G10" s="11">
        <f>Inputs!G78</f>
        <v/>
      </c>
      <c r="H10" s="11">
        <f>Inputs!H78</f>
        <v/>
      </c>
      <c r="I10" s="11">
        <f>Inputs!I78</f>
        <v/>
      </c>
    </row>
    <row r="11" ht="18" customHeight="1">
      <c r="B11" s="20" t="inlineStr">
        <is>
          <t>Total operating expenses</t>
        </is>
      </c>
      <c r="C11" s="41" t="n"/>
      <c r="D11" s="11">
        <f>Inputs!D79</f>
        <v/>
      </c>
      <c r="E11" s="11">
        <f>Inputs!E79</f>
        <v/>
      </c>
      <c r="F11" s="11">
        <f>Inputs!F79</f>
        <v/>
      </c>
      <c r="G11" s="11">
        <f>Inputs!G79</f>
        <v/>
      </c>
      <c r="H11" s="11">
        <f>Inputs!H79</f>
        <v/>
      </c>
      <c r="I11" s="11">
        <f>Inputs!I79</f>
        <v/>
      </c>
    </row>
    <row r="12" ht="18" customHeight="1">
      <c r="B12" s="20" t="inlineStr">
        <is>
          <t>Operating income (loss)</t>
        </is>
      </c>
      <c r="C12" s="41" t="n"/>
      <c r="D12" s="11">
        <f>Inputs!D80</f>
        <v/>
      </c>
      <c r="E12" s="11">
        <f>Inputs!E80</f>
        <v/>
      </c>
      <c r="F12" s="11">
        <f>Inputs!F80</f>
        <v/>
      </c>
      <c r="G12" s="11">
        <f>Inputs!G80</f>
        <v/>
      </c>
      <c r="H12" s="11">
        <f>Inputs!H80</f>
        <v/>
      </c>
      <c r="I12" s="11">
        <f>Inputs!I80</f>
        <v/>
      </c>
    </row>
    <row r="13" ht="18" customHeight="1">
      <c r="B13" s="10" t="inlineStr">
        <is>
          <t>Interest income</t>
        </is>
      </c>
      <c r="C13" s="41" t="n"/>
      <c r="D13" s="11">
        <f>Inputs!D81</f>
        <v/>
      </c>
      <c r="E13" s="11">
        <f>Inputs!E81</f>
        <v/>
      </c>
      <c r="F13" s="11">
        <f>Inputs!F81</f>
        <v/>
      </c>
      <c r="G13" s="11">
        <f>Inputs!G81</f>
        <v/>
      </c>
      <c r="H13" s="11">
        <f>Inputs!H81</f>
        <v/>
      </c>
      <c r="I13" s="11">
        <f>Inputs!I81</f>
        <v/>
      </c>
    </row>
    <row r="14" ht="18" customHeight="1">
      <c r="B14" s="10" t="inlineStr">
        <is>
          <t>Change in fair value of notes, derivatives, and SAFEs</t>
        </is>
      </c>
      <c r="C14" s="41" t="n"/>
      <c r="D14" s="11">
        <f>Inputs!D82</f>
        <v/>
      </c>
      <c r="E14" s="11">
        <f>Inputs!E82</f>
        <v/>
      </c>
      <c r="F14" s="11">
        <f>Inputs!F82</f>
        <v/>
      </c>
      <c r="G14" s="11">
        <f>Inputs!G82</f>
        <v/>
      </c>
      <c r="H14" s="11">
        <f>Inputs!H82</f>
        <v/>
      </c>
      <c r="I14" s="11">
        <f>Inputs!I82</f>
        <v/>
      </c>
    </row>
    <row r="15" ht="18" customHeight="1">
      <c r="B15" s="10" t="inlineStr">
        <is>
          <t>Other income (expense), net</t>
        </is>
      </c>
      <c r="C15" s="41" t="n"/>
      <c r="D15" s="11">
        <f>Inputs!D83</f>
        <v/>
      </c>
      <c r="E15" s="11">
        <f>Inputs!E83</f>
        <v/>
      </c>
      <c r="F15" s="11">
        <f>Inputs!F83</f>
        <v/>
      </c>
      <c r="G15" s="11">
        <f>Inputs!G83</f>
        <v/>
      </c>
      <c r="H15" s="11">
        <f>Inputs!H83</f>
        <v/>
      </c>
      <c r="I15" s="11">
        <f>Inputs!I83</f>
        <v/>
      </c>
    </row>
    <row r="16" ht="18" customHeight="1">
      <c r="B16" s="10" t="inlineStr">
        <is>
          <t>Loss before income taxes</t>
        </is>
      </c>
      <c r="C16" s="41" t="n"/>
      <c r="D16" s="11">
        <f>Inputs!D84</f>
        <v/>
      </c>
      <c r="E16" s="11">
        <f>Inputs!E84</f>
        <v/>
      </c>
      <c r="F16" s="11">
        <f>Inputs!F84</f>
        <v/>
      </c>
      <c r="G16" s="11">
        <f>Inputs!G84</f>
        <v/>
      </c>
      <c r="H16" s="11">
        <f>Inputs!H84</f>
        <v/>
      </c>
      <c r="I16" s="11">
        <f>Inputs!I84</f>
        <v/>
      </c>
    </row>
    <row r="17" ht="18" customHeight="1">
      <c r="B17" s="10" t="inlineStr">
        <is>
          <t>Provision for income taxes</t>
        </is>
      </c>
      <c r="C17" s="41" t="n"/>
      <c r="D17" s="11">
        <f>Inputs!D85</f>
        <v/>
      </c>
      <c r="E17" s="11">
        <f>Inputs!E85</f>
        <v/>
      </c>
      <c r="F17" s="11">
        <f>Inputs!F85</f>
        <v/>
      </c>
      <c r="G17" s="11">
        <f>Inputs!G85</f>
        <v/>
      </c>
      <c r="H17" s="11">
        <f>Inputs!H85</f>
        <v/>
      </c>
      <c r="I17" s="11">
        <f>Inputs!I85</f>
        <v/>
      </c>
    </row>
    <row r="18" ht="18" customHeight="1">
      <c r="B18" s="20" t="inlineStr">
        <is>
          <t>Net loss</t>
        </is>
      </c>
      <c r="C18" s="41" t="n"/>
      <c r="D18" s="11">
        <f>Inputs!D86</f>
        <v/>
      </c>
      <c r="E18" s="11">
        <f>Inputs!E86</f>
        <v/>
      </c>
      <c r="F18" s="11">
        <f>Inputs!F86</f>
        <v/>
      </c>
      <c r="G18" s="11">
        <f>Inputs!G86</f>
        <v/>
      </c>
      <c r="H18" s="11">
        <f>Inputs!H86</f>
        <v/>
      </c>
      <c r="I18" s="11">
        <f>Inputs!I86</f>
        <v/>
      </c>
    </row>
    <row r="20" ht="18" customHeight="1">
      <c r="B20" s="10" t="inlineStr">
        <is>
          <t>Stock-based compensation</t>
        </is>
      </c>
      <c r="C20" s="41" t="n"/>
      <c r="D20" s="11">
        <f>Inputs!D87</f>
        <v/>
      </c>
      <c r="E20" s="11">
        <f>Inputs!E87</f>
        <v/>
      </c>
      <c r="F20" s="11">
        <f>Inputs!F87</f>
        <v/>
      </c>
      <c r="G20" s="11">
        <f>Inputs!G87</f>
        <v/>
      </c>
      <c r="H20" s="11">
        <f>Inputs!H87</f>
        <v/>
      </c>
      <c r="I20" s="11">
        <f>Inputs!I87</f>
        <v/>
      </c>
    </row>
    <row r="21" ht="18" customHeight="1">
      <c r="B21" s="10" t="inlineStr">
        <is>
          <t>Non-cash charitable contributions</t>
        </is>
      </c>
      <c r="C21" s="41" t="n"/>
      <c r="D21" s="11">
        <f>Inputs!D88</f>
        <v/>
      </c>
      <c r="E21" s="11">
        <f>Inputs!E88</f>
        <v/>
      </c>
      <c r="F21" s="11">
        <f>Inputs!F88</f>
        <v/>
      </c>
      <c r="G21" s="11">
        <f>Inputs!G88</f>
        <v/>
      </c>
      <c r="H21" s="11">
        <f>Inputs!H88</f>
        <v/>
      </c>
      <c r="I21" s="11">
        <f>Inputs!I88</f>
        <v/>
      </c>
    </row>
    <row r="22" ht="18" customHeight="1">
      <c r="B22" s="10" t="inlineStr">
        <is>
          <t>Mark-to-market add-back</t>
        </is>
      </c>
      <c r="C22" s="41" t="n"/>
      <c r="D22" s="11">
        <f>Inputs!D89</f>
        <v/>
      </c>
      <c r="E22" s="11">
        <f>Inputs!E89</f>
        <v/>
      </c>
      <c r="F22" s="11">
        <f>Inputs!F89</f>
        <v/>
      </c>
      <c r="G22" s="11">
        <f>Inputs!G89</f>
        <v/>
      </c>
      <c r="H22" s="11">
        <f>Inputs!H89</f>
        <v/>
      </c>
      <c r="I22" s="11">
        <f>Inputs!I89</f>
        <v/>
      </c>
    </row>
    <row r="24">
      <c r="B24" s="5" t="inlineStr">
        <is>
          <t>Computed margins</t>
        </is>
      </c>
      <c r="C24" s="42" t="n"/>
      <c r="D24" s="42" t="n"/>
      <c r="E24" s="42" t="n"/>
      <c r="F24" s="42" t="n"/>
      <c r="G24" s="42" t="n"/>
      <c r="H24" s="42" t="n"/>
      <c r="I24" s="43" t="n"/>
    </row>
    <row r="25" ht="20" customHeight="1">
      <c r="B25" s="20" t="inlineStr">
        <is>
          <t>Compute as % of revenue</t>
        </is>
      </c>
      <c r="C25" s="32" t="n"/>
      <c r="D25" s="15">
        <f>IF(D5=0,NA(),D6/D5)</f>
        <v/>
      </c>
      <c r="E25" s="15">
        <f>IF(E5=0,NA(),E6/E5)</f>
        <v/>
      </c>
      <c r="F25" s="15">
        <f>IF(F5=0,NA(),F6/F5)</f>
        <v/>
      </c>
      <c r="G25" s="15">
        <f>IF(G5=0,NA(),G6/G5)</f>
        <v/>
      </c>
      <c r="H25" s="15">
        <f>IF(H5=0,NA(),H6/H5)</f>
        <v/>
      </c>
      <c r="I25" s="15">
        <f>IF(I5=0,NA(),I6/I5)</f>
        <v/>
      </c>
    </row>
    <row r="26" ht="20" customHeight="1">
      <c r="B26" s="20" t="inlineStr">
        <is>
          <t>GAAP operating margin</t>
        </is>
      </c>
      <c r="C26" s="32" t="n"/>
      <c r="D26" s="14">
        <f>IF(D5=0,NA(),D12/D5)</f>
        <v/>
      </c>
      <c r="E26" s="14">
        <f>IF(E5=0,NA(),E12/E5)</f>
        <v/>
      </c>
      <c r="F26" s="14">
        <f>IF(F5=0,NA(),F12/F5)</f>
        <v/>
      </c>
      <c r="G26" s="14">
        <f>IF(G5=0,NA(),G12/G5)</f>
        <v/>
      </c>
      <c r="H26" s="14">
        <f>IF(H5=0,NA(),H12/H5)</f>
        <v/>
      </c>
      <c r="I26" s="14">
        <f>IF(I5=0,NA(),I12/I5)</f>
        <v/>
      </c>
    </row>
    <row r="27" ht="20" customHeight="1">
      <c r="B27" s="20" t="inlineStr">
        <is>
          <t>Adjusted operating income</t>
        </is>
      </c>
      <c r="C27" s="32" t="n"/>
      <c r="D27" s="11">
        <f>D12+D20+D21+D8</f>
        <v/>
      </c>
      <c r="E27" s="11">
        <f>E12+E20+E21+E8</f>
        <v/>
      </c>
      <c r="F27" s="11">
        <f>F12+F20+F21+F8</f>
        <v/>
      </c>
      <c r="G27" s="11">
        <f>G12+G20+G21+G8</f>
        <v/>
      </c>
      <c r="H27" s="11">
        <f>H12+H20+H21+H8</f>
        <v/>
      </c>
      <c r="I27" s="11">
        <f>I12+I20+I21+I8</f>
        <v/>
      </c>
    </row>
    <row r="28" ht="20" customHeight="1">
      <c r="B28" s="20" t="inlineStr">
        <is>
          <t>Adjusted operating margin</t>
        </is>
      </c>
      <c r="C28" s="32" t="n"/>
      <c r="D28" s="14">
        <f>IF(D5=0,NA(),D27/D5)</f>
        <v/>
      </c>
      <c r="E28" s="14">
        <f>IF(E5=0,NA(),E27/E5)</f>
        <v/>
      </c>
      <c r="F28" s="14">
        <f>IF(F5=0,NA(),F27/F5)</f>
        <v/>
      </c>
      <c r="G28" s="14">
        <f>IF(G5=0,NA(),G27/G5)</f>
        <v/>
      </c>
      <c r="H28" s="14">
        <f>IF(H5=0,NA(),H27/H5)</f>
        <v/>
      </c>
      <c r="I28" s="14">
        <f>IF(I5=0,NA(),I27/I5)</f>
        <v/>
      </c>
    </row>
    <row r="29" ht="20" customHeight="1">
      <c r="B29" s="20" t="inlineStr">
        <is>
          <t>Adjusted net income</t>
        </is>
      </c>
      <c r="C29" s="32" t="n"/>
      <c r="D29" s="11">
        <f>D18+D20+D21+D8-D14+D22</f>
        <v/>
      </c>
      <c r="E29" s="11">
        <f>E18+E20+E21+E8-E14+E22</f>
        <v/>
      </c>
      <c r="F29" s="11">
        <f>F18+F20+F21+F8-F14+F22</f>
        <v/>
      </c>
      <c r="G29" s="11">
        <f>G18+G20+G21+G8-G14+G22</f>
        <v/>
      </c>
      <c r="H29" s="11">
        <f>H18+H20+H21+H8-H14+H22</f>
        <v/>
      </c>
      <c r="I29" s="11">
        <f>I18+I20+I21+I8-I14+I22</f>
        <v/>
      </c>
    </row>
    <row r="30" ht="20" customHeight="1">
      <c r="B30" s="20" t="inlineStr">
        <is>
          <t>Sequential revenue growth</t>
        </is>
      </c>
      <c r="C30" s="23" t="n"/>
      <c r="D30" s="15">
        <f>IF(C5=0,NA(),D5/C5-1)</f>
        <v/>
      </c>
      <c r="E30" s="15">
        <f>IF(D5=0,NA(),E5/D5-1)</f>
        <v/>
      </c>
      <c r="F30" s="15">
        <f>IF(E5=0,NA(),F5/E5-1)</f>
        <v/>
      </c>
      <c r="G30" s="15">
        <f>IF(F5=0,NA(),G5/F5-1)</f>
        <v/>
      </c>
      <c r="H30" s="15">
        <f>IF(G5=0,NA(),H5/G5-1)</f>
        <v/>
      </c>
      <c r="I30" s="15">
        <f>IF(H5=0,NA(),I5/H5-1)</f>
        <v/>
      </c>
    </row>
    <row r="32" ht="48" customHeight="1">
      <c r="A32" s="18" t="inlineStr">
        <is>
          <t>Adjusted operating income adds back stock-based compensation, non-cash charitable contributions, and the Bartz settlement. Adjusted net income also adds back the fair-value loss on convertible notes, derivatives, and SAFEs, and the mark-to-market instruments. Q2 2026 adjusted operating income of $2,235 million and adjusted net income of $2,981 million match the reconciliation in the filing. Q2 2026 stock-based compensation is $1,261 million in that reconciliation; the quarterly footnote rounds the same figure to $1.3 billion.</t>
        </is>
      </c>
      <c r="B32" s="19" t="n"/>
      <c r="C32" s="19" t="n"/>
      <c r="D32" s="19" t="n"/>
      <c r="E32" s="19" t="n"/>
      <c r="F32" s="19" t="n"/>
      <c r="G32" s="19" t="n"/>
      <c r="H32" s="19" t="n"/>
      <c r="I32" s="19" t="n"/>
    </row>
  </sheetData>
  <mergeCells count="4">
    <mergeCell ref="A32:I32"/>
    <mergeCell ref="B24:I24"/>
    <mergeCell ref="B1:J1"/>
    <mergeCell ref="B2:J2"/>
  </mergeCells>
  <pageMargins left="0.5" right="0.5" top="0.7" bottom="0.6" header="0.25" footer="0.25"/>
  <pageSetup orientation="landscape" paperSize="3" fitToHeight="1" fitToWidth="1" horizontalDpi="300" verticalDpi="300"/>
  <headerFooter>
    <oddHeader>&amp;L&amp;"Calibri"&amp;9 Anthropic, PBC  |  Form S-1 filed October 26, 2026</oddHeader>
    <oddFooter>&amp;L&amp;"Calibri"&amp;8 Quarterly P&amp;L  |  formulas in green  |  amber = not disclosed&amp;RPage &amp;P of &amp;N</oddFooter>
    <evenHeader/>
    <evenFooter/>
    <firstHeader/>
    <firstFooter/>
  </headerFooter>
</worksheet>
</file>

<file path=xl/worksheets/sheet6.xml><?xml version="1.0" encoding="utf-8"?>
<worksheet xmlns="http://schemas.openxmlformats.org/spreadsheetml/2006/main">
  <sheetPr>
    <tabColor rgb="00334155"/>
    <outlinePr summaryBelow="1" summaryRight="1"/>
    <pageSetUpPr fitToPage="1"/>
  </sheetPr>
  <dimension ref="A1:H43"/>
  <sheetViews>
    <sheetView showGridLines="0" view="normal" zoomScale="110" workbookViewId="0">
      <pane xSplit="2" ySplit="6" topLeftCell="C7" activePane="bottomRight" state="frozen"/>
      <selection pane="topRight"/>
      <selection pane="bottomLeft"/>
      <selection pane="bottomRight" activeCell="A1" sqref="A1"/>
    </sheetView>
  </sheetViews>
  <sheetFormatPr baseColWidth="8" defaultRowHeight="15"/>
  <cols>
    <col width="3" customWidth="1" min="1" max="1"/>
    <col width="68" customWidth="1" min="2" max="2"/>
    <col width="16" customWidth="1" min="3" max="3"/>
    <col width="16" customWidth="1" min="4" max="4"/>
    <col width="16" customWidth="1" min="5" max="5"/>
    <col width="16" customWidth="1" min="6" max="6"/>
    <col width="16" customWidth="1" min="7" max="7"/>
    <col width="36" customWidth="1" min="8" max="8"/>
  </cols>
  <sheetData>
    <row r="1" ht="28" customHeight="1">
      <c r="B1" s="1" t="inlineStr">
        <is>
          <t>Annual and first-half results</t>
        </is>
      </c>
    </row>
    <row r="2" ht="28" customHeight="1">
      <c r="B2" s="3" t="inlineStr">
        <is>
          <t>Audited years ended December 31, 2023, 2024, and 2025. Unaudited six months ended June 30, 2025 and 2026. First-half figures are not annualized. Dollars in millions.</t>
        </is>
      </c>
      <c r="C2" s="4" t="n"/>
      <c r="D2" s="4" t="n"/>
      <c r="E2" s="4" t="n"/>
      <c r="F2" s="4" t="n"/>
      <c r="G2" s="4" t="n"/>
      <c r="H2" s="4" t="n"/>
    </row>
    <row r="4">
      <c r="B4" s="9" t="inlineStr">
        <is>
          <t>Millions of USD</t>
        </is>
      </c>
      <c r="C4" s="9" t="inlineStr">
        <is>
          <t>2023</t>
        </is>
      </c>
      <c r="D4" s="9" t="inlineStr">
        <is>
          <t>2024</t>
        </is>
      </c>
      <c r="E4" s="9" t="inlineStr">
        <is>
          <t>2025</t>
        </is>
      </c>
      <c r="F4" s="9" t="inlineStr">
        <is>
          <t>H1 2025</t>
        </is>
      </c>
      <c r="G4" s="9" t="inlineStr">
        <is>
          <t>H1 2026</t>
        </is>
      </c>
    </row>
    <row r="5" ht="18" customHeight="1">
      <c r="B5" s="20" t="inlineStr">
        <is>
          <t>Revenue</t>
        </is>
      </c>
      <c r="C5" s="11">
        <f>Inputs!C6</f>
        <v/>
      </c>
      <c r="D5" s="11">
        <f>Inputs!D6</f>
        <v/>
      </c>
      <c r="E5" s="11">
        <f>Inputs!E6</f>
        <v/>
      </c>
      <c r="F5" s="11">
        <f>Inputs!F6</f>
        <v/>
      </c>
      <c r="G5" s="11">
        <f>Inputs!G6</f>
        <v/>
      </c>
    </row>
    <row r="6" ht="18" customHeight="1">
      <c r="B6" s="10" t="inlineStr">
        <is>
          <t>Compute and infrastructure</t>
        </is>
      </c>
      <c r="C6" s="11">
        <f>Inputs!C7</f>
        <v/>
      </c>
      <c r="D6" s="11">
        <f>Inputs!D7</f>
        <v/>
      </c>
      <c r="E6" s="11">
        <f>Inputs!E7</f>
        <v/>
      </c>
      <c r="F6" s="11">
        <f>Inputs!F7</f>
        <v/>
      </c>
      <c r="G6" s="11">
        <f>Inputs!G7</f>
        <v/>
      </c>
    </row>
    <row r="7" ht="18" customHeight="1">
      <c r="B7" s="10" t="inlineStr">
        <is>
          <t>Personnel</t>
        </is>
      </c>
      <c r="C7" s="11">
        <f>Inputs!C8</f>
        <v/>
      </c>
      <c r="D7" s="11">
        <f>Inputs!D8</f>
        <v/>
      </c>
      <c r="E7" s="11">
        <f>Inputs!E8</f>
        <v/>
      </c>
      <c r="F7" s="11">
        <f>Inputs!F8</f>
        <v/>
      </c>
      <c r="G7" s="11">
        <f>Inputs!G8</f>
        <v/>
      </c>
    </row>
    <row r="8" ht="18" customHeight="1">
      <c r="B8" s="10" t="inlineStr">
        <is>
          <t>Bartz settlement</t>
        </is>
      </c>
      <c r="C8" s="11">
        <f>Inputs!C9</f>
        <v/>
      </c>
      <c r="D8" s="11">
        <f>Inputs!D9</f>
        <v/>
      </c>
      <c r="E8" s="11">
        <f>Inputs!E9</f>
        <v/>
      </c>
      <c r="F8" s="11">
        <f>Inputs!F9</f>
        <v/>
      </c>
      <c r="G8" s="11">
        <f>Inputs!G9</f>
        <v/>
      </c>
    </row>
    <row r="9" ht="18" customHeight="1">
      <c r="B9" s="10" t="inlineStr">
        <is>
          <t>Sales, marketing, and partnerships</t>
        </is>
      </c>
      <c r="C9" s="11">
        <f>Inputs!C10</f>
        <v/>
      </c>
      <c r="D9" s="11">
        <f>Inputs!D10</f>
        <v/>
      </c>
      <c r="E9" s="11">
        <f>Inputs!E10</f>
        <v/>
      </c>
      <c r="F9" s="11">
        <f>Inputs!F10</f>
        <v/>
      </c>
      <c r="G9" s="11">
        <f>Inputs!G10</f>
        <v/>
      </c>
    </row>
    <row r="10" ht="18" customHeight="1">
      <c r="B10" s="10" t="inlineStr">
        <is>
          <t>Other operating and administrative</t>
        </is>
      </c>
      <c r="C10" s="11">
        <f>Inputs!C11</f>
        <v/>
      </c>
      <c r="D10" s="11">
        <f>Inputs!D11</f>
        <v/>
      </c>
      <c r="E10" s="11">
        <f>Inputs!E11</f>
        <v/>
      </c>
      <c r="F10" s="11">
        <f>Inputs!F11</f>
        <v/>
      </c>
      <c r="G10" s="11">
        <f>Inputs!G11</f>
        <v/>
      </c>
    </row>
    <row r="11" ht="18" customHeight="1">
      <c r="B11" s="20" t="inlineStr">
        <is>
          <t>Total operating expenses</t>
        </is>
      </c>
      <c r="C11" s="11">
        <f>Inputs!C12</f>
        <v/>
      </c>
      <c r="D11" s="11">
        <f>Inputs!D12</f>
        <v/>
      </c>
      <c r="E11" s="11">
        <f>Inputs!E12</f>
        <v/>
      </c>
      <c r="F11" s="11">
        <f>Inputs!F12</f>
        <v/>
      </c>
      <c r="G11" s="11">
        <f>Inputs!G12</f>
        <v/>
      </c>
    </row>
    <row r="12" ht="18" customHeight="1">
      <c r="B12" s="20" t="inlineStr">
        <is>
          <t>Operating income (loss)</t>
        </is>
      </c>
      <c r="C12" s="11">
        <f>Inputs!C13</f>
        <v/>
      </c>
      <c r="D12" s="11">
        <f>Inputs!D13</f>
        <v/>
      </c>
      <c r="E12" s="11">
        <f>Inputs!E13</f>
        <v/>
      </c>
      <c r="F12" s="11">
        <f>Inputs!F13</f>
        <v/>
      </c>
      <c r="G12" s="11">
        <f>Inputs!G13</f>
        <v/>
      </c>
    </row>
    <row r="13" ht="18" customHeight="1">
      <c r="B13" s="10" t="inlineStr">
        <is>
          <t>Interest income</t>
        </is>
      </c>
      <c r="C13" s="11">
        <f>Inputs!C14</f>
        <v/>
      </c>
      <c r="D13" s="11">
        <f>Inputs!D14</f>
        <v/>
      </c>
      <c r="E13" s="11">
        <f>Inputs!E14</f>
        <v/>
      </c>
      <c r="F13" s="11">
        <f>Inputs!F14</f>
        <v/>
      </c>
      <c r="G13" s="11">
        <f>Inputs!G14</f>
        <v/>
      </c>
    </row>
    <row r="14" ht="18" customHeight="1">
      <c r="B14" s="10" t="inlineStr">
        <is>
          <t>Change in fair value of notes, derivatives, and SAFEs</t>
        </is>
      </c>
      <c r="C14" s="11">
        <f>Inputs!C15</f>
        <v/>
      </c>
      <c r="D14" s="11">
        <f>Inputs!D15</f>
        <v/>
      </c>
      <c r="E14" s="11">
        <f>Inputs!E15</f>
        <v/>
      </c>
      <c r="F14" s="11">
        <f>Inputs!F15</f>
        <v/>
      </c>
      <c r="G14" s="11">
        <f>Inputs!G15</f>
        <v/>
      </c>
    </row>
    <row r="15" ht="18" customHeight="1">
      <c r="B15" s="10" t="inlineStr">
        <is>
          <t>Other income (expense), net</t>
        </is>
      </c>
      <c r="C15" s="11">
        <f>Inputs!C16</f>
        <v/>
      </c>
      <c r="D15" s="11">
        <f>Inputs!D16</f>
        <v/>
      </c>
      <c r="E15" s="11">
        <f>Inputs!E16</f>
        <v/>
      </c>
      <c r="F15" s="11">
        <f>Inputs!F16</f>
        <v/>
      </c>
      <c r="G15" s="11">
        <f>Inputs!G16</f>
        <v/>
      </c>
    </row>
    <row r="16" ht="18" customHeight="1">
      <c r="B16" s="10" t="inlineStr">
        <is>
          <t>Loss before income taxes</t>
        </is>
      </c>
      <c r="C16" s="11">
        <f>Inputs!C17</f>
        <v/>
      </c>
      <c r="D16" s="11">
        <f>Inputs!D17</f>
        <v/>
      </c>
      <c r="E16" s="11">
        <f>Inputs!E17</f>
        <v/>
      </c>
      <c r="F16" s="11">
        <f>Inputs!F17</f>
        <v/>
      </c>
      <c r="G16" s="11">
        <f>Inputs!G17</f>
        <v/>
      </c>
    </row>
    <row r="17" ht="18" customHeight="1">
      <c r="B17" s="10" t="inlineStr">
        <is>
          <t>Provision for income taxes</t>
        </is>
      </c>
      <c r="C17" s="11">
        <f>Inputs!C18</f>
        <v/>
      </c>
      <c r="D17" s="11">
        <f>Inputs!D18</f>
        <v/>
      </c>
      <c r="E17" s="11">
        <f>Inputs!E18</f>
        <v/>
      </c>
      <c r="F17" s="11">
        <f>Inputs!F18</f>
        <v/>
      </c>
      <c r="G17" s="11">
        <f>Inputs!G18</f>
        <v/>
      </c>
    </row>
    <row r="18" ht="18" customHeight="1">
      <c r="B18" s="20" t="inlineStr">
        <is>
          <t>Net loss</t>
        </is>
      </c>
      <c r="C18" s="11">
        <f>Inputs!C19</f>
        <v/>
      </c>
      <c r="D18" s="11">
        <f>Inputs!D19</f>
        <v/>
      </c>
      <c r="E18" s="11">
        <f>Inputs!E19</f>
        <v/>
      </c>
      <c r="F18" s="11">
        <f>Inputs!F19</f>
        <v/>
      </c>
      <c r="G18" s="11">
        <f>Inputs!G19</f>
        <v/>
      </c>
    </row>
    <row r="20" ht="18" customHeight="1">
      <c r="B20" s="10" t="inlineStr">
        <is>
          <t>Stock-based compensation</t>
        </is>
      </c>
      <c r="C20" s="11">
        <f>Inputs!C21</f>
        <v/>
      </c>
      <c r="D20" s="11">
        <f>Inputs!D21</f>
        <v/>
      </c>
      <c r="E20" s="11">
        <f>Inputs!E21</f>
        <v/>
      </c>
      <c r="F20" s="11">
        <f>Inputs!F21</f>
        <v/>
      </c>
      <c r="G20" s="11">
        <f>Inputs!G21</f>
        <v/>
      </c>
    </row>
    <row r="21" ht="18" customHeight="1">
      <c r="B21" s="10" t="inlineStr">
        <is>
          <t>Non-cash charitable contributions</t>
        </is>
      </c>
      <c r="C21" s="11">
        <f>Inputs!C22</f>
        <v/>
      </c>
      <c r="D21" s="11">
        <f>Inputs!D22</f>
        <v/>
      </c>
      <c r="E21" s="11">
        <f>Inputs!E22</f>
        <v/>
      </c>
      <c r="F21" s="11">
        <f>Inputs!F22</f>
        <v/>
      </c>
      <c r="G21" s="11">
        <f>Inputs!G22</f>
        <v/>
      </c>
    </row>
    <row r="22" ht="18" customHeight="1">
      <c r="B22" s="10" t="inlineStr">
        <is>
          <t>Mark-to-market add-back</t>
        </is>
      </c>
      <c r="C22" s="11">
        <f>Inputs!C23</f>
        <v/>
      </c>
      <c r="D22" s="11">
        <f>Inputs!D23</f>
        <v/>
      </c>
      <c r="E22" s="11">
        <f>Inputs!E23</f>
        <v/>
      </c>
      <c r="F22" s="11">
        <f>Inputs!F23</f>
        <v/>
      </c>
      <c r="G22" s="11">
        <f>Inputs!G23</f>
        <v/>
      </c>
    </row>
    <row r="24" ht="18" customHeight="1">
      <c r="B24" s="20" t="inlineStr">
        <is>
          <t>Cost of revenue (Note 8)</t>
        </is>
      </c>
      <c r="C24" s="11">
        <f>Inputs!C26</f>
        <v/>
      </c>
      <c r="D24" s="11">
        <f>Inputs!D26</f>
        <v/>
      </c>
      <c r="E24" s="11">
        <f>Inputs!E26</f>
        <v/>
      </c>
      <c r="F24" s="11">
        <f>Inputs!F26</f>
        <v/>
      </c>
      <c r="G24" s="11">
        <f>Inputs!G26</f>
        <v/>
      </c>
    </row>
    <row r="25" ht="18" customHeight="1">
      <c r="B25" s="20" t="inlineStr">
        <is>
          <t>Research and development (Note 8)</t>
        </is>
      </c>
      <c r="C25" s="11">
        <f>Inputs!C27</f>
        <v/>
      </c>
      <c r="D25" s="11">
        <f>Inputs!D27</f>
        <v/>
      </c>
      <c r="E25" s="11">
        <f>Inputs!E27</f>
        <v/>
      </c>
      <c r="F25" s="11">
        <f>Inputs!F27</f>
        <v/>
      </c>
      <c r="G25" s="11">
        <f>Inputs!G27</f>
        <v/>
      </c>
    </row>
    <row r="26" ht="18" customHeight="1">
      <c r="B26" s="10" t="inlineStr">
        <is>
          <t>Sales and marketing, functional (Note 8)</t>
        </is>
      </c>
      <c r="C26" s="11">
        <f>Inputs!C28</f>
        <v/>
      </c>
      <c r="D26" s="11">
        <f>Inputs!D28</f>
        <v/>
      </c>
      <c r="E26" s="11">
        <f>Inputs!E28</f>
        <v/>
      </c>
      <c r="F26" s="11">
        <f>Inputs!F28</f>
        <v/>
      </c>
      <c r="G26" s="11">
        <f>Inputs!G28</f>
        <v/>
      </c>
    </row>
    <row r="27" ht="18" customHeight="1">
      <c r="B27" s="10" t="inlineStr">
        <is>
          <t>General and administrative (Note 8)</t>
        </is>
      </c>
      <c r="C27" s="11">
        <f>Inputs!C30</f>
        <v/>
      </c>
      <c r="D27" s="11">
        <f>Inputs!D30</f>
        <v/>
      </c>
      <c r="E27" s="11">
        <f>Inputs!E30</f>
        <v/>
      </c>
      <c r="F27" s="11">
        <f>Inputs!F30</f>
        <v/>
      </c>
      <c r="G27" s="11">
        <f>Inputs!G30</f>
        <v/>
      </c>
    </row>
    <row r="29" ht="18" customHeight="1">
      <c r="B29" s="10" t="inlineStr">
        <is>
          <t>Purchases of property and equipment</t>
        </is>
      </c>
      <c r="C29" s="11">
        <f>Inputs!C41</f>
        <v/>
      </c>
      <c r="D29" s="11">
        <f>Inputs!D41</f>
        <v/>
      </c>
      <c r="E29" s="11">
        <f>Inputs!E41</f>
        <v/>
      </c>
      <c r="F29" s="11">
        <f>Inputs!F41</f>
        <v/>
      </c>
      <c r="G29" s="11">
        <f>Inputs!G41</f>
        <v/>
      </c>
    </row>
    <row r="30" ht="18" customHeight="1">
      <c r="B30" s="10" t="inlineStr">
        <is>
          <t>Depreciation and amortization (cash flow)</t>
        </is>
      </c>
      <c r="C30" s="11">
        <f>Inputs!C42</f>
        <v/>
      </c>
      <c r="D30" s="11">
        <f>Inputs!D42</f>
        <v/>
      </c>
      <c r="E30" s="11">
        <f>Inputs!E42</f>
        <v/>
      </c>
      <c r="F30" s="11">
        <f>Inputs!F42</f>
        <v/>
      </c>
      <c r="G30" s="11">
        <f>Inputs!G42</f>
        <v/>
      </c>
    </row>
    <row r="31" ht="18" customHeight="1">
      <c r="B31" s="10" t="inlineStr">
        <is>
          <t>Depreciation of property and equipment</t>
        </is>
      </c>
      <c r="C31" s="11">
        <f>Inputs!C43</f>
        <v/>
      </c>
      <c r="D31" s="11">
        <f>Inputs!D43</f>
        <v/>
      </c>
      <c r="E31" s="11">
        <f>Inputs!E43</f>
        <v/>
      </c>
      <c r="F31" s="11">
        <f>Inputs!F43</f>
        <v/>
      </c>
      <c r="G31" s="11">
        <f>Inputs!G43</f>
        <v/>
      </c>
    </row>
    <row r="33">
      <c r="B33" s="5" t="inlineStr">
        <is>
          <t>Computed</t>
        </is>
      </c>
      <c r="C33" s="44" t="n"/>
      <c r="D33" s="44" t="n"/>
      <c r="E33" s="44" t="n"/>
      <c r="F33" s="44" t="n"/>
      <c r="G33" s="45" t="n"/>
    </row>
    <row r="34" ht="20" customHeight="1">
      <c r="B34" s="20" t="inlineStr">
        <is>
          <t>GAAP operating margin</t>
        </is>
      </c>
      <c r="C34" s="15">
        <f>IF(C5=0,NA(),C12/C5)</f>
        <v/>
      </c>
      <c r="D34" s="15">
        <f>IF(D5=0,NA(),D12/D5)</f>
        <v/>
      </c>
      <c r="E34" s="15">
        <f>IF(E5=0,NA(),E12/E5)</f>
        <v/>
      </c>
      <c r="F34" s="15">
        <f>IF(F5=0,NA(),F12/F5)</f>
        <v/>
      </c>
      <c r="G34" s="15">
        <f>IF(G5=0,NA(),G12/G5)</f>
        <v/>
      </c>
    </row>
    <row r="35" ht="20" customHeight="1">
      <c r="B35" s="20" t="inlineStr">
        <is>
          <t>Adjusted operating income</t>
        </is>
      </c>
      <c r="C35" s="11">
        <f>C12+C20+C21+C8</f>
        <v/>
      </c>
      <c r="D35" s="11">
        <f>D12+D20+D21+D8</f>
        <v/>
      </c>
      <c r="E35" s="11">
        <f>E12+E20+E21+E8</f>
        <v/>
      </c>
      <c r="F35" s="11">
        <f>F12+F20+F21+F8</f>
        <v/>
      </c>
      <c r="G35" s="11">
        <f>G12+G20+G21+G8</f>
        <v/>
      </c>
    </row>
    <row r="36" ht="20" customHeight="1">
      <c r="B36" s="20" t="inlineStr">
        <is>
          <t>Adjusted operating margin</t>
        </is>
      </c>
      <c r="C36" s="14">
        <f>IF(C5=0,NA(),C35/C5)</f>
        <v/>
      </c>
      <c r="D36" s="14">
        <f>IF(D5=0,NA(),D35/D5)</f>
        <v/>
      </c>
      <c r="E36" s="14">
        <f>IF(E5=0,NA(),E35/E5)</f>
        <v/>
      </c>
      <c r="F36" s="14">
        <f>IF(F5=0,NA(),F35/F5)</f>
        <v/>
      </c>
      <c r="G36" s="14">
        <f>IF(G5=0,NA(),G35/G5)</f>
        <v/>
      </c>
    </row>
    <row r="37" ht="20" customHeight="1">
      <c r="B37" s="20" t="inlineStr">
        <is>
          <t>Adjusted net income</t>
        </is>
      </c>
      <c r="C37" s="11">
        <f>C18+C20+C21+C8-C14+C22</f>
        <v/>
      </c>
      <c r="D37" s="11">
        <f>D18+D20+D21+D8-D14+D22</f>
        <v/>
      </c>
      <c r="E37" s="11">
        <f>E18+E20+E21+E8-E14+E22</f>
        <v/>
      </c>
      <c r="F37" s="11">
        <f>F18+F20+F21+F8-F14+F22</f>
        <v/>
      </c>
      <c r="G37" s="11">
        <f>G18+G20+G21+G8-G14+G22</f>
        <v/>
      </c>
    </row>
    <row r="38" ht="20" customHeight="1">
      <c r="B38" s="20" t="inlineStr">
        <is>
          <t>Implied gross profit</t>
        </is>
      </c>
      <c r="C38" s="11">
        <f>C5-C24</f>
        <v/>
      </c>
      <c r="D38" s="11">
        <f>D5-D24</f>
        <v/>
      </c>
      <c r="E38" s="11">
        <f>E5-E24</f>
        <v/>
      </c>
      <c r="F38" s="11">
        <f>F5-F24</f>
        <v/>
      </c>
      <c r="G38" s="11">
        <f>G5-G24</f>
        <v/>
      </c>
    </row>
    <row r="39" ht="20" customHeight="1">
      <c r="B39" s="20" t="inlineStr">
        <is>
          <t>Implied gross margin</t>
        </is>
      </c>
      <c r="C39" s="14">
        <f>IF(C5=0,NA(),C38/C5)</f>
        <v/>
      </c>
      <c r="D39" s="14">
        <f>IF(D5=0,NA(),D38/D5)</f>
        <v/>
      </c>
      <c r="E39" s="14">
        <f>IF(E5=0,NA(),E38/E5)</f>
        <v/>
      </c>
      <c r="F39" s="14">
        <f>IF(F5=0,NA(),F38/F5)</f>
        <v/>
      </c>
      <c r="G39" s="14">
        <f>IF(G5=0,NA(),G38/G5)</f>
        <v/>
      </c>
    </row>
    <row r="40" ht="20" customHeight="1">
      <c r="B40" s="20" t="inlineStr">
        <is>
          <t>Compute as % of revenue</t>
        </is>
      </c>
      <c r="C40" s="15">
        <f>IF(C5=0,NA(),C6/C5)</f>
        <v/>
      </c>
      <c r="D40" s="15">
        <f>IF(D5=0,NA(),D6/D5)</f>
        <v/>
      </c>
      <c r="E40" s="15">
        <f>IF(E5=0,NA(),E6/E5)</f>
        <v/>
      </c>
      <c r="F40" s="15">
        <f>IF(F5=0,NA(),F6/F5)</f>
        <v/>
      </c>
      <c r="G40" s="15">
        <f>IF(G5=0,NA(),G6/G5)</f>
        <v/>
      </c>
    </row>
    <row r="41" ht="20" customHeight="1">
      <c r="B41" s="20" t="inlineStr">
        <is>
          <t>Year-over-year revenue growth</t>
        </is>
      </c>
      <c r="C41" s="23" t="n"/>
      <c r="D41" s="15">
        <f>IF(C5=0,NA(),D5/C5-1)</f>
        <v/>
      </c>
      <c r="E41" s="15">
        <f>IF(D5=0,NA(),E5/D5-1)</f>
        <v/>
      </c>
      <c r="F41" s="23" t="n"/>
      <c r="G41" s="15">
        <f>IF(F5=0,NA(),G5/F5-1)</f>
        <v/>
      </c>
    </row>
    <row r="43" ht="60" customHeight="1">
      <c r="A43" s="18" t="inlineStr">
        <is>
          <t>Adjusted operating income is $(522), $(2,788), $(4,854), $(1,849), and $1,618 million across these columns, matching the filing. Adjusted operating margin is (1,273)%, (722)%, (106)%, (159)%, and 10%. Adjusted net income is $(457), $(2,683), $(4,448), $(1,741), and $2,671 million. The first-half 2026 operating loss of $693 million and adjusted operating income of $1,618 million can both be true because stock-based compensation was $2,185 million.</t>
        </is>
      </c>
      <c r="B43" s="19" t="n"/>
      <c r="C43" s="19" t="n"/>
      <c r="D43" s="19" t="n"/>
      <c r="E43" s="19" t="n"/>
      <c r="F43" s="19" t="n"/>
      <c r="G43" s="19" t="n"/>
    </row>
  </sheetData>
  <mergeCells count="4">
    <mergeCell ref="B1:H1"/>
    <mergeCell ref="A43:G43"/>
    <mergeCell ref="B2:H2"/>
    <mergeCell ref="B33:G33"/>
  </mergeCells>
  <pageMargins left="0.5" right="0.5" top="0.7" bottom="0.6" header="0.25" footer="0.25"/>
  <pageSetup orientation="landscape" paperSize="3" fitToHeight="1" fitToWidth="1" horizontalDpi="300" verticalDpi="300"/>
  <headerFooter>
    <oddHeader>&amp;L&amp;"Calibri"&amp;9 Anthropic, PBC  |  Form S-1 filed October 26, 2026</oddHeader>
    <oddFooter>&amp;L&amp;"Calibri"&amp;8 Annual P&amp;L  |  H1 columns are year-to-date, not run-rate&amp;RPage &amp;P of &amp;N</oddFooter>
    <evenHeader/>
    <evenFooter/>
    <firstHeader/>
    <firstFooter/>
  </headerFooter>
</worksheet>
</file>

<file path=xl/worksheets/sheet7.xml><?xml version="1.0" encoding="utf-8"?>
<worksheet xmlns="http://schemas.openxmlformats.org/spreadsheetml/2006/main">
  <sheetPr>
    <tabColor rgb="007C6A4F"/>
    <outlinePr summaryBelow="1" summaryRight="1"/>
    <pageSetUpPr fitToPage="1"/>
  </sheetPr>
  <dimension ref="A1:G35"/>
  <sheetViews>
    <sheetView showGridLines="0" view="normal" zoomScale="110" workbookViewId="0">
      <selection activeCell="A1" sqref="A1"/>
    </sheetView>
  </sheetViews>
  <sheetFormatPr baseColWidth="8" defaultRowHeight="15"/>
  <cols>
    <col width="3" customWidth="1" min="1" max="1"/>
    <col width="42" customWidth="1" min="2" max="2"/>
    <col width="28" customWidth="1" min="3" max="3"/>
    <col width="22" customWidth="1" min="4" max="4"/>
    <col width="22" customWidth="1" min="5" max="5"/>
    <col width="22" customWidth="1" min="6" max="6"/>
    <col width="55" customWidth="1" min="7" max="7"/>
  </cols>
  <sheetData>
    <row r="1" ht="28" customHeight="1">
      <c r="B1" s="1" t="inlineStr">
        <is>
          <t>Customers and operating metrics</t>
        </is>
      </c>
    </row>
    <row r="2" ht="28" customHeight="1">
      <c r="B2" s="3" t="inlineStr">
        <is>
          <t>Counts and cohort revenue are as printed. Several September 30, 2026 dollar amounts are blank in the preliminary prospectus and are left blank here.</t>
        </is>
      </c>
      <c r="C2" s="4" t="n"/>
      <c r="D2" s="4" t="n"/>
      <c r="E2" s="4" t="n"/>
      <c r="F2" s="4" t="n"/>
      <c r="G2" s="4" t="n"/>
    </row>
    <row r="4" ht="22" customHeight="1">
      <c r="A4" s="5" t="inlineStr">
        <is>
          <t>Customers with at least $100,000 of trailing-twelve-month revenue</t>
        </is>
      </c>
      <c r="B4" s="6" t="n"/>
      <c r="C4" s="6" t="n"/>
      <c r="D4" s="6" t="n"/>
      <c r="E4" s="6" t="n"/>
      <c r="F4" s="6" t="n"/>
      <c r="G4" s="6" t="n"/>
    </row>
    <row r="5">
      <c r="B5" s="9" t="inlineStr">
        <is>
          <t>As of / for</t>
        </is>
      </c>
      <c r="C5" s="9" t="inlineStr">
        <is>
          <t>Customer count</t>
        </is>
      </c>
      <c r="D5" s="9" t="inlineStr">
        <is>
          <t>Cohort revenue ($ millions)</t>
        </is>
      </c>
      <c r="E5" s="9" t="inlineStr">
        <is>
          <t>Share of revenue</t>
        </is>
      </c>
      <c r="F5" s="9" t="inlineStr">
        <is>
          <t>Window of the revenue</t>
        </is>
      </c>
    </row>
    <row r="6" ht="36" customHeight="1">
      <c r="B6" s="10" t="inlineStr">
        <is>
          <t>December 31, 2023</t>
        </is>
      </c>
      <c r="C6" s="46" t="n">
        <v>20</v>
      </c>
      <c r="D6" s="47" t="n">
        <v>37</v>
      </c>
      <c r="E6" s="48" t="n">
        <v>0.9</v>
      </c>
      <c r="F6" s="21" t="inlineStr">
        <is>
          <t>Full year 2023. Count is approximately 20.</t>
        </is>
      </c>
      <c r="G6" s="8" t="n"/>
    </row>
    <row r="7" ht="36" customHeight="1">
      <c r="B7" s="10" t="inlineStr">
        <is>
          <t>December 31, 2024</t>
        </is>
      </c>
      <c r="C7" s="46" t="n">
        <v>200</v>
      </c>
      <c r="D7" s="47" t="n">
        <v>220</v>
      </c>
      <c r="E7" s="48" t="n">
        <v>0.57</v>
      </c>
      <c r="F7" s="21" t="inlineStr">
        <is>
          <t>Full year 2024. Count is approximately 200. Cohort revenue approximately $220 million.</t>
        </is>
      </c>
      <c r="G7" s="8" t="n"/>
    </row>
    <row r="8" ht="36" customHeight="1">
      <c r="B8" s="10" t="inlineStr">
        <is>
          <t>March 31, 2025</t>
        </is>
      </c>
      <c r="C8" s="46" t="n">
        <v>400</v>
      </c>
      <c r="D8" s="41" t="n"/>
      <c r="E8" s="49" t="n"/>
      <c r="F8" s="21" t="inlineStr">
        <is>
          <t>Count only. Approximately 400.</t>
        </is>
      </c>
      <c r="G8" s="8" t="n"/>
    </row>
    <row r="9" ht="36" customHeight="1">
      <c r="B9" s="10" t="inlineStr">
        <is>
          <t>June 30, 2025</t>
        </is>
      </c>
      <c r="C9" s="46" t="n">
        <v>600</v>
      </c>
      <c r="D9" s="47" t="n">
        <v>870</v>
      </c>
      <c r="E9" s="48" t="n">
        <v>0.75</v>
      </c>
      <c r="F9" s="21" t="inlineStr">
        <is>
          <t>First half of 2025. More than 600 customers. Cohort revenue $870 million.</t>
        </is>
      </c>
      <c r="G9" s="8" t="n"/>
    </row>
    <row r="10" ht="36" customHeight="1">
      <c r="B10" s="10" t="inlineStr">
        <is>
          <t>September 30, 2025</t>
        </is>
      </c>
      <c r="C10" s="46" t="n">
        <v>950</v>
      </c>
      <c r="D10" s="41" t="n"/>
      <c r="E10" s="49" t="n"/>
      <c r="F10" s="21" t="inlineStr">
        <is>
          <t>Count only. More than 950.</t>
        </is>
      </c>
      <c r="G10" s="8" t="n"/>
    </row>
    <row r="11" ht="36" customHeight="1">
      <c r="B11" s="10" t="inlineStr">
        <is>
          <t>December 31, 2025</t>
        </is>
      </c>
      <c r="C11" s="46" t="n">
        <v>1500</v>
      </c>
      <c r="D11" s="47" t="n">
        <v>3500</v>
      </c>
      <c r="E11" s="48" t="n">
        <v>0.76</v>
      </c>
      <c r="F11" s="21" t="inlineStr">
        <is>
          <t>Full year 2025. Approximately 1,500. Revenue printed as $3.5 billion.</t>
        </is>
      </c>
      <c r="G11" s="8" t="n"/>
    </row>
    <row r="12" ht="36" customHeight="1">
      <c r="B12" s="10" t="inlineStr">
        <is>
          <t>June 30, 2026</t>
        </is>
      </c>
      <c r="C12" s="46" t="n">
        <v>6000</v>
      </c>
      <c r="D12" s="47" t="n">
        <v>12000</v>
      </c>
      <c r="E12" s="48" t="n">
        <v>0.74</v>
      </c>
      <c r="F12" s="21" t="inlineStr">
        <is>
          <t>First half of 2026. More than 6,000. Revenue printed as $12.0 billion.</t>
        </is>
      </c>
      <c r="G12" s="8" t="n"/>
    </row>
    <row r="13" ht="36" customHeight="1">
      <c r="B13" s="10" t="inlineStr">
        <is>
          <t>September 30, 2026</t>
        </is>
      </c>
      <c r="C13" s="46" t="n">
        <v>11900</v>
      </c>
      <c r="D13" s="41" t="n"/>
      <c r="E13" s="49" t="n"/>
      <c r="F13" s="21" t="inlineStr">
        <is>
          <t>More than 11,900. Cohort revenue and the mix percent are blank.</t>
        </is>
      </c>
      <c r="G13" s="8" t="n"/>
    </row>
    <row r="14" ht="60" customHeight="1">
      <c r="A14" s="18" t="inlineStr">
        <is>
          <t>Year-end counts for 2023, 2024, and 2025, and the March 31, 2025 count, are “approximately.” The June 30, 2025, September 30, 2025, June 30, 2026, and September 30, 2026 counts are “more than” the figure in the count column. A customer is an organization, with accounts aggregated by internal records. The company does not track an “enterprise” category. It uses the $100,000 threshold as its enterprise measure because that level of spend is generally organizational. The count can move when accounts are re-aggregated. The remaining share of trailing-twelve-month revenue at September 30, 2026 came from about 40 million customers each below $100,000. That dollar share is blank.</t>
        </is>
      </c>
      <c r="B14" s="19" t="n"/>
      <c r="C14" s="19" t="n"/>
      <c r="D14" s="19" t="n"/>
      <c r="E14" s="19" t="n"/>
      <c r="F14" s="19" t="n"/>
      <c r="G14" s="19" t="n"/>
    </row>
    <row r="16" ht="22" customHeight="1">
      <c r="A16" s="5" t="inlineStr">
        <is>
          <t>Larger customers as of September 30, 2026</t>
        </is>
      </c>
      <c r="B16" s="6" t="n"/>
      <c r="C16" s="6" t="n"/>
      <c r="D16" s="6" t="n"/>
      <c r="E16" s="6" t="n"/>
      <c r="F16" s="6" t="n"/>
      <c r="G16" s="6" t="n"/>
    </row>
    <row r="17">
      <c r="B17" s="9" t="inlineStr">
        <is>
          <t>Threshold, trailing twelve months</t>
        </is>
      </c>
      <c r="C17" s="9" t="inlineStr">
        <is>
          <t>Count</t>
        </is>
      </c>
      <c r="D17" s="9" t="inlineStr">
        <is>
          <t>Revenue of this tier</t>
        </is>
      </c>
    </row>
    <row r="18">
      <c r="B18" s="10" t="inlineStr">
        <is>
          <t>At least $100,000</t>
        </is>
      </c>
      <c r="C18" s="50" t="inlineStr">
        <is>
          <t>More than 11,900</t>
        </is>
      </c>
      <c r="D18" s="33" t="inlineStr">
        <is>
          <t>Blank in the filing</t>
        </is>
      </c>
      <c r="E18" s="30" t="n"/>
      <c r="F18" s="30" t="n"/>
      <c r="G18" s="30" t="n"/>
    </row>
    <row r="19">
      <c r="B19" s="10" t="inlineStr">
        <is>
          <t>At least $1 million</t>
        </is>
      </c>
      <c r="C19" s="50" t="inlineStr">
        <is>
          <t>More than 1,900</t>
        </is>
      </c>
      <c r="D19" s="33" t="inlineStr">
        <is>
          <t>Not disclosed</t>
        </is>
      </c>
      <c r="E19" s="30" t="n"/>
      <c r="F19" s="30" t="n"/>
      <c r="G19" s="30" t="n"/>
    </row>
    <row r="20">
      <c r="B20" s="10" t="inlineStr">
        <is>
          <t>At least $10 million</t>
        </is>
      </c>
      <c r="C20" s="50" t="inlineStr">
        <is>
          <t>Approximately 250</t>
        </is>
      </c>
      <c r="D20" s="33" t="inlineStr">
        <is>
          <t>Not disclosed</t>
        </is>
      </c>
      <c r="E20" s="30" t="n"/>
      <c r="F20" s="30" t="n"/>
      <c r="G20" s="30" t="n"/>
    </row>
    <row r="22" ht="22" customHeight="1">
      <c r="A22" s="5" t="inlineStr">
        <is>
          <t>Retention, concentration, and productivity</t>
        </is>
      </c>
      <c r="B22" s="6" t="n"/>
      <c r="C22" s="6" t="n"/>
      <c r="D22" s="6" t="n"/>
      <c r="E22" s="6" t="n"/>
      <c r="F22" s="6" t="n"/>
      <c r="G22" s="6" t="n"/>
    </row>
    <row r="23">
      <c r="B23" s="9" t="inlineStr">
        <is>
          <t>Metric</t>
        </is>
      </c>
      <c r="C23" s="9" t="inlineStr">
        <is>
          <t>Value</t>
        </is>
      </c>
      <c r="D23" s="9" t="inlineStr">
        <is>
          <t>As of</t>
        </is>
      </c>
      <c r="E23" s="9" t="inlineStr">
        <is>
          <t>Definition constraint</t>
        </is>
      </c>
    </row>
    <row r="24" ht="30" customHeight="1">
      <c r="B24" s="10" t="inlineStr">
        <is>
          <t>Net revenue retention</t>
        </is>
      </c>
      <c r="C24" s="51" t="inlineStr">
        <is>
          <t>Approximately 900%</t>
        </is>
      </c>
      <c r="D24" s="52" t="inlineStr">
        <is>
          <t>September 30, 2026</t>
        </is>
      </c>
      <c r="E24" s="21" t="inlineStr">
        <is>
          <t>Cohort ratio. Excludes Claude Pro and Max. Only date disclosed.</t>
        </is>
      </c>
      <c r="F24" s="8" t="n"/>
      <c r="G24" s="8" t="n"/>
    </row>
    <row r="25" ht="30" customHeight="1">
      <c r="B25" s="10" t="inlineStr">
        <is>
          <t>TTM revenue per employee</t>
        </is>
      </c>
      <c r="C25" s="51" t="inlineStr">
        <is>
          <t>Over $6.6 million</t>
        </is>
      </c>
      <c r="D25" s="52" t="inlineStr">
        <is>
          <t>September 30, 2026</t>
        </is>
      </c>
      <c r="E25" s="21" t="inlineStr">
        <is>
          <t>Was $1.4 million at September 30, 2025.</t>
        </is>
      </c>
      <c r="F25" s="8" t="n"/>
      <c r="G25" s="8" t="n"/>
    </row>
    <row r="26" ht="30" customHeight="1">
      <c r="B26" s="10" t="inlineStr">
        <is>
          <t>TTM revenue growth vs prior year</t>
        </is>
      </c>
      <c r="C26" s="51" t="inlineStr">
        <is>
          <t>Approximately 1,200%</t>
        </is>
      </c>
      <c r="D26" s="52" t="inlineStr">
        <is>
          <t>September 30, 2025 to 2026</t>
        </is>
      </c>
      <c r="E26" s="21" t="inlineStr">
        <is>
          <t>Headcount up about 170% over the same span.</t>
        </is>
      </c>
      <c r="F26" s="8" t="n"/>
      <c r="G26" s="8" t="n"/>
    </row>
    <row r="27" ht="30" customHeight="1">
      <c r="B27" s="10" t="inlineStr">
        <is>
          <t>Employees</t>
        </is>
      </c>
      <c r="C27" s="51" t="inlineStr">
        <is>
          <t>Approximately 5,300</t>
        </is>
      </c>
      <c r="D27" s="52" t="inlineStr">
        <is>
          <t>September 30, 2026</t>
        </is>
      </c>
      <c r="E27" s="21" t="inlineStr">
        <is>
          <t>About 940 at December 31, 2024.</t>
        </is>
      </c>
      <c r="F27" s="8" t="n"/>
      <c r="G27" s="8" t="n"/>
    </row>
    <row r="28" ht="30" customHeight="1">
      <c r="B28" s="10" t="inlineStr">
        <is>
          <t>No single customer</t>
        </is>
      </c>
      <c r="C28" s="51" t="inlineStr">
        <is>
          <t>Not more than 10% of revenue</t>
        </is>
      </c>
      <c r="D28" s="52" t="inlineStr">
        <is>
          <t>Nine months ended September 30, 2026</t>
        </is>
      </c>
      <c r="E28" s="21" t="inlineStr">
        <is>
          <t>Top five were about 25% over that nine-month period.</t>
        </is>
      </c>
      <c r="F28" s="8" t="n"/>
      <c r="G28" s="8" t="n"/>
    </row>
    <row r="29" ht="30" customHeight="1">
      <c r="B29" s="10" t="inlineStr">
        <is>
          <t>Revenue outside the top five</t>
        </is>
      </c>
      <c r="C29" s="51" t="inlineStr">
        <is>
          <t>About 79%</t>
        </is>
      </c>
      <c r="D29" s="52" t="inlineStr">
        <is>
          <t>Quarter ended September 30, 2026</t>
        </is>
      </c>
      <c r="E29" s="21" t="inlineStr">
        <is>
          <t>Was about 64% in the quarter ended March 31, 2026.</t>
        </is>
      </c>
      <c r="F29" s="8" t="n"/>
      <c r="G29" s="8" t="n"/>
    </row>
    <row r="30" ht="30" customHeight="1">
      <c r="B30" s="10" t="inlineStr">
        <is>
          <t>Top five customers</t>
        </is>
      </c>
      <c r="C30" s="51" t="inlineStr">
        <is>
          <t>Each at a record</t>
        </is>
      </c>
      <c r="D30" s="52" t="inlineStr">
        <is>
          <t>Quarter ended September 30, 2026</t>
        </is>
      </c>
      <c r="E30" s="21" t="inlineStr">
        <is>
          <t>Dollar amounts not disclosed.</t>
        </is>
      </c>
      <c r="F30" s="8" t="n"/>
      <c r="G30" s="8" t="n"/>
    </row>
    <row r="31" ht="30" customHeight="1">
      <c r="B31" s="10" t="inlineStr">
        <is>
          <t>Policy-violating usage</t>
        </is>
      </c>
      <c r="C31" s="51" t="inlineStr">
        <is>
          <t>About 5% to 7% of revenue</t>
        </is>
      </c>
      <c r="D31" s="52" t="inlineStr">
        <is>
          <t>Nine months ended September 30, 2026</t>
        </is>
      </c>
      <c r="E31" s="21" t="inlineStr">
        <is>
          <t>Recognized before access is cut off. Expected to decline after tighter enforcement in August and September 2026.</t>
        </is>
      </c>
      <c r="F31" s="8" t="n"/>
      <c r="G31" s="8" t="n"/>
    </row>
    <row r="32" ht="30" customHeight="1">
      <c r="B32" s="10" t="inlineStr">
        <is>
          <t>Fortune 500 with ≥$100k TTM</t>
        </is>
      </c>
      <c r="C32" s="51" t="inlineStr">
        <is>
          <t>Over 50%</t>
        </is>
      </c>
      <c r="D32" s="52" t="inlineStr">
        <is>
          <t>September 30, 2026</t>
        </is>
      </c>
      <c r="E32" s="21" t="inlineStr">
        <is>
          <t>Every Fortune 10 company. Over 30% of the Global 2000.</t>
        </is>
      </c>
      <c r="F32" s="8" t="n"/>
      <c r="G32" s="8" t="n"/>
    </row>
    <row r="33" ht="30" customHeight="1">
      <c r="B33" s="10" t="inlineStr">
        <is>
          <t>Revenue vs Fortune 500 expenses</t>
        </is>
      </c>
      <c r="C33" s="51" t="inlineStr">
        <is>
          <t>Under 0.1% on average</t>
        </is>
      </c>
      <c r="D33" s="52" t="inlineStr">
        <is>
          <t>Quarter ended September 30, 2026</t>
        </is>
      </c>
      <c r="E33" s="21" t="inlineStr">
        <is>
          <t>Top 10 Fortune 500 customers: under 1% of their expenses, about 8× the broader Fortune 500 average.</t>
        </is>
      </c>
      <c r="F33" s="8" t="n"/>
      <c r="G33" s="8" t="n"/>
    </row>
    <row r="34" ht="30" customHeight="1">
      <c r="B34" s="10" t="inlineStr">
        <is>
          <t>Models released in the prior six months</t>
        </is>
      </c>
      <c r="C34" s="51" t="inlineStr">
        <is>
          <t>Over 80% of revenue</t>
        </is>
      </c>
      <c r="D34" s="52" t="inlineStr">
        <is>
          <t>Quarter ended September 30, 2026</t>
        </is>
      </c>
      <c r="E34" s="21" t="inlineStr">
        <is>
          <t>Share of that quarter’s revenue from model versions released in the six months ended September 30, 2026.</t>
        </is>
      </c>
      <c r="F34" s="8" t="n"/>
      <c r="G34" s="8" t="n"/>
    </row>
    <row r="35" ht="30" customHeight="1">
      <c r="B35" s="10" t="inlineStr">
        <is>
          <t>Code written by Claude</t>
        </is>
      </c>
      <c r="C35" s="51" t="inlineStr">
        <is>
          <t>Over 90% of contributions</t>
        </is>
      </c>
      <c r="D35" s="52" t="inlineStr">
        <is>
          <t>September 2026</t>
        </is>
      </c>
      <c r="E35" s="21" t="inlineStr">
        <is>
          <t>Internal codebase. Daily code per engineer in Q3 2026 was over 45× the 2024 daily average.</t>
        </is>
      </c>
      <c r="F35" s="8" t="n"/>
      <c r="G35" s="8" t="n"/>
    </row>
  </sheetData>
  <mergeCells count="29">
    <mergeCell ref="B2:G2"/>
    <mergeCell ref="A14:G14"/>
    <mergeCell ref="F11:G11"/>
    <mergeCell ref="D18:G18"/>
    <mergeCell ref="E28:G28"/>
    <mergeCell ref="F10:G10"/>
    <mergeCell ref="A22:G22"/>
    <mergeCell ref="E31:G31"/>
    <mergeCell ref="A4:G4"/>
    <mergeCell ref="B1:G1"/>
    <mergeCell ref="E34:G34"/>
    <mergeCell ref="F6:G6"/>
    <mergeCell ref="E30:G30"/>
    <mergeCell ref="F7:G7"/>
    <mergeCell ref="F12:G12"/>
    <mergeCell ref="E27:G27"/>
    <mergeCell ref="D20:G20"/>
    <mergeCell ref="E26:G26"/>
    <mergeCell ref="D19:G19"/>
    <mergeCell ref="E25:G25"/>
    <mergeCell ref="F8:G8"/>
    <mergeCell ref="E32:G32"/>
    <mergeCell ref="A16:G16"/>
    <mergeCell ref="F13:G13"/>
    <mergeCell ref="F9:G9"/>
    <mergeCell ref="E24:G24"/>
    <mergeCell ref="E33:G33"/>
    <mergeCell ref="E35:G35"/>
    <mergeCell ref="E29:G29"/>
  </mergeCells>
  <pageMargins left="0.5" right="0.5" top="0.7" bottom="0.6" header="0.25" footer="0.25"/>
  <pageSetup orientation="landscape" paperSize="3" fitToHeight="1" fitToWidth="1" horizontalDpi="300" verticalDpi="300"/>
  <headerFooter>
    <oddHeader>&amp;L&amp;"Calibri"&amp;9 Anthropic, PBC  |  Form S-1 filed October 26, 2026</oddHeader>
    <oddFooter>&amp;L&amp;"Calibri"&amp;8 Customers and KPIs  |  September dollar cohort revenue is blank&amp;RPage &amp;P of &amp;N</oddFooter>
    <evenHeader/>
    <evenFooter/>
    <firstHeader/>
    <firstFooter/>
  </headerFooter>
</worksheet>
</file>

<file path=xl/worksheets/sheet8.xml><?xml version="1.0" encoding="utf-8"?>
<worksheet xmlns="http://schemas.openxmlformats.org/spreadsheetml/2006/main">
  <sheetPr>
    <tabColor rgb="007F1D1D"/>
    <outlinePr summaryBelow="1" summaryRight="1"/>
    <pageSetUpPr fitToPage="1"/>
  </sheetPr>
  <dimension ref="A1:F33"/>
  <sheetViews>
    <sheetView showGridLines="0" view="normal" zoomScale="100" workbookViewId="0">
      <selection activeCell="A1" sqref="A1"/>
    </sheetView>
  </sheetViews>
  <sheetFormatPr baseColWidth="8" defaultRowHeight="15"/>
  <cols>
    <col width="3" customWidth="1" min="1" max="1"/>
    <col width="55" customWidth="1" min="2" max="2"/>
    <col width="22" customWidth="1" min="3" max="3"/>
    <col width="22" customWidth="1" min="4" max="4"/>
    <col width="22" customWidth="1" min="5" max="5"/>
    <col width="62" customWidth="1" min="6" max="6"/>
  </cols>
  <sheetData>
    <row r="1" ht="28" customHeight="1">
      <c r="B1" s="1" t="inlineStr">
        <is>
          <t>Forward compute commitments</t>
        </is>
      </c>
    </row>
    <row r="2" ht="32" customHeight="1">
      <c r="B2" s="17" t="inlineStr">
        <is>
          <t>These amounts buy a fungible pool. None of them is labeled training or inference. The financial-statement totals and the named contracts overlap. They are different snapshots. They are not additive.</t>
        </is>
      </c>
      <c r="C2" s="4" t="n"/>
      <c r="D2" s="4" t="n"/>
      <c r="E2" s="4" t="n"/>
      <c r="F2" s="4" t="n"/>
    </row>
    <row r="4" ht="22" customHeight="1">
      <c r="A4" s="5" t="inlineStr">
        <is>
          <t>Totals in the financial-statement notes</t>
        </is>
      </c>
      <c r="B4" s="6" t="n"/>
      <c r="C4" s="6" t="n"/>
      <c r="D4" s="6" t="n"/>
      <c r="E4" s="6" t="n"/>
      <c r="F4" s="6" t="n"/>
    </row>
    <row r="5">
      <c r="B5" s="9" t="inlineStr">
        <is>
          <t>Item</t>
        </is>
      </c>
      <c r="C5" s="9" t="inlineStr">
        <is>
          <t>Dec 31, 2025</t>
        </is>
      </c>
      <c r="D5" s="9" t="inlineStr">
        <is>
          <t>Jun 30, 2026</t>
        </is>
      </c>
      <c r="E5" s="9" t="inlineStr">
        <is>
          <t>Unit</t>
        </is>
      </c>
    </row>
    <row r="6">
      <c r="B6" s="10" t="inlineStr">
        <is>
          <t>Fixed or minimum purchase commitments</t>
        </is>
      </c>
      <c r="C6" s="11">
        <f>Inputs!D104</f>
        <v/>
      </c>
      <c r="D6" s="11">
        <f>Inputs!E104</f>
        <v/>
      </c>
      <c r="E6" s="52" t="inlineStr">
        <is>
          <t>Millions of USD</t>
        </is>
      </c>
    </row>
    <row r="7">
      <c r="B7" s="10" t="inlineStr">
        <is>
          <t>Leases not yet commenced, undiscounted</t>
        </is>
      </c>
      <c r="C7" s="11">
        <f>Inputs!D105</f>
        <v/>
      </c>
      <c r="D7" s="11">
        <f>Inputs!E105</f>
        <v/>
      </c>
      <c r="E7" s="52" t="inlineStr">
        <is>
          <t>Millions of USD</t>
        </is>
      </c>
    </row>
    <row r="8" ht="78" customHeight="1">
      <c r="A8" s="18" t="inlineStr">
        <is>
          <t>December 31, 2025 purchase commitments of $54.559 billion are the scheduled non-cancelable agreements with more than a year left, mostly cloud hosting (Note 13). By June 30, 2026 that population was about $265.6 billion, with terms of 1 to 20 years. Separately, leases signed but not yet commenced were $50.2 billion at year-end 2025 and $321.4 billion at June 30, 2026 (Note 7). Some of those leases are conditional. The company may pay a portion by issuing convertible notes. Agreements with no fixed dollar commitment are excluded from both numbers, and the company says those payments will be significant. The MD&amp;A’s later aggregate, “as of and subsequent to September 30, 2026,” is blank in this preliminary filing, including the portion due before 2031 and the portion due in the next 12 months.</t>
        </is>
      </c>
      <c r="B8" s="19" t="n"/>
      <c r="C8" s="19" t="n"/>
      <c r="D8" s="19" t="n"/>
      <c r="E8" s="19" t="n"/>
      <c r="F8" s="19" t="n"/>
    </row>
    <row r="10" ht="22" customHeight="1">
      <c r="A10" s="5" t="inlineStr">
        <is>
          <t>December 31, 2025 purchase-commitment schedule</t>
        </is>
      </c>
      <c r="B10" s="6" t="n"/>
      <c r="C10" s="6" t="n"/>
      <c r="D10" s="6" t="n"/>
      <c r="E10" s="6" t="n"/>
      <c r="F10" s="6" t="n"/>
    </row>
    <row r="11">
      <c r="B11" s="9" t="inlineStr">
        <is>
          <t>Year of payment</t>
        </is>
      </c>
      <c r="C11" s="9" t="inlineStr">
        <is>
          <t>Amount ($ millions)</t>
        </is>
      </c>
    </row>
    <row r="12">
      <c r="B12" s="27" t="inlineStr">
        <is>
          <t>2026</t>
        </is>
      </c>
      <c r="C12" s="47" t="n">
        <v>7059</v>
      </c>
    </row>
    <row r="13">
      <c r="B13" s="27" t="inlineStr">
        <is>
          <t>2027</t>
        </is>
      </c>
      <c r="C13" s="47" t="n">
        <v>11128</v>
      </c>
    </row>
    <row r="14">
      <c r="B14" s="27" t="inlineStr">
        <is>
          <t>2028</t>
        </is>
      </c>
      <c r="C14" s="47" t="n">
        <v>10832</v>
      </c>
    </row>
    <row r="15">
      <c r="B15" s="27" t="inlineStr">
        <is>
          <t>2029</t>
        </is>
      </c>
      <c r="C15" s="47" t="n">
        <v>8304</v>
      </c>
    </row>
    <row r="16">
      <c r="B16" s="27" t="inlineStr">
        <is>
          <t>2030</t>
        </is>
      </c>
      <c r="C16" s="47" t="n">
        <v>5428</v>
      </c>
    </row>
    <row r="17">
      <c r="B17" s="27" t="inlineStr">
        <is>
          <t>Thereafter</t>
        </is>
      </c>
      <c r="C17" s="47" t="n">
        <v>11808</v>
      </c>
    </row>
    <row r="18">
      <c r="B18" s="53" t="inlineStr">
        <is>
          <t>Total</t>
        </is>
      </c>
      <c r="C18" s="13">
        <f>SUM(C12:C17)</f>
        <v/>
      </c>
      <c r="D18" s="21" t="inlineStr">
        <is>
          <t>Must equal 54,559.</t>
        </is>
      </c>
    </row>
    <row r="20" ht="22" customHeight="1">
      <c r="A20" s="5" t="inlineStr">
        <is>
          <t>Named agreements in the MD&amp;A  —  overlapping, later, and not a sum</t>
        </is>
      </c>
      <c r="B20" s="6" t="n"/>
      <c r="C20" s="6" t="n"/>
      <c r="D20" s="6" t="n"/>
      <c r="E20" s="6" t="n"/>
      <c r="F20" s="6" t="n"/>
    </row>
    <row r="21" ht="22" customHeight="1">
      <c r="B21" s="9" t="inlineStr">
        <is>
          <t>Counterparty</t>
        </is>
      </c>
      <c r="C21" s="9" t="inlineStr">
        <is>
          <t>Stated amount ($ millions)</t>
        </is>
      </c>
      <c r="D21" s="9" t="inlineStr">
        <is>
          <t>What the amount is</t>
        </is>
      </c>
      <c r="E21" s="9" t="inlineStr">
        <is>
          <t>Term / timing</t>
        </is>
      </c>
      <c r="F21" s="9" t="inlineStr">
        <is>
          <t>Cancelable?</t>
        </is>
      </c>
    </row>
    <row r="22" ht="36" customHeight="1">
      <c r="B22" s="20" t="inlineStr">
        <is>
          <t>Microsoft</t>
        </is>
      </c>
      <c r="C22" s="47" t="n">
        <v>44900</v>
      </c>
      <c r="D22" s="21" t="inlineStr">
        <is>
          <t>At least this spend, regardless of usage</t>
        </is>
      </c>
      <c r="E22" s="52" t="inlineStr">
        <is>
          <t>November 2026 – May 2033</t>
        </is>
      </c>
      <c r="F22" s="21" t="inlineStr">
        <is>
          <t>Non-cancelable except breach, or undelivered tranches</t>
        </is>
      </c>
    </row>
    <row r="23" ht="36" customHeight="1">
      <c r="B23" s="20" t="inlineStr">
        <is>
          <t>Google, base commitment</t>
        </is>
      </c>
      <c r="C23" s="47" t="n">
        <v>114500</v>
      </c>
      <c r="D23" s="21" t="inlineStr">
        <is>
          <t>At least about this spend, with a true-up</t>
        </is>
      </c>
      <c r="E23" s="52" t="inlineStr">
        <is>
          <t>April 2026 – July 2033</t>
        </is>
      </c>
      <c r="F23" s="21" t="inlineStr">
        <is>
          <t>Non-cancelable except breach</t>
        </is>
      </c>
    </row>
    <row r="24" ht="36" customHeight="1">
      <c r="B24" s="20" t="inlineStr">
        <is>
          <t>Google, additional TPUs</t>
        </is>
      </c>
      <c r="C24" s="47" t="n">
        <v>125000</v>
      </c>
      <c r="D24" s="21" t="inlineStr">
        <is>
          <t>Low end of the company’s estimate. Not in the commitments table.</t>
        </is>
      </c>
      <c r="E24" s="52" t="inlineStr">
        <is>
          <t>Delivery 2028 – 2031</t>
        </is>
      </c>
      <c r="F24" s="21" t="inlineStr">
        <is>
          <t>Depends on capacity, deployment, and price</t>
        </is>
      </c>
    </row>
    <row r="25" ht="36" customHeight="1">
      <c r="B25" s="20" t="inlineStr">
        <is>
          <t>Google, additional TPUs, high end</t>
        </is>
      </c>
      <c r="C25" s="47" t="n">
        <v>150000</v>
      </c>
      <c r="D25" s="21" t="inlineStr">
        <is>
          <t>High end of the same estimate. Do not add to the low end.</t>
        </is>
      </c>
      <c r="E25" s="52" t="inlineStr">
        <is>
          <t>Delivery 2028 – 2031</t>
        </is>
      </c>
      <c r="F25" s="21" t="inlineStr">
        <is>
          <t>Same agreement</t>
        </is>
      </c>
    </row>
    <row r="26" ht="36" customHeight="1">
      <c r="B26" s="20" t="inlineStr">
        <is>
          <t>Amazon</t>
        </is>
      </c>
      <c r="C26" s="47" t="n">
        <v>110000</v>
      </c>
      <c r="D26" s="21" t="inlineStr">
        <is>
          <t>At least this spend, with a true-up</t>
        </is>
      </c>
      <c r="E26" s="52" t="inlineStr">
        <is>
          <t>May 2026 – April 2036</t>
        </is>
      </c>
      <c r="F26" s="21" t="inlineStr">
        <is>
          <t>Non-cancelable except breach</t>
        </is>
      </c>
    </row>
    <row r="27" ht="36" customHeight="1">
      <c r="B27" s="20" t="inlineStr">
        <is>
          <t>SpaceXAI</t>
        </is>
      </c>
      <c r="C27" s="47" t="n">
        <v>120500</v>
      </c>
      <c r="D27" s="21" t="inlineStr">
        <is>
          <t>Up to this spend. About $3.1 billion a month once full, expected December 2026.</t>
        </is>
      </c>
      <c r="E27" s="52" t="inlineStr">
        <is>
          <t>Into 2029</t>
        </is>
      </c>
      <c r="F27" s="21" t="inlineStr">
        <is>
          <t>Either party may cancel on 90 days after January 2027 or March 2027, depending on the agreement</t>
        </is>
      </c>
    </row>
    <row r="28" ht="36" customHeight="1">
      <c r="B28" s="20" t="inlineStr">
        <is>
          <t>AMD, initial tranche</t>
        </is>
      </c>
      <c r="C28" s="47" t="n">
        <v>20000</v>
      </c>
      <c r="D28" s="21" t="inlineStr">
        <is>
          <t>No fixed commitment. Expected to exceed this if the full initial tranche is taken. Not in the commitments table.</t>
        </is>
      </c>
      <c r="E28" s="52" t="inlineStr">
        <is>
          <t>Calendar 2027</t>
        </is>
      </c>
      <c r="F28" s="21" t="inlineStr">
        <is>
          <t>Non-cancelable by Anthropic except for AMD’s breach</t>
        </is>
      </c>
    </row>
    <row r="29" ht="36" customHeight="1">
      <c r="B29" s="20" t="inlineStr">
        <is>
          <t>Nscale</t>
        </is>
      </c>
      <c r="C29" s="47" t="n">
        <v>44600</v>
      </c>
      <c r="D29" s="21" t="inlineStr">
        <is>
          <t>Up to about this spend. Fees accrue as capacity is accepted.</t>
        </is>
      </c>
      <c r="E29" s="52" t="inlineStr">
        <is>
          <t>Into 2033</t>
        </is>
      </c>
      <c r="F29" s="21" t="inlineStr">
        <is>
          <t>Subject to Nscale financing; otherwise limited termination rights</t>
        </is>
      </c>
    </row>
    <row r="30" ht="36" customHeight="1">
      <c r="B30" s="20" t="inlineStr">
        <is>
          <t>Lambda</t>
        </is>
      </c>
      <c r="C30" s="47" t="n">
        <v>41300</v>
      </c>
      <c r="D30" s="21" t="inlineStr">
        <is>
          <t>About this spend, of which about $34.9 billion is the August 2026 agreement.</t>
        </is>
      </c>
      <c r="E30" s="52" t="inlineStr">
        <is>
          <t>Into 2034</t>
        </is>
      </c>
      <c r="F30" s="21" t="inlineStr">
        <is>
          <t>August agreement can end if the facility lease is not secured</t>
        </is>
      </c>
    </row>
    <row r="31" ht="36" customHeight="1">
      <c r="B31" s="20" t="inlineStr">
        <is>
          <t>Broadcom equipment leases</t>
        </is>
      </c>
      <c r="C31" s="47" t="n">
        <v>161200</v>
      </c>
      <c r="D31" s="21" t="inlineStr">
        <is>
          <t>Aggregate rent excluding interest. Finance leases. Do not add the $125.2 billion 2026 lease, which is a subset described in the risk factors.</t>
        </is>
      </c>
      <c r="E31" s="52" t="inlineStr">
        <is>
          <t>Five years, rent starts when equipment is ready</t>
        </is>
      </c>
      <c r="F31" s="21" t="inlineStr">
        <is>
          <t>Non-cancelable during the lease except default</t>
        </is>
      </c>
    </row>
    <row r="33" ht="78" customHeight="1">
      <c r="A33" s="18" t="inlineStr">
        <is>
          <t>A naive sum of the rows above double-counts the Google range, double-counts the Broadcom subset, and mixes June-snapshot note totals with contracts signed or amended through October 2026. The workbook therefore has no total under this table. Financing is also not spend: the Broadcom note facility is up to $42 billion to fund rent on the 2026 lease, Google has up to $20 billion of remaining note capacity, Amazon has $15 billion, and AMD has agreed to buy up to $5 billion of stock as GPU milestones are met. On the balance sheet at June 30, 2026, property and equipment net was $1.2 billion, servers gross were $618 million, construction in progress was $536 million, and finance-lease liabilities were $443 million. Almost all of the committed compute was still off the balance sheet and not yet in the income statement. Expense hits as the compute becomes available, which the company says is often 12 to 18 months after it is procured.</t>
        </is>
      </c>
      <c r="B33" s="19" t="n"/>
      <c r="C33" s="19" t="n"/>
      <c r="D33" s="19" t="n"/>
      <c r="E33" s="19" t="n"/>
      <c r="F33" s="19" t="n"/>
    </row>
  </sheetData>
  <mergeCells count="7">
    <mergeCell ref="A33:F33"/>
    <mergeCell ref="A10:F10"/>
    <mergeCell ref="B2:F2"/>
    <mergeCell ref="A8:F8"/>
    <mergeCell ref="A4:F4"/>
    <mergeCell ref="B1:F1"/>
    <mergeCell ref="A20:F20"/>
  </mergeCells>
  <pageMargins left="0.5" right="0.5" top="0.7" bottom="0.6" header="0.25" footer="0.25"/>
  <pageSetup orientation="landscape" paperSize="3" fitToHeight="1" fitToWidth="1" horizontalDpi="300" verticalDpi="300"/>
  <headerFooter>
    <oddHeader>&amp;L&amp;"Calibri"&amp;9 Anthropic, PBC  |  Form S-1 filed October 26, 2026</oddHeader>
    <oddFooter>&amp;L&amp;"Calibri"&amp;8 Compute commitments  |  fungible pool  |  not split between training and inference&amp;RPage &amp;P of &amp;N</oddFooter>
    <evenHeader/>
    <evenFooter/>
    <firstHeader/>
    <firstFooter/>
  </headerFooter>
</worksheet>
</file>

<file path=xl/worksheets/sheet9.xml><?xml version="1.0" encoding="utf-8"?>
<worksheet xmlns="http://schemas.openxmlformats.org/spreadsheetml/2006/main">
  <sheetPr>
    <tabColor rgb="0094A3B8"/>
    <outlinePr summaryBelow="1" summaryRight="1"/>
    <pageSetUpPr fitToPage="1"/>
  </sheetPr>
  <dimension ref="B1:J106"/>
  <sheetViews>
    <sheetView showGridLines="0" view="normal" zoomScale="110" workbookViewId="0">
      <pane xSplit="2" ySplit="5" topLeftCell="C6" activePane="bottomRight" state="frozen"/>
      <selection pane="topRight"/>
      <selection pane="bottomLeft"/>
      <selection pane="bottomRight"/>
      <selection pane="bottomLeft"/>
      <selection pane="bottomRight" activeCell="A1" sqref="A1"/>
    </sheetView>
  </sheetViews>
  <sheetFormatPr baseColWidth="8" defaultRowHeight="15"/>
  <cols>
    <col width="3" customWidth="1" min="1" max="1"/>
    <col width="62" customWidth="1" min="2" max="2"/>
    <col width="16" customWidth="1" min="3" max="3"/>
    <col width="16" customWidth="1" min="4" max="4"/>
    <col width="16" customWidth="1" min="5" max="5"/>
    <col width="16" customWidth="1" min="6" max="6"/>
    <col width="16" customWidth="1" min="7" max="7"/>
    <col width="16" customWidth="1" min="8" max="8"/>
    <col width="16" customWidth="1" min="9" max="9"/>
    <col width="55" customWidth="1" min="10" max="10"/>
  </cols>
  <sheetData>
    <row r="1" ht="26" customHeight="1">
      <c r="B1" s="54" t="inlineStr">
        <is>
          <t>Inputs — figures as printed in the S-1</t>
        </is>
      </c>
    </row>
    <row r="2" ht="32" customHeight="1">
      <c r="B2" s="3" t="inlineStr">
        <is>
          <t>Units: millions of U.S. dollars, except percentages, counts, and ratios. Blue cells are taken from the filing. Other sheets reference these cells. H1 columns are six months ended June 30, not annualized.</t>
        </is>
      </c>
    </row>
    <row r="4">
      <c r="B4" s="55" t="inlineStr">
        <is>
          <t>Consolidated statements of operations — by nature</t>
        </is>
      </c>
    </row>
    <row r="5">
      <c r="B5" s="9" t="inlineStr">
        <is>
          <t>Line</t>
        </is>
      </c>
      <c r="C5" s="9" t="inlineStr">
        <is>
          <t>2023</t>
        </is>
      </c>
      <c r="D5" s="9" t="inlineStr">
        <is>
          <t>2024</t>
        </is>
      </c>
      <c r="E5" s="9" t="inlineStr">
        <is>
          <t>2025</t>
        </is>
      </c>
      <c r="F5" s="9" t="inlineStr">
        <is>
          <t>H1 2025</t>
        </is>
      </c>
      <c r="G5" s="9" t="inlineStr">
        <is>
          <t>H1 2026</t>
        </is>
      </c>
      <c r="J5" s="39" t="inlineStr">
        <is>
          <t>Where it appears</t>
        </is>
      </c>
    </row>
    <row r="6" ht="18" customHeight="1">
      <c r="B6" s="20" t="inlineStr">
        <is>
          <t>Revenue</t>
        </is>
      </c>
      <c r="C6" s="47" t="n">
        <v>41</v>
      </c>
      <c r="D6" s="47" t="n">
        <v>386</v>
      </c>
      <c r="E6" s="47" t="n">
        <v>4585</v>
      </c>
      <c r="F6" s="47" t="n">
        <v>1163</v>
      </c>
      <c r="G6" s="47" t="n">
        <v>16286</v>
      </c>
      <c r="J6" s="21" t="inlineStr">
        <is>
          <t>Statements of operations; MD&amp;A</t>
        </is>
      </c>
    </row>
    <row r="7" ht="18" customHeight="1">
      <c r="B7" s="10" t="inlineStr">
        <is>
          <t>Compute and infrastructure</t>
        </is>
      </c>
      <c r="C7" s="47" t="n">
        <v>433</v>
      </c>
      <c r="D7" s="47" t="n">
        <v>2522</v>
      </c>
      <c r="E7" s="47" t="n">
        <v>7326</v>
      </c>
      <c r="F7" s="47" t="n">
        <v>2334</v>
      </c>
      <c r="G7" s="47" t="n">
        <v>8945</v>
      </c>
      <c r="J7" s="21" t="inlineStr">
        <is>
          <t>Same. Single line for all workloads.</t>
        </is>
      </c>
    </row>
    <row r="8" ht="18" customHeight="1">
      <c r="B8" s="10" t="inlineStr">
        <is>
          <t>Personnel</t>
        </is>
      </c>
      <c r="C8" s="47" t="n">
        <v>95</v>
      </c>
      <c r="D8" s="47" t="n">
        <v>454</v>
      </c>
      <c r="E8" s="47" t="n">
        <v>1839</v>
      </c>
      <c r="F8" s="47" t="n">
        <v>538</v>
      </c>
      <c r="G8" s="47" t="n">
        <v>3152</v>
      </c>
      <c r="J8" s="21" t="inlineStr">
        <is>
          <t>Same</t>
        </is>
      </c>
    </row>
    <row r="9" ht="18" customHeight="1">
      <c r="B9" s="10" t="inlineStr">
        <is>
          <t>Bartz settlement</t>
        </is>
      </c>
      <c r="C9" s="47" t="n">
        <v>0</v>
      </c>
      <c r="D9" s="47" t="n">
        <v>0</v>
      </c>
      <c r="E9" s="47" t="n">
        <v>1500</v>
      </c>
      <c r="F9" s="47" t="n">
        <v>0</v>
      </c>
      <c r="G9" s="47" t="n">
        <v>0</v>
      </c>
      <c r="J9" s="21" t="inlineStr">
        <is>
          <t>Same. 2025 charge. Zeros stored as 0, not em dash.</t>
        </is>
      </c>
    </row>
    <row r="10" ht="18" customHeight="1">
      <c r="B10" s="10" t="inlineStr">
        <is>
          <t>Sales, marketing, and partnerships</t>
        </is>
      </c>
      <c r="C10" s="47" t="n">
        <v>2</v>
      </c>
      <c r="D10" s="47" t="n">
        <v>43</v>
      </c>
      <c r="E10" s="47" t="n">
        <v>568</v>
      </c>
      <c r="F10" s="47" t="n">
        <v>120</v>
      </c>
      <c r="G10" s="47" t="n">
        <v>3168</v>
      </c>
      <c r="J10" s="21" t="inlineStr">
        <is>
          <t>Nature presentation. Channel fees and marketing.</t>
        </is>
      </c>
    </row>
    <row r="11" ht="18" customHeight="1">
      <c r="B11" s="10" t="inlineStr">
        <is>
          <t>Other operating and administrative</t>
        </is>
      </c>
      <c r="C11" s="47" t="n">
        <v>62</v>
      </c>
      <c r="D11" s="47" t="n">
        <v>347</v>
      </c>
      <c r="E11" s="47" t="n">
        <v>1412</v>
      </c>
      <c r="F11" s="47" t="n">
        <v>306</v>
      </c>
      <c r="G11" s="47" t="n">
        <v>1714</v>
      </c>
      <c r="J11" s="21" t="inlineStr">
        <is>
          <t>Same</t>
        </is>
      </c>
    </row>
    <row r="12" ht="18" customHeight="1">
      <c r="B12" s="20" t="inlineStr">
        <is>
          <t>Total operating expenses</t>
        </is>
      </c>
      <c r="C12" s="47" t="n">
        <v>592</v>
      </c>
      <c r="D12" s="47" t="n">
        <v>3366</v>
      </c>
      <c r="E12" s="47" t="n">
        <v>12645</v>
      </c>
      <c r="F12" s="47" t="n">
        <v>3298</v>
      </c>
      <c r="G12" s="47" t="n">
        <v>16979</v>
      </c>
      <c r="J12" s="21" t="inlineStr">
        <is>
          <t>Reported total</t>
        </is>
      </c>
    </row>
    <row r="13" ht="18" customHeight="1">
      <c r="B13" s="20" t="inlineStr">
        <is>
          <t>Operating income (loss)</t>
        </is>
      </c>
      <c r="C13" s="47" t="n">
        <v>-551</v>
      </c>
      <c r="D13" s="47" t="n">
        <v>-2980</v>
      </c>
      <c r="E13" s="47" t="n">
        <v>-8060</v>
      </c>
      <c r="F13" s="47" t="n">
        <v>-2135</v>
      </c>
      <c r="G13" s="47" t="n">
        <v>-693</v>
      </c>
      <c r="J13" s="21" t="inlineStr">
        <is>
          <t>Reported</t>
        </is>
      </c>
    </row>
    <row r="14" ht="18" customHeight="1">
      <c r="B14" s="10" t="inlineStr">
        <is>
          <t>Interest income</t>
        </is>
      </c>
      <c r="C14" s="47" t="n">
        <v>69</v>
      </c>
      <c r="D14" s="47" t="n">
        <v>106</v>
      </c>
      <c r="E14" s="47" t="n">
        <v>431</v>
      </c>
      <c r="F14" s="47" t="n">
        <v>115</v>
      </c>
      <c r="G14" s="47" t="n">
        <v>1111</v>
      </c>
      <c r="J14" s="21" t="inlineStr">
        <is>
          <t>Reported</t>
        </is>
      </c>
    </row>
    <row r="15" ht="18" customHeight="1">
      <c r="B15" s="10" t="inlineStr">
        <is>
          <t>Change in fair value of convertible notes, derivatives, and SAFEs</t>
        </is>
      </c>
      <c r="C15" s="47" t="n">
        <v>-1045</v>
      </c>
      <c r="D15" s="47" t="n">
        <v>-5434</v>
      </c>
      <c r="E15" s="47" t="n">
        <v>-34308</v>
      </c>
      <c r="F15" s="47" t="n">
        <v>-10942</v>
      </c>
      <c r="G15" s="47" t="n">
        <v>-72388</v>
      </c>
      <c r="J15" s="21" t="inlineStr">
        <is>
          <t>Expense shown as reported (negative).</t>
        </is>
      </c>
    </row>
    <row r="16" ht="18" customHeight="1">
      <c r="B16" s="10" t="inlineStr">
        <is>
          <t>Other income (expense), net</t>
        </is>
      </c>
      <c r="C16" s="47" t="n">
        <v>-2</v>
      </c>
      <c r="D16" s="47" t="n">
        <v>0</v>
      </c>
      <c r="E16" s="47" t="n">
        <v>-8</v>
      </c>
      <c r="F16" s="47" t="n">
        <v>0</v>
      </c>
      <c r="G16" s="47" t="n">
        <v>-8757</v>
      </c>
      <c r="J16" s="21" t="inlineStr">
        <is>
          <t>2024 and H1 2025 printed as em dash; stored as 0.</t>
        </is>
      </c>
    </row>
    <row r="17" ht="18" customHeight="1">
      <c r="B17" s="10" t="inlineStr">
        <is>
          <t>Loss before income taxes</t>
        </is>
      </c>
      <c r="C17" s="47" t="n">
        <v>-1529</v>
      </c>
      <c r="D17" s="47" t="n">
        <v>-8308</v>
      </c>
      <c r="E17" s="47" t="n">
        <v>-41945</v>
      </c>
      <c r="F17" s="47" t="n">
        <v>-12962</v>
      </c>
      <c r="G17" s="47" t="n">
        <v>-80727</v>
      </c>
      <c r="J17" s="21" t="inlineStr">
        <is>
          <t>Reported</t>
        </is>
      </c>
    </row>
    <row r="18" ht="18" customHeight="1">
      <c r="B18" s="10" t="inlineStr">
        <is>
          <t>Provision for income taxes</t>
        </is>
      </c>
      <c r="C18" s="47" t="n">
        <v>2</v>
      </c>
      <c r="D18" s="47" t="n">
        <v>1</v>
      </c>
      <c r="E18" s="47" t="n">
        <v>20</v>
      </c>
      <c r="F18" s="47" t="n">
        <v>7</v>
      </c>
      <c r="G18" s="47" t="n">
        <v>21</v>
      </c>
      <c r="J18" s="21" t="inlineStr">
        <is>
          <t>Reported</t>
        </is>
      </c>
    </row>
    <row r="19" ht="18" customHeight="1">
      <c r="B19" s="20" t="inlineStr">
        <is>
          <t>Net loss</t>
        </is>
      </c>
      <c r="C19" s="47" t="n">
        <v>-1531</v>
      </c>
      <c r="D19" s="47" t="n">
        <v>-8309</v>
      </c>
      <c r="E19" s="47" t="n">
        <v>-41965</v>
      </c>
      <c r="F19" s="47" t="n">
        <v>-12969</v>
      </c>
      <c r="G19" s="47" t="n">
        <v>-80748</v>
      </c>
      <c r="J19" s="21" t="inlineStr">
        <is>
          <t>Reported</t>
        </is>
      </c>
    </row>
    <row r="20">
      <c r="B20" s="5" t="inlineStr">
        <is>
          <t>Items used in non-GAAP reconciliation</t>
        </is>
      </c>
      <c r="C20" s="44" t="n"/>
      <c r="D20" s="44" t="n"/>
      <c r="E20" s="44" t="n"/>
      <c r="F20" s="44" t="n"/>
      <c r="G20" s="45" t="n"/>
    </row>
    <row r="21" ht="30" customHeight="1">
      <c r="B21" s="10" t="inlineStr">
        <is>
          <t>Stock-based compensation (non-GAAP reconciliation)</t>
        </is>
      </c>
      <c r="C21" s="47" t="n">
        <v>29</v>
      </c>
      <c r="D21" s="47" t="n">
        <v>192</v>
      </c>
      <c r="E21" s="47" t="n">
        <v>1165</v>
      </c>
      <c r="F21" s="47" t="n">
        <v>286</v>
      </c>
      <c r="G21" s="47" t="n">
        <v>2185</v>
      </c>
      <c r="J21" s="21" t="inlineStr">
        <is>
          <t>Non-GAAP reconciliation. Cash-flow statement shows 1,158 for 2025, a $7 million presentation difference.</t>
        </is>
      </c>
    </row>
    <row r="22" ht="30" customHeight="1">
      <c r="B22" s="10" t="inlineStr">
        <is>
          <t>Non-cash charitable contributions</t>
        </is>
      </c>
      <c r="C22" s="47" t="n">
        <v>0</v>
      </c>
      <c r="D22" s="47" t="n">
        <v>0</v>
      </c>
      <c r="E22" s="47" t="n">
        <v>541</v>
      </c>
      <c r="F22" s="47" t="n">
        <v>0</v>
      </c>
      <c r="G22" s="47" t="n">
        <v>126</v>
      </c>
      <c r="J22" s="21" t="inlineStr">
        <is>
          <t>Donation-matching program. Added back in adjusted operating income.</t>
        </is>
      </c>
    </row>
    <row r="23" ht="30" customHeight="1">
      <c r="B23" s="10" t="inlineStr">
        <is>
          <t>Change in fair value of certain mark-to-market instruments</t>
        </is>
      </c>
      <c r="C23" s="47" t="n">
        <v>0</v>
      </c>
      <c r="D23" s="47" t="n">
        <v>0</v>
      </c>
      <c r="E23" s="47" t="n">
        <v>3</v>
      </c>
      <c r="F23" s="47" t="n">
        <v>0</v>
      </c>
      <c r="G23" s="47" t="n">
        <v>8720</v>
      </c>
      <c r="J23" s="21" t="inlineStr">
        <is>
          <t>Added back in adjusted net income only.</t>
        </is>
      </c>
    </row>
    <row r="25" ht="20" customHeight="1">
      <c r="B25" s="5" t="inlineStr">
        <is>
          <t>Operating expenses by function — Note 8 (the training / inference proxy)</t>
        </is>
      </c>
      <c r="C25" s="42" t="n"/>
      <c r="D25" s="42" t="n"/>
      <c r="E25" s="42" t="n"/>
      <c r="F25" s="42" t="n"/>
      <c r="G25" s="42" t="n"/>
      <c r="H25" s="42" t="n"/>
      <c r="I25" s="42" t="n"/>
      <c r="J25" s="43" t="n"/>
    </row>
    <row r="26" ht="32" customHeight="1">
      <c r="B26" s="20" t="inlineStr">
        <is>
          <t>Cost of revenue</t>
        </is>
      </c>
      <c r="C26" s="47" t="n">
        <v>26</v>
      </c>
      <c r="D26" s="47" t="n">
        <v>752</v>
      </c>
      <c r="E26" s="47" t="n">
        <v>2773</v>
      </c>
      <c r="F26" s="47" t="n">
        <v>1019</v>
      </c>
      <c r="G26" s="47" t="n">
        <v>2380</v>
      </c>
      <c r="J26" s="21" t="inlineStr">
        <is>
          <t>Note 8. Substantially all is customer-serving compute, plus some personnel and overhead.</t>
        </is>
      </c>
    </row>
    <row r="27" ht="32" customHeight="1">
      <c r="B27" s="20" t="inlineStr">
        <is>
          <t>Research and development</t>
        </is>
      </c>
      <c r="C27" s="47" t="n">
        <v>422</v>
      </c>
      <c r="D27" s="47" t="n">
        <v>2275</v>
      </c>
      <c r="E27" s="47" t="n">
        <v>6338</v>
      </c>
      <c r="F27" s="47" t="n">
        <v>1850</v>
      </c>
      <c r="G27" s="47" t="n">
        <v>9741</v>
      </c>
      <c r="J27" s="21" t="inlineStr">
        <is>
          <t>Note 8. Primarily compute for model development, research, and internal usage, plus personnel, software, and overhead.</t>
        </is>
      </c>
    </row>
    <row r="28" ht="32" customHeight="1">
      <c r="B28" s="10" t="inlineStr">
        <is>
          <t>Sales and marketing (functional)</t>
        </is>
      </c>
      <c r="C28" s="47" t="n">
        <v>76</v>
      </c>
      <c r="D28" s="47" t="n">
        <v>163</v>
      </c>
      <c r="E28" s="47" t="n">
        <v>911</v>
      </c>
      <c r="F28" s="47" t="n">
        <v>239</v>
      </c>
      <c r="G28" s="47" t="n">
        <v>3808</v>
      </c>
      <c r="J28" s="21" t="inlineStr">
        <is>
          <t>Note 8. Includes channel costs, marketing, personnel, free-tier compute, and overhead.</t>
        </is>
      </c>
    </row>
    <row r="29" ht="32" customHeight="1">
      <c r="B29" s="10" t="inlineStr">
        <is>
          <t>Bartz settlement (functional)</t>
        </is>
      </c>
      <c r="C29" s="47" t="n">
        <v>0</v>
      </c>
      <c r="D29" s="47" t="n">
        <v>0</v>
      </c>
      <c r="E29" s="47" t="n">
        <v>1500</v>
      </c>
      <c r="F29" s="47" t="n">
        <v>0</v>
      </c>
      <c r="G29" s="47" t="n">
        <v>0</v>
      </c>
      <c r="J29" s="21" t="inlineStr">
        <is>
          <t>Note 8</t>
        </is>
      </c>
    </row>
    <row r="30" ht="32" customHeight="1">
      <c r="B30" s="10" t="inlineStr">
        <is>
          <t>General and administrative</t>
        </is>
      </c>
      <c r="C30" s="47" t="n">
        <v>68</v>
      </c>
      <c r="D30" s="47" t="n">
        <v>176</v>
      </c>
      <c r="E30" s="47" t="n">
        <v>1123</v>
      </c>
      <c r="F30" s="47" t="n">
        <v>190</v>
      </c>
      <c r="G30" s="47" t="n">
        <v>1050</v>
      </c>
      <c r="J30" s="21" t="inlineStr">
        <is>
          <t>Note 8. Donation match, personnel, facilities, legal, taxes.</t>
        </is>
      </c>
    </row>
    <row r="31" ht="32" customHeight="1">
      <c r="B31" s="20" t="inlineStr">
        <is>
          <t>Total operating expenses (functional)</t>
        </is>
      </c>
      <c r="C31" s="47" t="n">
        <v>592</v>
      </c>
      <c r="D31" s="47" t="n">
        <v>3366</v>
      </c>
      <c r="E31" s="47" t="n">
        <v>12645</v>
      </c>
      <c r="F31" s="47" t="n">
        <v>3298</v>
      </c>
      <c r="G31" s="47" t="n">
        <v>16979</v>
      </c>
      <c r="J31" s="21" t="inlineStr">
        <is>
          <t>Note 8. Ties to the nature total.</t>
        </is>
      </c>
    </row>
    <row r="33">
      <c r="B33" s="5" t="inlineStr">
        <is>
          <t>Revenue disaggregation — Note 2</t>
        </is>
      </c>
      <c r="C33" s="44" t="n"/>
      <c r="D33" s="44" t="n"/>
      <c r="E33" s="44" t="n"/>
      <c r="F33" s="44" t="n"/>
      <c r="G33" s="44" t="n"/>
      <c r="H33" s="44" t="n"/>
      <c r="I33" s="44" t="n"/>
      <c r="J33" s="45" t="n"/>
    </row>
    <row r="34">
      <c r="B34" s="10" t="inlineStr">
        <is>
          <t>Consumption-based revenue</t>
        </is>
      </c>
      <c r="C34" s="47" t="n">
        <v>39</v>
      </c>
      <c r="D34" s="47" t="n">
        <v>288</v>
      </c>
      <c r="E34" s="47" t="n">
        <v>3796</v>
      </c>
      <c r="F34" s="47" t="n">
        <v>983</v>
      </c>
      <c r="G34" s="47" t="n">
        <v>13064</v>
      </c>
      <c r="J34" s="21" t="inlineStr">
        <is>
          <t>Note 2. Pay-for-intelligence, metered in tokens.</t>
        </is>
      </c>
    </row>
    <row r="35">
      <c r="B35" s="10" t="inlineStr">
        <is>
          <t>Subscription-based revenue</t>
        </is>
      </c>
      <c r="C35" s="47" t="n">
        <v>2</v>
      </c>
      <c r="D35" s="47" t="n">
        <v>98</v>
      </c>
      <c r="E35" s="47" t="n">
        <v>789</v>
      </c>
      <c r="F35" s="47" t="n">
        <v>180</v>
      </c>
      <c r="G35" s="47" t="n">
        <v>3222</v>
      </c>
      <c r="J35" s="21" t="inlineStr">
        <is>
          <t>Note 2. Generally 12 months or less.</t>
        </is>
      </c>
    </row>
    <row r="37">
      <c r="B37" s="10" t="inlineStr">
        <is>
          <t>United States revenue</t>
        </is>
      </c>
      <c r="C37" s="47" t="n">
        <v>34</v>
      </c>
      <c r="D37" s="47" t="n">
        <v>263</v>
      </c>
      <c r="E37" s="47" t="n">
        <v>3362</v>
      </c>
      <c r="F37" s="47" t="n">
        <v>820</v>
      </c>
      <c r="G37" s="47" t="n">
        <v>11763</v>
      </c>
      <c r="J37" s="21" t="inlineStr">
        <is>
          <t>Note 2. Billing address.</t>
        </is>
      </c>
    </row>
    <row r="38">
      <c r="B38" s="10" t="inlineStr">
        <is>
          <t>International revenue</t>
        </is>
      </c>
      <c r="C38" s="47" t="n">
        <v>7</v>
      </c>
      <c r="D38" s="47" t="n">
        <v>123</v>
      </c>
      <c r="E38" s="47" t="n">
        <v>1223</v>
      </c>
      <c r="F38" s="47" t="n">
        <v>343</v>
      </c>
      <c r="G38" s="47" t="n">
        <v>4523</v>
      </c>
      <c r="J38" s="21" t="inlineStr">
        <is>
          <t>Note 2. Billing address.</t>
        </is>
      </c>
    </row>
    <row r="40">
      <c r="B40" s="5" t="inlineStr">
        <is>
          <t>Cash investment in owned compute (not the expense line)</t>
        </is>
      </c>
      <c r="C40" s="44" t="n"/>
      <c r="D40" s="44" t="n"/>
      <c r="E40" s="44" t="n"/>
      <c r="F40" s="44" t="n"/>
      <c r="G40" s="44" t="n"/>
      <c r="H40" s="44" t="n"/>
      <c r="I40" s="44" t="n"/>
      <c r="J40" s="45" t="n"/>
    </row>
    <row r="41" ht="20" customHeight="1">
      <c r="B41" s="10" t="inlineStr">
        <is>
          <t>Purchases of property and equipment (cash outflow)</t>
        </is>
      </c>
      <c r="C41" s="47" t="n">
        <v>2</v>
      </c>
      <c r="D41" s="47" t="n">
        <v>15</v>
      </c>
      <c r="E41" s="47" t="n">
        <v>131</v>
      </c>
      <c r="F41" s="47" t="n">
        <v>18</v>
      </c>
      <c r="G41" s="47" t="n">
        <v>482</v>
      </c>
      <c r="J41" s="21" t="inlineStr">
        <is>
          <t>Cash flow statement. Sign flipped to a positive outflow.</t>
        </is>
      </c>
    </row>
    <row r="42" ht="20" customHeight="1">
      <c r="B42" s="10" t="inlineStr">
        <is>
          <t>Depreciation and amortization (cash-flow add-back)</t>
        </is>
      </c>
      <c r="C42" s="47" t="n">
        <v>3</v>
      </c>
      <c r="D42" s="47" t="n">
        <v>21</v>
      </c>
      <c r="E42" s="47" t="n">
        <v>40</v>
      </c>
      <c r="F42" s="47" t="n">
        <v>14</v>
      </c>
      <c r="G42" s="47" t="n">
        <v>97</v>
      </c>
      <c r="J42" s="21" t="inlineStr">
        <is>
          <t>Cash flow statement. Includes intangibles.</t>
        </is>
      </c>
    </row>
    <row r="43" ht="20" customHeight="1">
      <c r="B43" s="10" t="inlineStr">
        <is>
          <t>Depreciation of property and equipment</t>
        </is>
      </c>
      <c r="C43" s="47" t="n">
        <v>1</v>
      </c>
      <c r="D43" s="47" t="n">
        <v>3</v>
      </c>
      <c r="E43" s="47" t="n">
        <v>10</v>
      </c>
      <c r="F43" s="47" t="n">
        <v>4</v>
      </c>
      <c r="G43" s="47" t="n">
        <v>35</v>
      </c>
      <c r="J43" s="21" t="inlineStr">
        <is>
          <t>Note 6.</t>
        </is>
      </c>
    </row>
    <row r="44">
      <c r="B44" s="5" t="inlineStr">
        <is>
          <t>Channel-partner fee increase vs the comparable prior period (not the fee level)</t>
        </is>
      </c>
      <c r="C44" s="44" t="n"/>
      <c r="D44" s="44" t="n"/>
      <c r="E44" s="44" t="n"/>
      <c r="F44" s="44" t="n"/>
      <c r="G44" s="44" t="n"/>
      <c r="H44" s="44" t="n"/>
      <c r="I44" s="44" t="n"/>
      <c r="J44" s="45" t="n"/>
    </row>
    <row r="45" ht="32" customHeight="1">
      <c r="B45" s="10" t="inlineStr">
        <is>
          <t>Increase in fees paid to channel partners</t>
        </is>
      </c>
      <c r="C45" s="41" t="n"/>
      <c r="D45" s="41" t="n"/>
      <c r="E45" s="47" t="n">
        <v>341</v>
      </c>
      <c r="F45" s="41" t="n"/>
      <c r="G45" s="47" t="n">
        <v>2700</v>
      </c>
      <c r="J45" s="21" t="inlineStr">
        <is>
          <t>MD&amp;A. 2025 vs 2024: +$341 million. H1 2026 vs H1 2025: +$2.7 billion. Level of the fee is not disclosed. Amber cells are not disclosed.</t>
        </is>
      </c>
    </row>
    <row r="70">
      <c r="B70" s="5" t="inlineStr">
        <is>
          <t>Unaudited quarterly statements of operations</t>
        </is>
      </c>
      <c r="C70" s="44" t="n"/>
      <c r="D70" s="44" t="n"/>
      <c r="E70" s="44" t="n"/>
      <c r="F70" s="44" t="n"/>
      <c r="G70" s="44" t="n"/>
      <c r="H70" s="44" t="n"/>
      <c r="I70" s="44" t="n"/>
      <c r="J70" s="45" t="n"/>
    </row>
    <row r="72">
      <c r="B72" s="9" t="inlineStr">
        <is>
          <t>Line</t>
        </is>
      </c>
      <c r="C72" s="9" t="inlineStr">
        <is>
          <t>Q4 2024</t>
        </is>
      </c>
      <c r="D72" s="9" t="inlineStr">
        <is>
          <t>Q1 2025</t>
        </is>
      </c>
      <c r="E72" s="9" t="inlineStr">
        <is>
          <t>Q2 2025</t>
        </is>
      </c>
      <c r="F72" s="9" t="inlineStr">
        <is>
          <t>Q3 2025</t>
        </is>
      </c>
      <c r="G72" s="9" t="inlineStr">
        <is>
          <t>Q4 2025</t>
        </is>
      </c>
      <c r="H72" s="9" t="inlineStr">
        <is>
          <t>Q1 2026</t>
        </is>
      </c>
      <c r="I72" s="9" t="inlineStr">
        <is>
          <t>Q2 2026</t>
        </is>
      </c>
      <c r="J72" s="38" t="inlineStr">
        <is>
          <t>Where it appears</t>
        </is>
      </c>
    </row>
    <row r="73" ht="18" customHeight="1">
      <c r="B73" s="20" t="inlineStr">
        <is>
          <t>Revenue</t>
        </is>
      </c>
      <c r="C73" s="47" t="n">
        <v>197</v>
      </c>
      <c r="D73" s="47" t="n">
        <v>376</v>
      </c>
      <c r="E73" s="47" t="n">
        <v>787</v>
      </c>
      <c r="F73" s="47" t="n">
        <v>1382</v>
      </c>
      <c r="G73" s="47" t="n">
        <v>2040</v>
      </c>
      <c r="H73" s="47" t="n">
        <v>4731</v>
      </c>
      <c r="I73" s="47" t="n">
        <v>11555</v>
      </c>
      <c r="J73" s="21" t="inlineStr">
        <is>
          <t>Q4 2024 from the risk factors ($197 million). Q1 2025–Q2 2026 from the quarterly table in MD&amp;A.</t>
        </is>
      </c>
    </row>
    <row r="74" ht="18" customHeight="1">
      <c r="B74" s="20" t="inlineStr">
        <is>
          <t>Compute and infrastructure</t>
        </is>
      </c>
      <c r="C74" s="41" t="n"/>
      <c r="D74" s="47" t="n">
        <v>944</v>
      </c>
      <c r="E74" s="47" t="n">
        <v>1390</v>
      </c>
      <c r="F74" s="47" t="n">
        <v>2047</v>
      </c>
      <c r="G74" s="47" t="n">
        <v>2945</v>
      </c>
      <c r="H74" s="47" t="n">
        <v>3387</v>
      </c>
      <c r="I74" s="47" t="n">
        <v>5558</v>
      </c>
      <c r="J74" s="21" t="inlineStr">
        <is>
          <t>Quarterly MD&amp;A table. Q4 2024 not disclosed.</t>
        </is>
      </c>
    </row>
    <row r="75" ht="18" customHeight="1">
      <c r="B75" s="10" t="inlineStr">
        <is>
          <t>Personnel</t>
        </is>
      </c>
      <c r="C75" s="41" t="n"/>
      <c r="D75" s="47" t="n">
        <v>218</v>
      </c>
      <c r="E75" s="47" t="n">
        <v>320</v>
      </c>
      <c r="F75" s="47" t="n">
        <v>489</v>
      </c>
      <c r="G75" s="47" t="n">
        <v>812</v>
      </c>
      <c r="H75" s="47" t="n">
        <v>1295</v>
      </c>
      <c r="I75" s="47" t="n">
        <v>1857</v>
      </c>
      <c r="J75" s="21" t="inlineStr">
        <is>
          <t>Quarterly MD&amp;A table.</t>
        </is>
      </c>
    </row>
    <row r="76" ht="18" customHeight="1">
      <c r="B76" s="10" t="inlineStr">
        <is>
          <t>Bartz settlement</t>
        </is>
      </c>
      <c r="C76" s="41" t="n"/>
      <c r="D76" s="47" t="n">
        <v>0</v>
      </c>
      <c r="E76" s="47" t="n">
        <v>0</v>
      </c>
      <c r="F76" s="47" t="n">
        <v>1500</v>
      </c>
      <c r="G76" s="47" t="n">
        <v>0</v>
      </c>
      <c r="H76" s="47" t="n">
        <v>0</v>
      </c>
      <c r="I76" s="47" t="n">
        <v>0</v>
      </c>
      <c r="J76" s="21" t="inlineStr">
        <is>
          <t>Quarterly MD&amp;A table.</t>
        </is>
      </c>
    </row>
    <row r="77" ht="18" customHeight="1">
      <c r="B77" s="10" t="inlineStr">
        <is>
          <t>Sales, marketing, and partnerships</t>
        </is>
      </c>
      <c r="C77" s="41" t="n"/>
      <c r="D77" s="47" t="n">
        <v>24</v>
      </c>
      <c r="E77" s="47" t="n">
        <v>96</v>
      </c>
      <c r="F77" s="47" t="n">
        <v>202</v>
      </c>
      <c r="G77" s="47" t="n">
        <v>246</v>
      </c>
      <c r="H77" s="47" t="n">
        <v>1033</v>
      </c>
      <c r="I77" s="47" t="n">
        <v>2135</v>
      </c>
      <c r="J77" s="21" t="inlineStr">
        <is>
          <t>Quarterly MD&amp;A table.</t>
        </is>
      </c>
    </row>
    <row r="78" ht="18" customHeight="1">
      <c r="B78" s="10" t="inlineStr">
        <is>
          <t>Other operating and administrative</t>
        </is>
      </c>
      <c r="C78" s="41" t="n"/>
      <c r="D78" s="47" t="n">
        <v>125</v>
      </c>
      <c r="E78" s="47" t="n">
        <v>181</v>
      </c>
      <c r="F78" s="47" t="n">
        <v>233</v>
      </c>
      <c r="G78" s="47" t="n">
        <v>873</v>
      </c>
      <c r="H78" s="47" t="n">
        <v>683</v>
      </c>
      <c r="I78" s="47" t="n">
        <v>1031</v>
      </c>
      <c r="J78" s="21" t="inlineStr">
        <is>
          <t>Quarterly MD&amp;A table.</t>
        </is>
      </c>
    </row>
    <row r="79" ht="18" customHeight="1">
      <c r="B79" s="20" t="inlineStr">
        <is>
          <t>Total operating expenses</t>
        </is>
      </c>
      <c r="C79" s="41" t="n"/>
      <c r="D79" s="47" t="n">
        <v>1311</v>
      </c>
      <c r="E79" s="47" t="n">
        <v>1987</v>
      </c>
      <c r="F79" s="47" t="n">
        <v>4471</v>
      </c>
      <c r="G79" s="47" t="n">
        <v>4876</v>
      </c>
      <c r="H79" s="47" t="n">
        <v>6398</v>
      </c>
      <c r="I79" s="47" t="n">
        <v>10581</v>
      </c>
      <c r="J79" s="21" t="inlineStr">
        <is>
          <t>Quarterly MD&amp;A table.</t>
        </is>
      </c>
    </row>
    <row r="80" ht="18" customHeight="1">
      <c r="B80" s="20" t="inlineStr">
        <is>
          <t>Operating income (loss)</t>
        </is>
      </c>
      <c r="C80" s="41" t="n"/>
      <c r="D80" s="47" t="n">
        <v>-935</v>
      </c>
      <c r="E80" s="47" t="n">
        <v>-1200</v>
      </c>
      <c r="F80" s="47" t="n">
        <v>-3089</v>
      </c>
      <c r="G80" s="47" t="n">
        <v>-2836</v>
      </c>
      <c r="H80" s="47" t="n">
        <v>-1667</v>
      </c>
      <c r="I80" s="47" t="n">
        <v>974</v>
      </c>
      <c r="J80" s="21" t="inlineStr">
        <is>
          <t>Quarterly MD&amp;A table.</t>
        </is>
      </c>
    </row>
    <row r="81" ht="18" customHeight="1">
      <c r="B81" s="10" t="inlineStr">
        <is>
          <t>Interest income</t>
        </is>
      </c>
      <c r="C81" s="41" t="n"/>
      <c r="D81" s="47" t="n">
        <v>51</v>
      </c>
      <c r="E81" s="47" t="n">
        <v>64</v>
      </c>
      <c r="F81" s="47" t="n">
        <v>124</v>
      </c>
      <c r="G81" s="47" t="n">
        <v>192</v>
      </c>
      <c r="H81" s="47" t="n">
        <v>349</v>
      </c>
      <c r="I81" s="47" t="n">
        <v>762</v>
      </c>
      <c r="J81" s="21" t="inlineStr">
        <is>
          <t>Quarterly MD&amp;A table.</t>
        </is>
      </c>
    </row>
    <row r="82" ht="18" customHeight="1">
      <c r="B82" s="10" t="inlineStr">
        <is>
          <t>Change in fair value of notes, derivatives, and SAFEs</t>
        </is>
      </c>
      <c r="C82" s="41" t="n"/>
      <c r="D82" s="47" t="n">
        <v>-5701</v>
      </c>
      <c r="E82" s="47" t="n">
        <v>-5241</v>
      </c>
      <c r="F82" s="47" t="n">
        <v>-9165</v>
      </c>
      <c r="G82" s="47" t="n">
        <v>-14201</v>
      </c>
      <c r="H82" s="47" t="n">
        <v>-12791</v>
      </c>
      <c r="I82" s="47" t="n">
        <v>-59597</v>
      </c>
      <c r="J82" s="21" t="inlineStr">
        <is>
          <t>Quarterly MD&amp;A table.</t>
        </is>
      </c>
    </row>
    <row r="83" ht="18" customHeight="1">
      <c r="B83" s="10" t="inlineStr">
        <is>
          <t>Other income (expense), net</t>
        </is>
      </c>
      <c r="C83" s="41" t="n"/>
      <c r="D83" s="47" t="n">
        <v>0</v>
      </c>
      <c r="E83" s="47" t="n">
        <v>0</v>
      </c>
      <c r="F83" s="47" t="n">
        <v>-3</v>
      </c>
      <c r="G83" s="47" t="n">
        <v>-5</v>
      </c>
      <c r="H83" s="47" t="n">
        <v>-309</v>
      </c>
      <c r="I83" s="47" t="n">
        <v>-8448</v>
      </c>
      <c r="J83" s="21" t="inlineStr">
        <is>
          <t>Quarterly MD&amp;A table. Early quarters printed as em dash.</t>
        </is>
      </c>
    </row>
    <row r="84" ht="18" customHeight="1">
      <c r="B84" s="10" t="inlineStr">
        <is>
          <t>Loss before income taxes</t>
        </is>
      </c>
      <c r="C84" s="41" t="n"/>
      <c r="D84" s="47" t="n">
        <v>-6585</v>
      </c>
      <c r="E84" s="47" t="n">
        <v>-6377</v>
      </c>
      <c r="F84" s="47" t="n">
        <v>-12133</v>
      </c>
      <c r="G84" s="47" t="n">
        <v>-16850</v>
      </c>
      <c r="H84" s="47" t="n">
        <v>-14418</v>
      </c>
      <c r="I84" s="47" t="n">
        <v>-66309</v>
      </c>
      <c r="J84" s="21" t="inlineStr">
        <is>
          <t>Quarterly MD&amp;A table.</t>
        </is>
      </c>
    </row>
    <row r="85" ht="18" customHeight="1">
      <c r="B85" s="10" t="inlineStr">
        <is>
          <t>Provision for income taxes</t>
        </is>
      </c>
      <c r="C85" s="41" t="n"/>
      <c r="D85" s="47" t="n">
        <v>7</v>
      </c>
      <c r="E85" s="47" t="n">
        <v>0</v>
      </c>
      <c r="F85" s="47" t="n">
        <v>5</v>
      </c>
      <c r="G85" s="47" t="n">
        <v>8</v>
      </c>
      <c r="H85" s="47" t="n">
        <v>21</v>
      </c>
      <c r="I85" s="47" t="n">
        <v>0</v>
      </c>
      <c r="J85" s="21" t="inlineStr">
        <is>
          <t>Quarterly MD&amp;A table.</t>
        </is>
      </c>
    </row>
    <row r="86" ht="18" customHeight="1">
      <c r="B86" s="20" t="inlineStr">
        <is>
          <t>Net loss</t>
        </is>
      </c>
      <c r="C86" s="41" t="n"/>
      <c r="D86" s="47" t="n">
        <v>-6592</v>
      </c>
      <c r="E86" s="47" t="n">
        <v>-6377</v>
      </c>
      <c r="F86" s="47" t="n">
        <v>-12138</v>
      </c>
      <c r="G86" s="47" t="n">
        <v>-16858</v>
      </c>
      <c r="H86" s="47" t="n">
        <v>-14439</v>
      </c>
      <c r="I86" s="47" t="n">
        <v>-66309</v>
      </c>
      <c r="J86" s="21" t="inlineStr">
        <is>
          <t>Quarterly MD&amp;A table.</t>
        </is>
      </c>
    </row>
    <row r="87" ht="18" customHeight="1">
      <c r="B87" s="10" t="inlineStr">
        <is>
          <t>Stock-based compensation</t>
        </is>
      </c>
      <c r="C87" s="41" t="n"/>
      <c r="D87" s="47" t="n">
        <v>105</v>
      </c>
      <c r="E87" s="47" t="n">
        <v>181</v>
      </c>
      <c r="F87" s="47" t="n">
        <v>305</v>
      </c>
      <c r="G87" s="47" t="n">
        <v>574</v>
      </c>
      <c r="H87" s="47" t="n">
        <v>924</v>
      </c>
      <c r="I87" s="47" t="n">
        <v>1261</v>
      </c>
      <c r="J87" s="21" t="inlineStr">
        <is>
          <t>Footnote to the quarterly table. Q2 2026 printed as $1.3 billion; reconciliation uses 1,261.</t>
        </is>
      </c>
    </row>
    <row r="88" ht="18" customHeight="1">
      <c r="B88" s="10" t="inlineStr">
        <is>
          <t>Non-cash charitable contributions</t>
        </is>
      </c>
      <c r="C88" s="41" t="n"/>
      <c r="D88" s="47" t="n">
        <v>0</v>
      </c>
      <c r="E88" s="47" t="n">
        <v>0</v>
      </c>
      <c r="F88" s="47" t="n">
        <v>0</v>
      </c>
      <c r="G88" s="47" t="n">
        <v>541</v>
      </c>
      <c r="H88" s="47" t="n">
        <v>126</v>
      </c>
      <c r="I88" s="47" t="n">
        <v>0</v>
      </c>
      <c r="J88" s="21" t="inlineStr">
        <is>
          <t>Quarterly adjusted-operating-income reconciliation.</t>
        </is>
      </c>
    </row>
    <row r="89" ht="18" customHeight="1">
      <c r="B89" s="10" t="inlineStr">
        <is>
          <t>Mark-to-market instruments add-back</t>
        </is>
      </c>
      <c r="C89" s="41" t="n"/>
      <c r="D89" s="47" t="n">
        <v>0</v>
      </c>
      <c r="E89" s="47" t="n">
        <v>0</v>
      </c>
      <c r="F89" s="47" t="n">
        <v>0</v>
      </c>
      <c r="G89" s="47" t="n">
        <v>3</v>
      </c>
      <c r="H89" s="47" t="n">
        <v>288</v>
      </c>
      <c r="I89" s="47" t="n">
        <v>8432</v>
      </c>
      <c r="J89" s="21" t="inlineStr">
        <is>
          <t>Quarterly adjusted-net-income reconciliation.</t>
        </is>
      </c>
    </row>
    <row r="92">
      <c r="B92" s="5" t="inlineStr">
        <is>
          <t>Selected balance-sheet amounts</t>
        </is>
      </c>
      <c r="C92" s="44" t="n"/>
      <c r="D92" s="44" t="n"/>
      <c r="E92" s="44" t="n"/>
      <c r="F92" s="44" t="n"/>
      <c r="G92" s="45" t="n"/>
    </row>
    <row r="93">
      <c r="B93" s="9" t="inlineStr">
        <is>
          <t>Item</t>
        </is>
      </c>
      <c r="C93" s="9" t="inlineStr">
        <is>
          <t>Dec 31, 2024</t>
        </is>
      </c>
      <c r="D93" s="9" t="inlineStr">
        <is>
          <t>Dec 31, 2025</t>
        </is>
      </c>
      <c r="E93" s="9" t="inlineStr">
        <is>
          <t>Jun 30, 2026</t>
        </is>
      </c>
    </row>
    <row r="94" ht="18" customHeight="1">
      <c r="B94" s="10" t="inlineStr">
        <is>
          <t>Cash and cash equivalents</t>
        </is>
      </c>
      <c r="C94" s="47" t="n">
        <v>3141</v>
      </c>
      <c r="D94" s="47" t="n">
        <v>17388</v>
      </c>
      <c r="E94" s="47" t="n">
        <v>112389</v>
      </c>
    </row>
    <row r="95" ht="18" customHeight="1">
      <c r="B95" s="10" t="inlineStr">
        <is>
          <t>Short-term investments</t>
        </is>
      </c>
      <c r="C95" s="47" t="n">
        <v>0</v>
      </c>
      <c r="D95" s="47" t="n">
        <v>2889</v>
      </c>
      <c r="E95" s="47" t="n">
        <v>19262</v>
      </c>
    </row>
    <row r="96" ht="18" customHeight="1">
      <c r="B96" s="10" t="inlineStr">
        <is>
          <t>Accounts receivable, net</t>
        </is>
      </c>
      <c r="C96" s="47" t="n">
        <v>95</v>
      </c>
      <c r="D96" s="47" t="n">
        <v>909</v>
      </c>
      <c r="E96" s="47" t="n">
        <v>5833</v>
      </c>
    </row>
    <row r="97" ht="18" customHeight="1">
      <c r="B97" s="10" t="inlineStr">
        <is>
          <t>Prepaid expenses and other current assets</t>
        </is>
      </c>
      <c r="C97" s="47" t="n">
        <v>2076</v>
      </c>
      <c r="D97" s="47" t="n">
        <v>2560</v>
      </c>
      <c r="E97" s="47" t="n">
        <v>496</v>
      </c>
    </row>
    <row r="98" ht="18" customHeight="1">
      <c r="B98" s="10" t="inlineStr">
        <is>
          <t>Property and equipment, net</t>
        </is>
      </c>
      <c r="C98" s="47" t="n">
        <v>19</v>
      </c>
      <c r="D98" s="47" t="n">
        <v>146</v>
      </c>
      <c r="E98" s="47" t="n">
        <v>1187</v>
      </c>
    </row>
    <row r="99" ht="18" customHeight="1">
      <c r="B99" s="10" t="inlineStr">
        <is>
          <t>Servers, networking, and infrastructure equipment (gross)</t>
        </is>
      </c>
      <c r="C99" s="47" t="n">
        <v>0</v>
      </c>
      <c r="D99" s="47" t="n">
        <v>34</v>
      </c>
      <c r="E99" s="47" t="n">
        <v>618</v>
      </c>
    </row>
    <row r="100" ht="18" customHeight="1">
      <c r="B100" s="10" t="inlineStr">
        <is>
          <t>Construction in progress</t>
        </is>
      </c>
      <c r="C100" s="47" t="n">
        <v>4</v>
      </c>
      <c r="D100" s="47" t="n">
        <v>63</v>
      </c>
      <c r="E100" s="47" t="n">
        <v>536</v>
      </c>
    </row>
    <row r="101" ht="18" customHeight="1">
      <c r="B101" s="10" t="inlineStr">
        <is>
          <t>Deferred revenue</t>
        </is>
      </c>
      <c r="C101" s="47" t="n">
        <v>28</v>
      </c>
      <c r="D101" s="47" t="n">
        <v>269</v>
      </c>
      <c r="E101" s="47" t="n">
        <v>1650</v>
      </c>
    </row>
    <row r="102" ht="18" customHeight="1">
      <c r="B102" s="10" t="inlineStr">
        <is>
          <t>Finance lease liabilities</t>
        </is>
      </c>
      <c r="C102" s="41" t="n"/>
      <c r="D102" s="41" t="n"/>
      <c r="E102" s="47" t="n">
        <v>443</v>
      </c>
    </row>
    <row r="103" ht="18" customHeight="1">
      <c r="B103" s="10" t="inlineStr">
        <is>
          <t>Finance-lease property, net</t>
        </is>
      </c>
      <c r="C103" s="41" t="n"/>
      <c r="D103" s="41" t="n"/>
      <c r="E103" s="47" t="n">
        <v>432</v>
      </c>
    </row>
    <row r="104" ht="18" customHeight="1">
      <c r="B104" s="10" t="inlineStr">
        <is>
          <t>Purchase commitments, fixed or minimum, remaining</t>
        </is>
      </c>
      <c r="C104" s="41" t="n"/>
      <c r="D104" s="47" t="n">
        <v>54559</v>
      </c>
      <c r="E104" s="47" t="n">
        <v>265600</v>
      </c>
    </row>
    <row r="105" ht="18" customHeight="1">
      <c r="B105" s="10" t="inlineStr">
        <is>
          <t>Leases not yet commenced (undiscounted)</t>
        </is>
      </c>
      <c r="C105" s="41" t="n"/>
      <c r="D105" s="47" t="n">
        <v>50200</v>
      </c>
      <c r="E105" s="47" t="n">
        <v>321400</v>
      </c>
    </row>
    <row r="106" ht="48" customHeight="1">
      <c r="B106" s="18" t="inlineStr">
        <is>
          <t>Purchase commitments: $54,559 million is the Dec 31, 2025 schedule in Note 13 (term longer than one year). $265,600 million is the June 30, 2026 approximate total of fixed or minimum commitments (Note 13). Leases not yet commenced are Note 7. Finance leases did not exist at the 2024 or 2025 year ends. Do not add purchase commitments to uncommenced leases.</t>
        </is>
      </c>
      <c r="C106" s="19" t="n"/>
      <c r="D106" s="19" t="n"/>
      <c r="E106" s="19" t="n"/>
      <c r="F106" s="19" t="n"/>
      <c r="G106" s="19" t="n"/>
      <c r="H106" s="19" t="n"/>
      <c r="I106" s="19" t="n"/>
      <c r="J106" s="19" t="n"/>
    </row>
  </sheetData>
  <mergeCells count="10">
    <mergeCell ref="B33:J33"/>
    <mergeCell ref="B25:J25"/>
    <mergeCell ref="B20:G20"/>
    <mergeCell ref="B106:J106"/>
    <mergeCell ref="B1:G1"/>
    <mergeCell ref="B40:J40"/>
    <mergeCell ref="B92:G92"/>
    <mergeCell ref="B70:J70"/>
    <mergeCell ref="B44:J44"/>
    <mergeCell ref="B2:J2"/>
  </mergeCells>
  <pageMargins left="0.5" right="0.5" top="0.7" bottom="0.6" header="0.25" footer="0.25"/>
  <pageSetup orientation="landscape" paperSize="3" fitToHeight="0" fitToWidth="1" horizontalDpi="300" verticalDpi="300"/>
  <headerFooter>
    <oddHeader>&amp;L&amp;"Calibri"&amp;9 Anthropic S-1 inputs</oddHeader>
    <oddFooter>&amp;L&amp;"Calibri"&amp;8 Inputs  |  millions of USD  |  blue = from the S-1  |  amber = not disclosed&amp;RPage &amp;P of &amp;N</oddFooter>
    <evenHeader/>
    <evenFooter/>
    <firstHeader/>
    <firstFooter/>
  </headerFooter>
</worksheet>
</file>

<file path=xl/worksheets/sheet10.xml><?xml version="1.0" encoding="utf-8"?>
<worksheet xmlns="http://schemas.openxmlformats.org/spreadsheetml/2006/main">
  <sheetPr>
    <tabColor rgb="00166534"/>
    <outlinePr summaryBelow="1" summaryRight="1"/>
    <pageSetUpPr fitToPage="1"/>
  </sheetPr>
  <dimension ref="B1:I17"/>
  <sheetViews>
    <sheetView showGridLines="0" view="normal" zoomScale="120" workbookViewId="0">
      <selection activeCell="A1" sqref="A1"/>
    </sheetView>
  </sheetViews>
  <sheetFormatPr baseColWidth="8" defaultRowHeight="15"/>
  <cols>
    <col width="3" customWidth="1" min="1" max="1"/>
    <col width="78" customWidth="1" min="2" max="2"/>
    <col width="16" customWidth="1" min="3" max="3"/>
    <col width="16" customWidth="1" min="4" max="4"/>
    <col width="16" customWidth="1" min="5" max="5"/>
    <col width="16" customWidth="1" min="6" max="6"/>
    <col width="16" customWidth="1" min="7" max="7"/>
    <col width="16" customWidth="1" min="8" max="8"/>
    <col width="16" customWidth="1" min="9" max="9"/>
  </cols>
  <sheetData>
    <row r="1" ht="28" customHeight="1">
      <c r="B1" s="1" t="inlineStr">
        <is>
          <t>Tie-out checks</t>
        </is>
      </c>
    </row>
    <row r="2">
      <c r="B2" s="3" t="inlineStr">
        <is>
          <t>Each row should read OK. A CHECK means two S-1 figures that ought to tie do not.</t>
        </is>
      </c>
      <c r="C2" s="4" t="n"/>
      <c r="D2" s="4" t="n"/>
      <c r="E2" s="4" t="n"/>
      <c r="F2" s="4" t="n"/>
      <c r="G2" s="4" t="n"/>
      <c r="H2" s="4" t="n"/>
      <c r="I2" s="4" t="n"/>
    </row>
    <row r="4">
      <c r="B4" s="9" t="inlineStr">
        <is>
          <t>Check</t>
        </is>
      </c>
      <c r="C4" s="9" t="inlineStr">
        <is>
          <t>2023</t>
        </is>
      </c>
      <c r="D4" s="9" t="inlineStr">
        <is>
          <t>2024</t>
        </is>
      </c>
      <c r="E4" s="9" t="inlineStr">
        <is>
          <t>2025</t>
        </is>
      </c>
      <c r="F4" s="9" t="inlineStr">
        <is>
          <t>H1 2025</t>
        </is>
      </c>
      <c r="G4" s="9" t="inlineStr">
        <is>
          <t>H1 2026</t>
        </is>
      </c>
      <c r="H4" s="9" t="inlineStr">
        <is>
          <t>Result</t>
        </is>
      </c>
    </row>
    <row r="5" ht="22" customHeight="1">
      <c r="B5" s="10" t="inlineStr">
        <is>
          <t>Nature lines sum to total operating expenses</t>
        </is>
      </c>
      <c r="C5" s="56">
        <f>IF(ABS((Inputs!C7+Inputs!C8+Inputs!C9+Inputs!C10+Inputs!C11)-Inputs!C12)&lt;0.5,"OK","CHECK")</f>
        <v/>
      </c>
      <c r="D5" s="56">
        <f>IF(ABS((Inputs!D7+Inputs!D8+Inputs!D9+Inputs!D10+Inputs!D11)-Inputs!D12)&lt;0.5,"OK","CHECK")</f>
        <v/>
      </c>
      <c r="E5" s="56">
        <f>IF(ABS((Inputs!E7+Inputs!E8+Inputs!E9+Inputs!E10+Inputs!E11)-Inputs!E12)&lt;0.5,"OK","CHECK")</f>
        <v/>
      </c>
      <c r="F5" s="56">
        <f>IF(ABS((Inputs!F7+Inputs!F8+Inputs!F9+Inputs!F10+Inputs!F11)-Inputs!F12)&lt;0.5,"OK","CHECK")</f>
        <v/>
      </c>
      <c r="G5" s="56">
        <f>IF(ABS((Inputs!G7+Inputs!G8+Inputs!G9+Inputs!G10+Inputs!G11)-Inputs!G12)&lt;0.5,"OK","CHECK")</f>
        <v/>
      </c>
      <c r="H5" s="56">
        <f>IF(COUNTIF(C5:G5,"CHECK")=0,"OK","CHECK")</f>
        <v/>
      </c>
    </row>
    <row r="6" ht="22" customHeight="1">
      <c r="B6" s="10" t="inlineStr">
        <is>
          <t>Functional lines sum to total operating expenses</t>
        </is>
      </c>
      <c r="C6" s="56">
        <f>IF(ABS((Inputs!C26+Inputs!C27+Inputs!C28+Inputs!C29+Inputs!C30)-Inputs!C31)&lt;0.5,"OK","CHECK")</f>
        <v/>
      </c>
      <c r="D6" s="56">
        <f>IF(ABS((Inputs!D26+Inputs!D27+Inputs!D28+Inputs!D29+Inputs!D30)-Inputs!D31)&lt;0.5,"OK","CHECK")</f>
        <v/>
      </c>
      <c r="E6" s="56">
        <f>IF(ABS((Inputs!E26+Inputs!E27+Inputs!E28+Inputs!E29+Inputs!E30)-Inputs!E31)&lt;0.5,"OK","CHECK")</f>
        <v/>
      </c>
      <c r="F6" s="56">
        <f>IF(ABS((Inputs!F26+Inputs!F27+Inputs!F28+Inputs!F29+Inputs!F30)-Inputs!F31)&lt;0.5,"OK","CHECK")</f>
        <v/>
      </c>
      <c r="G6" s="56">
        <f>IF(ABS((Inputs!G26+Inputs!G27+Inputs!G28+Inputs!G29+Inputs!G30)-Inputs!G31)&lt;0.5,"OK","CHECK")</f>
        <v/>
      </c>
      <c r="H6" s="56">
        <f>IF(COUNTIF(C6:G6,"CHECK")=0,"OK","CHECK")</f>
        <v/>
      </c>
    </row>
    <row r="7" ht="22" customHeight="1">
      <c r="B7" s="10" t="inlineStr">
        <is>
          <t>Nature total equals functional total</t>
        </is>
      </c>
      <c r="C7" s="56">
        <f>IF(ABS(Inputs!C12-Inputs!C31)&lt;0.5,"OK","CHECK")</f>
        <v/>
      </c>
      <c r="D7" s="56">
        <f>IF(ABS(Inputs!D12-Inputs!D31)&lt;0.5,"OK","CHECK")</f>
        <v/>
      </c>
      <c r="E7" s="56">
        <f>IF(ABS(Inputs!E12-Inputs!E31)&lt;0.5,"OK","CHECK")</f>
        <v/>
      </c>
      <c r="F7" s="56">
        <f>IF(ABS(Inputs!F12-Inputs!F31)&lt;0.5,"OK","CHECK")</f>
        <v/>
      </c>
      <c r="G7" s="56">
        <f>IF(ABS(Inputs!G12-Inputs!G31)&lt;0.5,"OK","CHECK")</f>
        <v/>
      </c>
      <c r="H7" s="56">
        <f>IF(COUNTIF(C7:G7,"CHECK")=0,"OK","CHECK")</f>
        <v/>
      </c>
    </row>
    <row r="8" ht="22" customHeight="1">
      <c r="B8" s="10" t="inlineStr">
        <is>
          <t>Consumption + subscription = revenue</t>
        </is>
      </c>
      <c r="C8" s="56">
        <f>IF(ABS((Inputs!C34+Inputs!C35)-Inputs!C6)&lt;0.5,"OK","CHECK")</f>
        <v/>
      </c>
      <c r="D8" s="56">
        <f>IF(ABS((Inputs!D34+Inputs!D35)-Inputs!D6)&lt;0.5,"OK","CHECK")</f>
        <v/>
      </c>
      <c r="E8" s="56">
        <f>IF(ABS((Inputs!E34+Inputs!E35)-Inputs!E6)&lt;0.5,"OK","CHECK")</f>
        <v/>
      </c>
      <c r="F8" s="56">
        <f>IF(ABS((Inputs!F34+Inputs!F35)-Inputs!F6)&lt;0.5,"OK","CHECK")</f>
        <v/>
      </c>
      <c r="G8" s="56">
        <f>IF(ABS((Inputs!G34+Inputs!G35)-Inputs!G6)&lt;0.5,"OK","CHECK")</f>
        <v/>
      </c>
      <c r="H8" s="56">
        <f>IF(COUNTIF(C8:G8,"CHECK")=0,"OK","CHECK")</f>
        <v/>
      </c>
    </row>
    <row r="9" ht="22" customHeight="1">
      <c r="B9" s="10" t="inlineStr">
        <is>
          <t>United States + international = revenue</t>
        </is>
      </c>
      <c r="C9" s="56">
        <f>IF(ABS((Inputs!C37+Inputs!C38)-Inputs!C6)&lt;0.5,"OK","CHECK")</f>
        <v/>
      </c>
      <c r="D9" s="56">
        <f>IF(ABS((Inputs!D37+Inputs!D38)-Inputs!D6)&lt;0.5,"OK","CHECK")</f>
        <v/>
      </c>
      <c r="E9" s="56">
        <f>IF(ABS((Inputs!E37+Inputs!E38)-Inputs!E6)&lt;0.5,"OK","CHECK")</f>
        <v/>
      </c>
      <c r="F9" s="56">
        <f>IF(ABS((Inputs!F37+Inputs!F38)-Inputs!F6)&lt;0.5,"OK","CHECK")</f>
        <v/>
      </c>
      <c r="G9" s="56">
        <f>IF(ABS((Inputs!G37+Inputs!G38)-Inputs!G6)&lt;0.5,"OK","CHECK")</f>
        <v/>
      </c>
      <c r="H9" s="56">
        <f>IF(COUNTIF(C9:G9,"CHECK")=0,"OK","CHECK")</f>
        <v/>
      </c>
    </row>
    <row r="10" ht="22" customHeight="1">
      <c r="B10" s="10" t="inlineStr">
        <is>
          <t>Operating income = revenue − operating expenses</t>
        </is>
      </c>
      <c r="C10" s="56">
        <f>IF(ABS((Inputs!C6-Inputs!C12)-Inputs!C13)&lt;0.5,"OK","CHECK")</f>
        <v/>
      </c>
      <c r="D10" s="56">
        <f>IF(ABS((Inputs!D6-Inputs!D12)-Inputs!D13)&lt;0.5,"OK","CHECK")</f>
        <v/>
      </c>
      <c r="E10" s="56">
        <f>IF(ABS((Inputs!E6-Inputs!E12)-Inputs!E13)&lt;0.5,"OK","CHECK")</f>
        <v/>
      </c>
      <c r="F10" s="56">
        <f>IF(ABS((Inputs!F6-Inputs!F12)-Inputs!F13)&lt;0.5,"OK","CHECK")</f>
        <v/>
      </c>
      <c r="G10" s="56">
        <f>IF(ABS((Inputs!G6-Inputs!G12)-Inputs!G13)&lt;0.5,"OK","CHECK")</f>
        <v/>
      </c>
      <c r="H10" s="56">
        <f>IF(COUNTIF(C10:G10,"CHECK")=0,"OK","CHECK")</f>
        <v/>
      </c>
    </row>
    <row r="11">
      <c r="B11" s="9" t="inlineStr">
        <is>
          <t>Quarterly check</t>
        </is>
      </c>
      <c r="C11" s="9" t="inlineStr">
        <is>
          <t>Q1 2025</t>
        </is>
      </c>
      <c r="D11" s="9" t="inlineStr">
        <is>
          <t>Q2 2025</t>
        </is>
      </c>
      <c r="E11" s="9" t="inlineStr">
        <is>
          <t>Q3 2025</t>
        </is>
      </c>
      <c r="F11" s="9" t="inlineStr">
        <is>
          <t>Q4 2025</t>
        </is>
      </c>
      <c r="G11" s="9" t="inlineStr">
        <is>
          <t>Q1 2026</t>
        </is>
      </c>
      <c r="H11" s="9" t="inlineStr">
        <is>
          <t>Q2 2026</t>
        </is>
      </c>
      <c r="I11" s="9" t="inlineStr">
        <is>
          <t>Result</t>
        </is>
      </c>
    </row>
    <row r="12">
      <c r="B12" s="10" t="inlineStr">
        <is>
          <t>Quarterly component lines sum to total operating expenses</t>
        </is>
      </c>
      <c r="C12" s="56">
        <f>IF(ABS((Inputs!D74+Inputs!D75+Inputs!D76+Inputs!D77+Inputs!D78)-Inputs!D79)&lt;0.5,"OK","CHECK")</f>
        <v/>
      </c>
      <c r="D12" s="56">
        <f>IF(ABS((Inputs!E74+Inputs!E75+Inputs!E76+Inputs!E77+Inputs!E78)-Inputs!E79)&lt;0.5,"OK","CHECK")</f>
        <v/>
      </c>
      <c r="E12" s="56">
        <f>IF(ABS((Inputs!F74+Inputs!F75+Inputs!F76+Inputs!F77+Inputs!F78)-Inputs!F79)&lt;0.5,"OK","CHECK")</f>
        <v/>
      </c>
      <c r="F12" s="56">
        <f>IF(ABS((Inputs!G74+Inputs!G75+Inputs!G76+Inputs!G77+Inputs!G78)-Inputs!G79)&lt;0.5,"OK","CHECK")</f>
        <v/>
      </c>
      <c r="G12" s="56">
        <f>IF(ABS((Inputs!H74+Inputs!H75+Inputs!H76+Inputs!H77+Inputs!H78)-Inputs!H79)&lt;0.5,"OK","CHECK")</f>
        <v/>
      </c>
      <c r="H12" s="56">
        <f>IF(ABS((Inputs!I74+Inputs!I75+Inputs!I76+Inputs!I77+Inputs!I78)-Inputs!I79)&lt;0.5,"OK","CHECK")</f>
        <v/>
      </c>
      <c r="I12" s="56">
        <f>IF(COUNTIF(C12:H12,"CHECK")=0,"OK","CHECK")</f>
        <v/>
      </c>
    </row>
    <row r="13" ht="20" customHeight="1">
      <c r="B13" s="10" t="inlineStr">
        <is>
          <t>2025 revenue equals the four 2025 quarters</t>
        </is>
      </c>
      <c r="C13" s="56">
        <f>IF(ABS((Inputs!D73+Inputs!E73+Inputs!F73+Inputs!G73)-Inputs!E6)&lt;0.5,"OK","CHECK")</f>
        <v/>
      </c>
    </row>
    <row r="14" ht="20" customHeight="1">
      <c r="B14" s="10" t="inlineStr">
        <is>
          <t>H1 2026 revenue equals Q1 + Q2 2026</t>
        </is>
      </c>
      <c r="C14" s="56">
        <f>IF(ABS((Inputs!H73+Inputs!I73)-Inputs!G6)&lt;0.5,"OK","CHECK")</f>
        <v/>
      </c>
    </row>
    <row r="15" ht="20" customHeight="1">
      <c r="B15" s="10" t="inlineStr">
        <is>
          <t>2025 compute equals the four 2025 quarters</t>
        </is>
      </c>
      <c r="C15" s="56">
        <f>IF(ABS((Inputs!D74+Inputs!E74+Inputs!F74+Inputs!G74)-Inputs!E7)&lt;0.5,"OK","CHECK")</f>
        <v/>
      </c>
    </row>
    <row r="16" ht="20" customHeight="1">
      <c r="B16" s="10" t="inlineStr">
        <is>
          <t>H1 2026 compute equals Q1 + Q2 2026</t>
        </is>
      </c>
      <c r="C16" s="56">
        <f>IF(ABS((Inputs!H74+Inputs!I74)-Inputs!G7)&lt;0.5,"OK","CHECK")</f>
        <v/>
      </c>
    </row>
    <row r="17" ht="20" customHeight="1">
      <c r="B17" s="10" t="inlineStr">
        <is>
          <t>Dec 31, 2025 commitment schedule sums to 54,559</t>
        </is>
      </c>
      <c r="C17" s="56">
        <f>IF(ABS('Compute Commitments'!C18-54559)&lt;0.5,"OK","CHECK")</f>
        <v/>
      </c>
    </row>
  </sheetData>
  <mergeCells count="2">
    <mergeCell ref="B1:I1"/>
    <mergeCell ref="B2:I2"/>
  </mergeCells>
  <conditionalFormatting sqref="C5:I17">
    <cfRule type="expression" priority="1" dxfId="0">
      <formula>C5="OK"</formula>
    </cfRule>
    <cfRule type="expression" priority="2" dxfId="1">
      <formula>C5="CHECK"</formula>
    </cfRule>
  </conditionalFormatting>
  <pageMargins left="0.5" right="0.5" top="0.7" bottom="0.6" header="0.25" footer="0.25"/>
  <pageSetup orientation="landscape" paperSize="3" fitToHeight="1" fitToWidth="1" horizontalDpi="300" verticalDpi="300"/>
  <headerFooter>
    <oddHeader>&amp;L&amp;"Calibri"&amp;9 Anthropic, PBC  |  Form S-1 filed October 26, 2026</oddHeader>
    <oddFooter>&amp;L&amp;"Calibri"&amp;8 Checks  |  OK means the S-1 figures tie&amp;RPage &amp;P of &amp;N</oddFooter>
    <evenHeader/>
    <evenFooter/>
    <firstHeader/>
    <firstFooter/>
  </headerFooter>
</worksheet>
</file>

<file path=xl/worksheets/sheet11.xml><?xml version="1.0" encoding="utf-8"?>
<worksheet xmlns="http://schemas.openxmlformats.org/spreadsheetml/2006/main">
  <sheetPr>
    <tabColor rgb="001B3A4B"/>
    <outlinePr summaryBelow="1" summaryRight="1"/>
    <pageSetUpPr fitToPage="1"/>
  </sheetPr>
  <dimension ref="B1:C22"/>
  <sheetViews>
    <sheetView showGridLines="0" view="normal" zoomScale="110" workbookViewId="0">
      <selection activeCell="A1" sqref="A1"/>
    </sheetView>
  </sheetViews>
  <sheetFormatPr baseColWidth="8" defaultRowHeight="15"/>
  <cols>
    <col width="3" customWidth="1" min="1" max="1"/>
    <col width="28" customWidth="1" min="2" max="2"/>
    <col width="110" customWidth="1" min="3" max="3"/>
  </cols>
  <sheetData>
    <row r="1" ht="28" customHeight="1">
      <c r="B1" s="1" t="inlineStr">
        <is>
          <t>Sources and methodology</t>
        </is>
      </c>
    </row>
    <row r="3" ht="36" customHeight="1">
      <c r="B3" s="57" t="inlineStr">
        <is>
          <t>Filing</t>
        </is>
      </c>
      <c r="C3" s="7" t="inlineStr">
        <is>
          <t>Anthropic, PBC Form S-1, preliminary prospectus, subject to completion. Filed October 26, 2026. File number 333-299633. Accession 0001628280-26-067168. CIK 0002130357.</t>
        </is>
      </c>
    </row>
    <row r="4" ht="48" customHeight="1">
      <c r="B4" s="57" t="inlineStr">
        <is>
          <t>URL</t>
        </is>
      </c>
      <c r="C4" s="7" t="inlineStr">
        <is>
          <t>https://www.sec.gov/Archives/edgar/data/2130357/000162828026067168/anthropicpbc-sx1.htm</t>
        </is>
      </c>
    </row>
    <row r="5" ht="48" customHeight="1">
      <c r="B5" s="57" t="inlineStr">
        <is>
          <t>Statements</t>
        </is>
      </c>
      <c r="C5" s="7" t="inlineStr">
        <is>
          <t>Audited consolidated financial statements for the years ended December 31, 2023, 2024, and 2025. Unaudited interim statements for the six months ended June 30, 2025 and 2026. Unaudited quarterly statements of operations for Q1 2025 through Q2 2026.</t>
        </is>
      </c>
    </row>
    <row r="6" ht="48" customHeight="1">
      <c r="B6" s="57" t="inlineStr">
        <is>
          <t>Units</t>
        </is>
      </c>
      <c r="C6" s="7" t="inlineStr">
        <is>
          <t>Every dollar figure in this workbook is millions of U.S. dollars unless a cell says otherwise. Counts, percentages, and ratios are labeled.</t>
        </is>
      </c>
    </row>
    <row r="7" ht="48" customHeight="1">
      <c r="B7" s="57" t="inlineStr">
        <is>
          <t>Blue cells</t>
        </is>
      </c>
      <c r="C7" s="7" t="inlineStr">
        <is>
          <t>Typed from the filing. Amber cells are amounts the filing leaves blank or does not contain. Green cells are formulas.</t>
        </is>
      </c>
    </row>
    <row r="8" ht="48" customHeight="1">
      <c r="B8" s="57" t="inlineStr">
        <is>
          <t>Training vs inference</t>
        </is>
      </c>
      <c r="C8" s="7" t="inlineStr">
        <is>
          <t>Not a reported split. The face of the income statement has one compute line. Note 8 regroups operating expenses by function. Cost of revenue is substantially all customer-serving compute, plus some personnel and overhead, so it is an upper bound on paying-customer inference compute. Compute expense minus cost of revenue is a lower bound on training, research, internal inference, and free-tier inference combined.</t>
        </is>
      </c>
    </row>
    <row r="9" ht="48" customHeight="1">
      <c r="B9" s="57" t="inlineStr">
        <is>
          <t>Why the bound is one-sided</t>
        </is>
      </c>
      <c r="C9" s="7" t="inlineStr">
        <is>
          <t>If cost of revenue contains non-compute costs, true customer-serving compute is lower than cost of revenue, and true other compute is higher than compute minus cost of revenue. The labels “upper bound” and “lower bound” refer to that inequality.</t>
        </is>
      </c>
    </row>
    <row r="10" ht="48" customHeight="1">
      <c r="B10" s="57" t="inlineStr">
        <is>
          <t>Internal use and free tier</t>
        </is>
      </c>
      <c r="C10" s="7" t="inlineStr">
        <is>
          <t>Internal usage of Claude is inference consumed by employees. The filing puts that workload’s compute in research and development, not cost of revenue. Compute for free access is in functional sales and marketing. Both are inside the “other compute” bound.</t>
        </is>
      </c>
    </row>
    <row r="11" ht="48" customHeight="1">
      <c r="B11" s="57" t="inlineStr">
        <is>
          <t>Gross margin</t>
        </is>
      </c>
      <c r="C11" s="7" t="inlineStr">
        <is>
          <t>The company stopped presenting gross profit when it switched the income statement from a functional classification to a nature classification during 2025, and it recast prior periods. Implied gross margin in this workbook is revenue minus Note 8 cost of revenue, divided by revenue. It excludes training.</t>
        </is>
      </c>
    </row>
    <row r="12" ht="48" customHeight="1">
      <c r="B12" s="57" t="inlineStr">
        <is>
          <t>Adjusted figures</t>
        </is>
      </c>
      <c r="C12" s="7" t="inlineStr">
        <is>
          <t>Adjusted operating income adds back stock-based compensation, non-cash charitable contributions, and the Bartz settlement. Adjusted net income also adds back the fair-value change on convertible notes, derivatives, and SAFEs, and specified mark-to-market instruments. Definitions are the company’s.</t>
        </is>
      </c>
    </row>
    <row r="13" ht="48" customHeight="1">
      <c r="B13" s="57" t="inlineStr">
        <is>
          <t>Run-Rate Revenue</t>
        </is>
      </c>
      <c r="C13" s="7" t="inlineStr">
        <is>
          <t>Trailing 28-day consumption fees × 13, plus monthly subscription fees on the measurement date × 12. The only dated observation in the prospectus is October 31, 2026, and the amount is blank. This workbook does not fill that blank.</t>
        </is>
      </c>
    </row>
    <row r="14" ht="48" customHeight="1">
      <c r="B14" s="57" t="inlineStr">
        <is>
          <t>ARR and new ARR</t>
        </is>
      </c>
      <c r="C14" s="7" t="inlineStr">
        <is>
          <t>Not reported, and not estimated. Quarterly GAAP revenue × 4 is labeled illustrative. Sequential change in that annualization is four times sequential revenue, and it is labeled as such. Net revenue retention of about 900% is a cohort ratio, not dollar new ARR.</t>
        </is>
      </c>
    </row>
    <row r="15" ht="48" customHeight="1">
      <c r="B15" s="57" t="inlineStr">
        <is>
          <t>Q3 2026</t>
        </is>
      </c>
      <c r="C15" s="7" t="inlineStr">
        <is>
          <t>The quarterly financial statements stop at June 30, 2026. Narrative discusses the nine months ended September 30, 2026, but several dollar amounts in that narrative, including quarterly revenue and Run-Rate Revenue, are blank. The headcount cross-check on the ARR sheet is arithmetic on rounded KPIs. It is not a reported quarter.</t>
        </is>
      </c>
    </row>
    <row r="16" ht="48" customHeight="1">
      <c r="B16" s="57" t="inlineStr">
        <is>
          <t>One segment</t>
        </is>
      </c>
      <c r="C16" s="7" t="inlineStr">
        <is>
          <t>Note 14. The CODM is the leadership team of the CEO and President. The measure of segment profit is consolidated net loss. No asset information is used. Stock-based compensation within personnel is the only expense category the CODM receives beyond the primary statements.</t>
        </is>
      </c>
    </row>
    <row r="17" ht="48" customHeight="1">
      <c r="B17" s="57" t="inlineStr">
        <is>
          <t>Revenue mix</t>
        </is>
      </c>
      <c r="C17" s="7" t="inlineStr">
        <is>
          <t>Note 2. Consumption and subscription, and U.S. versus international by billing address. No quarterly mix. No product, model, or channel revenue. No margin on any of those cuts.</t>
        </is>
      </c>
    </row>
    <row r="18" ht="48" customHeight="1">
      <c r="B18" s="57" t="inlineStr">
        <is>
          <t>Channel fees</t>
        </is>
      </c>
      <c r="C18" s="7" t="inlineStr">
        <is>
          <t>The MD&amp;A discloses the increase in fees paid to channel partners, not the level. The upper-bound margin comment on the mix sheet subtracts only that increase from implied gross profit. It still omits the prior-period base fee.</t>
        </is>
      </c>
    </row>
    <row r="19" ht="48" customHeight="1">
      <c r="B19" s="57" t="inlineStr">
        <is>
          <t>Commitments</t>
        </is>
      </c>
      <c r="C19" s="7" t="inlineStr">
        <is>
          <t>Note 13 and Note 7 are the auditable totals. Named contracts in the MD&amp;A and risk factors are a later, overlapping description, including amendments through October 2026. This workbook does not add them together and does not adopt any press total for aggregate future spend.</t>
        </is>
      </c>
    </row>
    <row r="20" ht="48" customHeight="1">
      <c r="B20" s="57" t="inlineStr">
        <is>
          <t>Press figures not used as facts</t>
        </is>
      </c>
      <c r="C20" s="7" t="inlineStr">
        <is>
          <t>Pre-filing commentary put 2025 training near $4.1 billion and inference near $2.7 billion. The S-1’s 2025 cost of revenue is $2,773 million and compute minus cost of revenue is $4,553 million. Those are nearby and they are not the same construct. They are not entered as S-1 numbers. A press description of roughly $750 billion of future compute, including deals still being negotiated, is also not a figure printed in this S-1. The aggregate line in the prospectus is blank.</t>
        </is>
      </c>
    </row>
    <row r="21" ht="48" customHeight="1">
      <c r="B21" s="57" t="inlineStr">
        <is>
          <t>Stock split</t>
        </is>
      </c>
      <c r="C21" s="7" t="inlineStr">
        <is>
          <t>A 10-for-1 split of Class A and Class N common stock on September 17, 2026 is retroactive in share counts. Dollar amounts in this workbook are unaffected.</t>
        </is>
      </c>
    </row>
    <row r="22" ht="48" customHeight="1">
      <c r="B22" s="57" t="inlineStr">
        <is>
          <t>Em dashes</t>
        </is>
      </c>
      <c r="C22" s="7" t="inlineStr">
        <is>
          <t>Where the filing prints an em dash for a nil amount, this workbook stores zero so that sums work. Where a number is omitted rather than nil, the cell is amber and empty.</t>
        </is>
      </c>
    </row>
  </sheetData>
  <mergeCells count="1">
    <mergeCell ref="B1:C1"/>
  </mergeCells>
  <pageMargins left="0.5" right="0.5" top="0.7" bottom="0.6" header="0.25" footer="0.25"/>
  <pageSetup orientation="landscape" paperSize="3" fitToHeight="1" fitToWidth="1" horizontalDpi="300" verticalDpi="300"/>
  <headerFooter>
    <oddHeader>&amp;L&amp;"Calibri"&amp;9 Anthropic, PBC  |  Form S-1 filed October 26, 2026</oddHeader>
    <oddFooter>&amp;L&amp;"Calibri"&amp;8 Sources  |  Anthropic, PBC Form S-1  |  October 26, 2026&amp;RPage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Equity research workbook</dc:creator>
  <dc:title>Anthropic S-1: training vs inference, run-rate revenue, and revenue mix</dc:title>
  <dc:description>S-1 figures for compute (training versus inference bounds), Run-Rate Revenue, consumption versus subscription revenue, and margins. Accession 0001628280-26-067168.</dc:description>
  <dc:subject>Extracted from Anthropic, PBC Form S-1 filed October 26, 2026</dc:subject>
  <dcterms:created xsi:type="dcterms:W3CDTF">2026-10-26T18:01:44Z</dcterms:created>
  <dcterms:modified xsi:type="dcterms:W3CDTF">2026-10-26T18:01:44Z</dcterms:modified>
</cp:coreProperties>
</file>