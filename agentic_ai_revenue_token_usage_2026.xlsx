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Offerings" sheetId="2" state="visible" r:id="rId2"/>
    <sheet name="Sector Aggregates" sheetId="3" state="visible" r:id="rId3"/>
    <sheet name="Token Usage" sheetId="4" state="visible" r:id="rId4"/>
    <sheet name="Sources" sheetId="5" state="visible" r:id="rId5"/>
  </sheets>
  <definedNames>
    <definedName name="_xlnm._FilterDatabase" localSheetId="1" hidden="1">'Offerings'!$A$1:$P$30</definedName>
    <definedName name="_xlnm._FilterDatabase" localSheetId="3" hidden="1">'Token Usage'!$A$1:$F$18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sz val="10"/>
    </font>
    <font>
      <b val="1"/>
      <color rgb="001F3864"/>
      <sz val="11"/>
    </font>
    <font>
      <b val="1"/>
      <color rgb="00FFFFFF"/>
      <sz val="10"/>
    </font>
    <font>
      <b val="1"/>
      <sz val="10"/>
    </font>
    <font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2" fillId="3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axis-intelligence.com/cursor-ai-statistics/" TargetMode="External" Id="rId1" /><Relationship Type="http://schemas.openxmlformats.org/officeDocument/2006/relationships/hyperlink" Target="https://valueaddvc.com/blog/how-does-cursor-make-money-subscriptions-token-pricing-and-the-business-model-breakdown" TargetMode="External" Id="rId2" /><Relationship Type="http://schemas.openxmlformats.org/officeDocument/2006/relationships/hyperlink" Target="https://blog.tickertrends.io/p/claude-code-vs-openai-codex-arr" TargetMode="External" Id="rId3" /><Relationship Type="http://schemas.openxmlformats.org/officeDocument/2006/relationships/hyperlink" Target="https://enterprisedna.co/resources/news/claude-code-25-billion-arr-anthropic-2026/" TargetMode="External" Id="rId4" /><Relationship Type="http://schemas.openxmlformats.org/officeDocument/2006/relationships/hyperlink" Target="https://fourweekmba.com/ai-claude-code-run-rate-agentic-layer/" TargetMode="External" Id="rId5" /><Relationship Type="http://schemas.openxmlformats.org/officeDocument/2006/relationships/hyperlink" Target="https://forkast.news/anthropics-q2-revenue-overtook-openai-for-the-first-time-and-reached-its-first-positive-operating-income/" TargetMode="External" Id="rId6" /><Relationship Type="http://schemas.openxmlformats.org/officeDocument/2006/relationships/hyperlink" Target="https://axis-intelligence.com/github-copilot-statistics/" TargetMode="External" Id="rId7" /><Relationship Type="http://schemas.openxmlformats.org/officeDocument/2006/relationships/hyperlink" Target="https://valueaddvc.com/blog/how-does-cognition-make-money-devin-pricing-windsurf-enterprise-and-the-492m-arr-breakdown" TargetMode="External" Id="rId8" /><Relationship Type="http://schemas.openxmlformats.org/officeDocument/2006/relationships/hyperlink" Target="https://sacra.com/c/sierra/" TargetMode="External" Id="rId9" /><Relationship Type="http://schemas.openxmlformats.org/officeDocument/2006/relationships/hyperlink" Target="https://valueaddvc.com/blog/how-does-sierra-ai-make-money-outcome-based-pricing-enterprise-agents-and-the-business-model-breakdown" TargetMode="External" Id="rId10" /><Relationship Type="http://schemas.openxmlformats.org/officeDocument/2006/relationships/hyperlink" Target="https://agentmarketcap.ai/blog/2026/04/05/vertical-agent-revenue-ranked-harvey-salesforce-iqvia-domain-specific-agents" TargetMode="External" Id="rId11" /><Relationship Type="http://schemas.openxmlformats.org/officeDocument/2006/relationships/hyperlink" Target="https://agentmarketcap.ai/blog/2026/04/07/vertical-vs-horizontal-ai-agent-valuations-2026" TargetMode="External" Id="rId12" /><Relationship Type="http://schemas.openxmlformats.org/officeDocument/2006/relationships/hyperlink" Target="https://sacra.com/c/abridge/" TargetMode="External" Id="rId13" /><Relationship Type="http://schemas.openxmlformats.org/officeDocument/2006/relationships/hyperlink" Target="https://www.arr.club/openevidence" TargetMode="External" Id="rId14" /><Relationship Type="http://schemas.openxmlformats.org/officeDocument/2006/relationships/hyperlink" Target="https://informationmatters.net/wp-content/uploads/2026/05/agentic-ai-healthcare-2026-v13.pdf" TargetMode="External" Id="rId15" /><Relationship Type="http://schemas.openxmlformats.org/officeDocument/2006/relationships/hyperlink" Target="https://valueaddvc.com/blog/best-ai-tools-for-healthcare-in-2026-options-ranked-by-pricing-and-compliance" TargetMode="External" Id="rId16" /><Relationship Type="http://schemas.openxmlformats.org/officeDocument/2006/relationships/hyperlink" Target="https://www.cxtoday.com/contact-center/agentforce-hits-1-billion-arr-ai-agents-customer-service/" TargetMode="External" Id="rId17" /><Relationship Type="http://schemas.openxmlformats.org/officeDocument/2006/relationships/hyperlink" Target="https://cxm.world/customer-experience/salesforces-ai-agents-now-handle-double-the-volume-of-its-human-ones/" TargetMode="External" Id="rId18" /><Relationship Type="http://schemas.openxmlformats.org/officeDocument/2006/relationships/hyperlink" Target="https://turion.ai/blog/enterprise-agent-platforms-comparison-june-2026/" TargetMode="External" Id="rId19" /><Relationship Type="http://schemas.openxmlformats.org/officeDocument/2006/relationships/hyperlink" Target="https://agentmarketcap.ai/blog/2026/04/13/salesforce-agentforce-vs-microsoft-copilot-enterprise-agent-platform-war-2026" TargetMode="External" Id="rId20" /><Relationship Type="http://schemas.openxmlformats.org/officeDocument/2006/relationships/hyperlink" Target="https://chatforest.com/builders-log/google-3-2-quadrillion-tokens-ai-scale-economics/" TargetMode="External" Id="rId21" /><Relationship Type="http://schemas.openxmlformats.org/officeDocument/2006/relationships/hyperlink" Target="https://www.trendingtopics.eu/open-weight-models-from-china-are-capturing-a-growing-share-of-ai-usage/" TargetMode="External" Id="rId22" /><Relationship Type="http://schemas.openxmlformats.org/officeDocument/2006/relationships/hyperlink" Target="https://beth-kindig.medium.com/ai-token-demand-is-shattering-forecasts-ec8831df6c99" TargetMode="External" Id="rId23" /><Relationship Type="http://schemas.openxmlformats.org/officeDocument/2006/relationships/hyperlink" Target="https://vercel.com/blog/deepseek-overtakes-google-on-volume-cost-per-token-falls" TargetMode="External" Id="rId24" /><Relationship Type="http://schemas.openxmlformats.org/officeDocument/2006/relationships/hyperlink" Target="https://openrouter.ai/blog/insights/deepseek-v4-adoption/" TargetMode="External" Id="rId25" /><Relationship Type="http://schemas.openxmlformats.org/officeDocument/2006/relationships/hyperlink" Target="https://openrouter.ai/state-of-ai" TargetMode="External" Id="rId26" /><Relationship Type="http://schemas.openxmlformats.org/officeDocument/2006/relationships/hyperlink" Target="https://openrouter.ai/apps" TargetMode="External" Id="rId27" /><Relationship Type="http://schemas.openxmlformats.org/officeDocument/2006/relationships/hyperlink" Target="https://ort.fabryka.ai/apps.html" TargetMode="External" Id="rId28" /><Relationship Type="http://schemas.openxmlformats.org/officeDocument/2006/relationships/hyperlink" Target="https://www.bloomberg.com/news/articles/2026-08-13/openai-s-revenue-run-rate-tops-40-billion-ahead-of-ipo" TargetMode="External" Id="rId29" /><Relationship Type="http://schemas.openxmlformats.org/officeDocument/2006/relationships/hyperlink" Target="https://sacra.com/c/openai/" TargetMode="External" Id="rId30" /><Relationship Type="http://schemas.openxmlformats.org/officeDocument/2006/relationships/hyperlink" Target="https://www.cnbc.com/2026/08/14/openai-cfo-friar-tells-investors-that-enterprise-bigger-than-consumer.html" TargetMode="External" Id="rId31" /><Relationship Type="http://schemas.openxmlformats.org/officeDocument/2006/relationships/hyperlink" Target="https://karsane.com/article/openai-commercial-expansion-agents-40-percent-revenue" TargetMode="External" Id="rId32" /><Relationship Type="http://schemas.openxmlformats.org/officeDocument/2006/relationships/hyperlink" Target="https://research.contrary.com/company/rogo" TargetMode="External" Id="rId33" /><Relationship Type="http://schemas.openxmlformats.org/officeDocument/2006/relationships/hyperlink" Target="https://www.beri.net/article/rogo-160m-series-d-investment-banking-ai-agents-2026" TargetMode="External" Id="rId34" /><Relationship Type="http://schemas.openxmlformats.org/officeDocument/2006/relationships/hyperlink" Target="https://techcrunch.com/2026/05/28/gleans-top-line-crosses-300m-as-ai-budget-cutting-becomes-its-major-selling-point/" TargetMode="External" Id="rId35" /><Relationship Type="http://schemas.openxmlformats.org/officeDocument/2006/relationships/hyperlink" Target="https://www.microsoft.com/en-us/investor/events/fy-2026/earnings-fy-2026-q4" TargetMode="External" Id="rId36" /><Relationship Type="http://schemas.openxmlformats.org/officeDocument/2006/relationships/hyperlink" Target="https://licenseq.com/microsoft-fy26-q4-results-explained/" TargetMode="External" Id="rId37" /><Relationship Type="http://schemas.openxmlformats.org/officeDocument/2006/relationships/hyperlink" Target="https://presenc.ai/research/medical-ai-tools-landscape-2026" TargetMode="External" Id="rId38" /><Relationship Type="http://schemas.openxmlformats.org/officeDocument/2006/relationships/hyperlink" Target="https://aifundingtracker.com/top-ai-agent-startups/" TargetMode="External" Id="rId39" /><Relationship Type="http://schemas.openxmlformats.org/officeDocument/2006/relationships/hyperlink" Target="https://www.beri.net/article/spacex-cursor-60b-acquisition-2026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Agentic AI Offerings: Revenue &amp; Token Usage Across Sectors</t>
        </is>
      </c>
    </row>
    <row r="2">
      <c r="A2" s="2" t="inlineStr">
        <is>
          <t>Compiled: August 23, 2026. All figures are annualized USD unless noted.</t>
        </is>
      </c>
    </row>
    <row r="3">
      <c r="A3" t="inlineStr"/>
    </row>
    <row r="4">
      <c r="A4" s="3" t="inlineStr">
        <is>
          <t>SHEETS</t>
        </is>
      </c>
    </row>
    <row r="5">
      <c r="A5" s="2" t="inlineStr">
        <is>
          <t xml:space="preserve">  Offerings - one row per agentic offering: revenue, growth trajectory, valuation, pricing model, scale and token metrics, sources.</t>
        </is>
      </c>
    </row>
    <row r="6">
      <c r="A6" s="2" t="inlineStr">
        <is>
          <t xml:space="preserve">  Sector Aggregates - revenue summed by sector (live SUMIFS over the Offerings sheet; memo rows excluded).</t>
        </is>
      </c>
    </row>
    <row r="7">
      <c r="A7" s="2" t="inlineStr">
        <is>
          <t xml:space="preserve">  Token Usage - platform- and ecosystem-level token throughput metrics relevant to agentic workloads.</t>
        </is>
      </c>
    </row>
    <row r="8">
      <c r="A8" s="2" t="inlineStr">
        <is>
          <t xml:space="preserve">  Sources - numbered source list; the 'Sources' column in other sheets references these numbers.</t>
        </is>
      </c>
    </row>
    <row r="9">
      <c r="A9" t="inlineStr"/>
    </row>
    <row r="10">
      <c r="A10" s="3" t="inlineStr">
        <is>
          <t>DEFINITIONS</t>
        </is>
      </c>
    </row>
    <row r="11">
      <c r="A11" s="2" t="inlineStr">
        <is>
          <t xml:space="preserve">  ARR - annual recurring revenue as disclosed or estimated; in AI, often used interchangeably with annualized run-rate.</t>
        </is>
      </c>
    </row>
    <row r="12">
      <c r="A12" s="2" t="inlineStr">
        <is>
          <t xml:space="preserve">  Annualized run-rate - most recent period revenue x 12 (or x4); volatile for fast-growing companies.</t>
        </is>
      </c>
    </row>
    <row r="13">
      <c r="A13" s="2" t="inlineStr">
        <is>
          <t xml:space="preserve">  Tracked ARR - third-party estimate (e.g., TickerTrends) anchored to a company disclosure and extrapolated from usage signals.</t>
        </is>
      </c>
    </row>
    <row r="14">
      <c r="A14" s="2" t="inlineStr">
        <is>
          <t xml:space="preserve">  ACV - annual contract value (ServiceNow reports its AI portfolio this way).</t>
        </is>
      </c>
    </row>
    <row r="15">
      <c r="A15" t="inlineStr"/>
    </row>
    <row r="16">
      <c r="A16" s="3" t="inlineStr">
        <is>
          <t>KEY CAVEATS</t>
        </is>
      </c>
    </row>
    <row r="17">
      <c r="A17" s="2" t="inlineStr">
        <is>
          <t xml:space="preserve">  1. Double counting: model-provider totals (OpenAI, Anthropic, Google) overlap with application rows (Codex, Claude Code) and with</t>
        </is>
      </c>
    </row>
    <row r="18">
      <c r="A18" s="2" t="inlineStr">
        <is>
          <t xml:space="preserve">     startups that resell frontier models (Cursor, Replit, Lovable pay API costs to providers). Memo rows are excluded from aggregates.</t>
        </is>
      </c>
    </row>
    <row r="19">
      <c r="A19" s="2" t="inlineStr">
        <is>
          <t xml:space="preserve">  2. Estimate quality varies: figures range from company-disclosed (Agentforce, Glean) to analyst-tracked (Claude Code, Codex) to</t>
        </is>
      </c>
    </row>
    <row r="20">
      <c r="A20" s="2" t="inlineStr">
        <is>
          <t xml:space="preserve">     analyst-inferred (Rogo). See the Confidence column.</t>
        </is>
      </c>
    </row>
    <row r="21">
      <c r="A21" s="2" t="inlineStr">
        <is>
          <t xml:space="preserve">  3. Microsoft 365 Copilot revenue is not disclosed; 30M+ seats at $30/user/mo list implies up to ~$10.8B annualized, but actual</t>
        </is>
      </c>
    </row>
    <row r="22">
      <c r="A22" s="2" t="inlineStr">
        <is>
          <t xml:space="preserve">     discounted revenue is unknown, so it is excluded from sector aggregates (a large downward bias on the Enterprise platform sector).</t>
        </is>
      </c>
    </row>
    <row r="23">
      <c r="A23" s="2" t="inlineStr">
        <is>
          <t xml:space="preserve">  4. Token metrics are heterogeneous: platform-wide (Google), API-only (OpenAI), router-visible (OpenRouter/Vercel see only traffic</t>
        </is>
      </c>
    </row>
    <row r="24">
      <c r="A24" s="2" t="inlineStr">
        <is>
          <t xml:space="preserve">     routed through them - a small single-digit % of global volume). Do not sum across rows.</t>
        </is>
      </c>
    </row>
    <row r="25">
      <c r="A25" s="2" t="inlineStr">
        <is>
          <t xml:space="preserve">  5. Some figures are stale (Abridge/Ambience May 2025; Manus Aug 2025); dates are given per row.</t>
        </is>
      </c>
    </row>
    <row r="26">
      <c r="A26" s="2" t="inlineStr">
        <is>
          <t xml:space="preserve">  6. Run-rates in this market can double in a quarter; treat point-in-time numbers accordingly.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34" customWidth="1" min="4" max="4"/>
    <col width="26" customWidth="1" min="5" max="5"/>
    <col width="12" customWidth="1" min="6" max="6"/>
    <col width="14" customWidth="1" min="7" max="7"/>
    <col width="42" customWidth="1" min="8" max="8"/>
    <col width="10" customWidth="1" min="9" max="9"/>
    <col width="26" customWidth="1" min="10" max="10"/>
    <col width="30" customWidth="1" min="11" max="11"/>
    <col width="38" customWidth="1" min="12" max="12"/>
    <col width="38" customWidth="1" min="13" max="13"/>
    <col width="22" customWidth="1" min="14" max="14"/>
    <col width="14" customWidth="1" min="15" max="15"/>
    <col width="12" customWidth="1" min="16" max="16"/>
  </cols>
  <sheetData>
    <row r="1">
      <c r="A1" s="4" t="inlineStr">
        <is>
          <t>Sector</t>
        </is>
      </c>
      <c r="B1" s="4" t="inlineStr">
        <is>
          <t>Company</t>
        </is>
      </c>
      <c r="C1" s="4" t="inlineStr">
        <is>
          <t>Offering</t>
        </is>
      </c>
      <c r="D1" s="4" t="inlineStr">
        <is>
          <t>What it does</t>
        </is>
      </c>
      <c r="E1" s="4" t="inlineStr">
        <is>
          <t>Revenue basis</t>
        </is>
      </c>
      <c r="F1" s="4" t="inlineStr">
        <is>
          <t>Annualized revenue ($M)</t>
        </is>
      </c>
      <c r="G1" s="4" t="inlineStr">
        <is>
          <t>Revenue as-of</t>
        </is>
      </c>
      <c r="H1" s="4" t="inlineStr">
        <is>
          <t>Growth trajectory</t>
        </is>
      </c>
      <c r="I1" s="4" t="inlineStr">
        <is>
          <t>Valuation ($B)</t>
        </is>
      </c>
      <c r="J1" s="4" t="inlineStr">
        <is>
          <t>Valuation note</t>
        </is>
      </c>
      <c r="K1" s="4" t="inlineStr">
        <is>
          <t>Pricing model</t>
        </is>
      </c>
      <c r="L1" s="4" t="inlineStr">
        <is>
          <t>Scale / adoption metrics</t>
        </is>
      </c>
      <c r="M1" s="4" t="inlineStr">
        <is>
          <t>Token / usage metrics</t>
        </is>
      </c>
      <c r="N1" s="4" t="inlineStr">
        <is>
          <t>Confidence</t>
        </is>
      </c>
      <c r="O1" s="4" t="inlineStr">
        <is>
          <t>In sector aggregate?</t>
        </is>
      </c>
      <c r="P1" s="4" t="inlineStr">
        <is>
          <t>Sources (#)</t>
        </is>
      </c>
    </row>
    <row r="2">
      <c r="A2" s="5" t="inlineStr">
        <is>
          <t>Coding &amp; software development</t>
        </is>
      </c>
      <c r="B2" s="5" t="inlineStr">
        <is>
          <t>Anthropic</t>
        </is>
      </c>
      <c r="C2" s="5" t="inlineStr">
        <is>
          <t>Claude Code</t>
        </is>
      </c>
      <c r="D2" s="5" t="inlineStr">
        <is>
          <t>Agentic CLI coding agent: plans, edits, tests and iterates across a codebase</t>
        </is>
      </c>
      <c r="E2" s="5" t="inlineStr">
        <is>
          <t>Tracked ARR (3rd-party estimate)</t>
        </is>
      </c>
      <c r="F2" s="6" t="n">
        <v>15120</v>
      </c>
      <c r="G2" s="5" t="inlineStr">
        <is>
          <t>Aug 10, 2026</t>
        </is>
      </c>
      <c r="H2" s="5" t="inlineStr">
        <is>
          <t>$1B Nov 2025 -&gt; $2.5B Feb 2026 (company-disclosed, Series G) -&gt; ~$8B May 2026 (Sacra) -&gt; $15.1B Aug 2026 (TickerTrends)</t>
        </is>
      </c>
      <c r="I2" s="6" t="n">
        <v>380</v>
      </c>
      <c r="J2" s="5" t="inlineStr">
        <is>
          <t>Anthropic post-money, Feb 2026 Series G ($30B raise)</t>
        </is>
      </c>
      <c r="K2" s="5" t="inlineStr">
        <is>
          <t>Subscription (Pro/Max) + API usage</t>
        </is>
      </c>
      <c r="L2" s="5" t="inlineStr">
        <is>
          <t>~21.9% of Anthropic tracked ARR; avg developer ~20 hrs/week in tool; ~4% of global GitHub commits (SemiAnalysis)</t>
        </is>
      </c>
      <c r="M2" s="5" t="inlineStr">
        <is>
          <t>6.5-9.6T tokens/month routed via OpenRouter alone (app rankings snapshots)</t>
        </is>
      </c>
      <c r="N2" s="5" t="inlineStr">
        <is>
          <t>Tracked estimate (disclosed $2.5B Feb 2026)</t>
        </is>
      </c>
      <c r="O2" s="5" t="inlineStr">
        <is>
          <t>Yes</t>
        </is>
      </c>
      <c r="P2" s="5" t="inlineStr">
        <is>
          <t>3, 4, 5, 27, 28</t>
        </is>
      </c>
    </row>
    <row r="3">
      <c r="A3" s="5" t="inlineStr">
        <is>
          <t>Coding &amp; software development</t>
        </is>
      </c>
      <c r="B3" s="5" t="inlineStr">
        <is>
          <t>OpenAI</t>
        </is>
      </c>
      <c r="C3" s="5" t="inlineStr">
        <is>
          <t>Codex</t>
        </is>
      </c>
      <c r="D3" s="5" t="inlineStr">
        <is>
          <t>Agentic coding agent (CLI/IDE/cloud) for autonomous software tasks</t>
        </is>
      </c>
      <c r="E3" s="5" t="inlineStr">
        <is>
          <t>Tracked ARR (3rd-party estimate)</t>
        </is>
      </c>
      <c r="F3" s="6" t="n">
        <v>8830</v>
      </c>
      <c r="G3" s="5" t="inlineStr">
        <is>
          <t>Aug 10, 2026</t>
        </is>
      </c>
      <c r="H3" s="5" t="inlineStr">
        <is>
          <t>Near zero start of 2026 -&gt; $5.9B Jul 6, 2026 -&gt; $8.8B Aug 10, 2026; ~44% of OpenAI enterprise ARR (central case)</t>
        </is>
      </c>
      <c r="I3" s="6" t="n"/>
      <c r="J3" s="5" t="inlineStr">
        <is>
          <t>Part of OpenAI (IPO planned)</t>
        </is>
      </c>
      <c r="K3" s="5" t="inlineStr">
        <is>
          <t>Bundled with ChatGPT plans + API usage</t>
        </is>
      </c>
      <c r="L3" s="5" t="inlineStr">
        <is>
          <t>5M+ weekly active users (Feb 2026); 20M WAU across OpenAI coding/work products (Aug 2026)</t>
        </is>
      </c>
      <c r="M3" s="5" t="inlineStr">
        <is>
          <t>~688B tokens/month via OpenRouter (87% on OpenAI models)</t>
        </is>
      </c>
      <c r="N3" s="5" t="inlineStr">
        <is>
          <t>Tracked estimate</t>
        </is>
      </c>
      <c r="O3" s="5" t="inlineStr">
        <is>
          <t>Yes</t>
        </is>
      </c>
      <c r="P3" s="5" t="inlineStr">
        <is>
          <t>3, 30, 32, 28</t>
        </is>
      </c>
    </row>
    <row r="4">
      <c r="A4" s="5" t="inlineStr">
        <is>
          <t>Coding &amp; software development</t>
        </is>
      </c>
      <c r="B4" s="5" t="inlineStr">
        <is>
          <t>Anysphere (SpaceX acq. pending)</t>
        </is>
      </c>
      <c r="C4" s="5" t="inlineStr">
        <is>
          <t>Cursor</t>
        </is>
      </c>
      <c r="D4" s="5" t="inlineStr">
        <is>
          <t>AI-native code editor with agentic coding workflows</t>
        </is>
      </c>
      <c r="E4" s="5" t="inlineStr">
        <is>
          <t>ARR</t>
        </is>
      </c>
      <c r="F4" s="6" t="n">
        <v>4000</v>
      </c>
      <c r="G4" s="5" t="inlineStr">
        <is>
          <t>May-Jun 2026</t>
        </is>
      </c>
      <c r="H4" s="5" t="inlineStr">
        <is>
          <t>$100M Jan 2025 -&gt; $500M Jun 2025 -&gt; $1B Nov 2025 -&gt; $2B Feb 2026 (Bloomberg) -&gt; $4B May/Jun 2026 (Sacra)</t>
        </is>
      </c>
      <c r="I4" s="6" t="n">
        <v>60</v>
      </c>
      <c r="J4" s="5" t="inlineStr">
        <is>
          <t>SpaceX all-stock acquisition agreed Jun 16, 2026 (close Q3 2026); last private mark $29.3B Series D Nov 2025</t>
        </is>
      </c>
      <c r="K4" s="5" t="inlineStr">
        <is>
          <t>$20-$200/mo subscriptions + enterprise seats; ~20% margin on model API costs; ~65% enterprise (~$2.6B)</t>
        </is>
      </c>
      <c r="L4" s="5" t="inlineStr">
        <is>
          <t>1M+ paying customers; used in 64% of Fortune 500</t>
        </is>
      </c>
      <c r="M4" s="5" t="n"/>
      <c r="N4" s="5" t="inlineStr">
        <is>
          <t>Company-disclosed to $2B; analyst (Sacra) at $4B</t>
        </is>
      </c>
      <c r="O4" s="5" t="inlineStr">
        <is>
          <t>Yes</t>
        </is>
      </c>
      <c r="P4" s="5" t="inlineStr">
        <is>
          <t>1, 2, 40</t>
        </is>
      </c>
    </row>
    <row r="5">
      <c r="A5" s="5" t="inlineStr">
        <is>
          <t>Coding &amp; software development</t>
        </is>
      </c>
      <c r="B5" s="5" t="inlineStr">
        <is>
          <t>Microsoft (GitHub)</t>
        </is>
      </c>
      <c r="C5" s="5" t="inlineStr">
        <is>
          <t>GitHub Copilot</t>
        </is>
      </c>
      <c r="D5" s="5" t="inlineStr">
        <is>
          <t>AI pair programmer evolving into agentic coding (agent mode, usage-based billing)</t>
        </is>
      </c>
      <c r="E5" s="5" t="inlineStr">
        <is>
          <t>ARR (analyst estimate)</t>
        </is>
      </c>
      <c r="F5" s="6" t="n">
        <v>1000</v>
      </c>
      <c r="G5" s="5" t="inlineStr">
        <is>
          <t>Q2 FY26 (Jan 2026)</t>
        </is>
      </c>
      <c r="H5" s="5" t="inlineStr">
        <is>
          <t>Estimate range $900M-$1.1B (Axis); FT floor 'at least $550M'; Copilot revenue +60% QoQ in Q4 FY26 after usage-based billing launch</t>
        </is>
      </c>
      <c r="I5" s="6" t="n"/>
      <c r="J5" s="5" t="inlineStr">
        <is>
          <t>Microsoft subsidiary (not separately valued)</t>
        </is>
      </c>
      <c r="K5" s="5" t="inlineStr">
        <is>
          <t>$10-$39/user/mo tiers + usage-based billing (introduced Q4 FY26)</t>
        </is>
      </c>
      <c r="L5" s="5" t="inlineStr">
        <is>
          <t>4.7M paid subscribers (Jan 2026, +75% YoY); 50M users (Jul 2026); 90% of Fortune 100</t>
        </is>
      </c>
      <c r="M5" s="5" t="n"/>
      <c r="N5" s="5" t="inlineStr">
        <is>
          <t>Analyst estimate (Microsoft does not disclose)</t>
        </is>
      </c>
      <c r="O5" s="5" t="inlineStr">
        <is>
          <t>Yes</t>
        </is>
      </c>
      <c r="P5" s="5" t="inlineStr">
        <is>
          <t>7, 36, 37</t>
        </is>
      </c>
    </row>
    <row r="6">
      <c r="A6" s="5" t="inlineStr">
        <is>
          <t>Coding &amp; software development</t>
        </is>
      </c>
      <c r="B6" s="5" t="inlineStr">
        <is>
          <t>Replit</t>
        </is>
      </c>
      <c r="C6" s="5" t="inlineStr">
        <is>
          <t>Replit Agent</t>
        </is>
      </c>
      <c r="D6" s="5" t="inlineStr">
        <is>
          <t>Cloud IDE with autonomous app-building agent</t>
        </is>
      </c>
      <c r="E6" s="5" t="inlineStr">
        <is>
          <t>ARR (analyst estimate)</t>
        </is>
      </c>
      <c r="F6" s="6" t="n">
        <v>525</v>
      </c>
      <c r="G6" s="5" t="inlineStr">
        <is>
          <t>Mid-2026</t>
        </is>
      </c>
      <c r="H6" s="5" t="inlineStr">
        <is>
          <t>Targeting $1B ARR by end of 2026</t>
        </is>
      </c>
      <c r="I6" s="6" t="n">
        <v>9</v>
      </c>
      <c r="J6" s="5" t="inlineStr">
        <is>
          <t>2026 private round</t>
        </is>
      </c>
      <c r="K6" s="5" t="inlineStr">
        <is>
          <t>Effort-based agent pricing (usage) + subscriptions</t>
        </is>
      </c>
      <c r="L6" s="5" t="n"/>
      <c r="M6" s="5" t="n"/>
      <c r="N6" s="5" t="inlineStr">
        <is>
          <t>Analyst estimate</t>
        </is>
      </c>
      <c r="O6" s="5" t="inlineStr">
        <is>
          <t>Yes</t>
        </is>
      </c>
      <c r="P6" s="5" t="inlineStr">
        <is>
          <t>8</t>
        </is>
      </c>
    </row>
    <row r="7">
      <c r="A7" s="5" t="inlineStr">
        <is>
          <t>Coding &amp; software development</t>
        </is>
      </c>
      <c r="B7" s="5" t="inlineStr">
        <is>
          <t>Cognition</t>
        </is>
      </c>
      <c r="C7" s="5" t="inlineStr">
        <is>
          <t>Devin + Windsurf</t>
        </is>
      </c>
      <c r="D7" s="5" t="inlineStr">
        <is>
          <t>Autonomous software engineer (Devin) + agentic IDE (Windsurf, acquired 2025)</t>
        </is>
      </c>
      <c r="E7" s="5" t="inlineStr">
        <is>
          <t>Annualized revenue (Sacra estimate)</t>
        </is>
      </c>
      <c r="F7" s="6" t="n">
        <v>492</v>
      </c>
      <c r="G7" s="5" t="inlineStr">
        <is>
          <t>May 2026</t>
        </is>
      </c>
      <c r="H7" s="5" t="inlineStr">
        <is>
          <t>$37M (2025) -&gt; $492M May 2026 (~13x); targeting $1B by year-end</t>
        </is>
      </c>
      <c r="I7" s="6" t="n">
        <v>10.2</v>
      </c>
      <c r="J7" s="5" t="inlineStr">
        <is>
          <t>2026 private mark</t>
        </is>
      </c>
      <c r="K7" s="5" t="inlineStr">
        <is>
          <t>ACU (agent compute unit) credits from $20 + multi-seat enterprise licenses</t>
        </is>
      </c>
      <c r="L7" s="5" t="n"/>
      <c r="M7" s="5" t="n"/>
      <c r="N7" s="5" t="inlineStr">
        <is>
          <t>Analyst estimate (Sacra)</t>
        </is>
      </c>
      <c r="O7" s="5" t="inlineStr">
        <is>
          <t>Yes</t>
        </is>
      </c>
      <c r="P7" s="5" t="inlineStr">
        <is>
          <t>8, 11</t>
        </is>
      </c>
    </row>
    <row r="8">
      <c r="A8" s="5" t="inlineStr">
        <is>
          <t>Coding &amp; software development</t>
        </is>
      </c>
      <c r="B8" s="5" t="inlineStr">
        <is>
          <t>Lovable</t>
        </is>
      </c>
      <c r="C8" s="5" t="inlineStr">
        <is>
          <t>Lovable</t>
        </is>
      </c>
      <c r="D8" s="5" t="inlineStr">
        <is>
          <t>Vibe-coding / text-to-app agent platform</t>
        </is>
      </c>
      <c r="E8" s="5" t="inlineStr">
        <is>
          <t>ARR (reported)</t>
        </is>
      </c>
      <c r="F8" s="6" t="n">
        <v>400</v>
      </c>
      <c r="G8" s="5" t="inlineStr">
        <is>
          <t>Feb 2026</t>
        </is>
      </c>
      <c r="H8" s="5" t="inlineStr">
        <is>
          <t>$100M ARR within ~12 months of launch -&gt; $400M Feb 2026</t>
        </is>
      </c>
      <c r="I8" s="6" t="n"/>
      <c r="J8" s="5" t="n"/>
      <c r="K8" s="5" t="inlineStr">
        <is>
          <t>Subscription + usage</t>
        </is>
      </c>
      <c r="L8" s="5" t="n"/>
      <c r="M8" s="5" t="n"/>
      <c r="N8" s="5" t="inlineStr">
        <is>
          <t>Press-reported</t>
        </is>
      </c>
      <c r="O8" s="5" t="inlineStr">
        <is>
          <t>Yes</t>
        </is>
      </c>
      <c r="P8" s="5" t="inlineStr">
        <is>
          <t>8, 39</t>
        </is>
      </c>
    </row>
    <row r="9">
      <c r="A9" s="5" t="inlineStr">
        <is>
          <t>Customer experience &amp; support</t>
        </is>
      </c>
      <c r="B9" s="5" t="inlineStr">
        <is>
          <t>Sierra</t>
        </is>
      </c>
      <c r="C9" s="5" t="inlineStr">
        <is>
          <t>Sierra Agents</t>
        </is>
      </c>
      <c r="D9" s="5" t="inlineStr">
        <is>
          <t>Enterprise customer-service agents across chat, voice, email (Bret Taylor / Clay Bavor)</t>
        </is>
      </c>
      <c r="E9" s="5" t="inlineStr">
        <is>
          <t>ARR (Sacra estimate)</t>
        </is>
      </c>
      <c r="F9" s="6" t="n">
        <v>200</v>
      </c>
      <c r="G9" s="5" t="inlineStr">
        <is>
          <t>May 2026</t>
        </is>
      </c>
      <c r="H9" s="5" t="inlineStr">
        <is>
          <t>$26M end-2024 -&gt; $100M Nov 2025 (21 months from launch) -&gt; $150M Feb 2026 -&gt; $200M May 2026</t>
        </is>
      </c>
      <c r="I9" s="6" t="n">
        <v>15.8</v>
      </c>
      <c r="J9" s="5" t="inlineStr">
        <is>
          <t>May 2026 Series E ($950M)</t>
        </is>
      </c>
      <c r="K9" s="5" t="inlineStr">
        <is>
          <t>Outcome-based (~$1.50 per resolved interaction) + volume-based for routine flows</t>
        </is>
      </c>
      <c r="L9" s="5" t="inlineStr">
        <is>
          <t>Customers: SoFi, Ramp, Brex, Discord, Rivian, ADT, Cigna, SiriusXM; 50%+ of customers &gt;$1B revenue</t>
        </is>
      </c>
      <c r="M9" s="5" t="n"/>
      <c r="N9" s="5" t="inlineStr">
        <is>
          <t>Analyst estimate (Sacra)</t>
        </is>
      </c>
      <c r="O9" s="5" t="inlineStr">
        <is>
          <t>Yes</t>
        </is>
      </c>
      <c r="P9" s="5" t="inlineStr">
        <is>
          <t>9, 10, 39</t>
        </is>
      </c>
    </row>
    <row r="10">
      <c r="A10" s="5" t="inlineStr">
        <is>
          <t>Customer experience &amp; support</t>
        </is>
      </c>
      <c r="B10" s="5" t="inlineStr">
        <is>
          <t>Decagon</t>
        </is>
      </c>
      <c r="C10" s="5" t="inlineStr">
        <is>
          <t>Decagon AI Agents</t>
        </is>
      </c>
      <c r="D10" s="5" t="inlineStr">
        <is>
          <t>AI customer-support agents for internet-native and consumer businesses</t>
        </is>
      </c>
      <c r="E10" s="5" t="inlineStr">
        <is>
          <t>ARR (reported)</t>
        </is>
      </c>
      <c r="F10" s="6" t="n">
        <v>100</v>
      </c>
      <c r="G10" s="5" t="inlineStr">
        <is>
          <t>2026 (crossed $100M)</t>
        </is>
      </c>
      <c r="H10" s="5" t="inlineStr">
        <is>
          <t>~$6M ARR late 2024 -&gt; $100M+ 2026</t>
        </is>
      </c>
      <c r="I10" s="6" t="n"/>
      <c r="J10" s="5" t="n"/>
      <c r="K10" s="5" t="inlineStr">
        <is>
          <t>Per-conversation pricing</t>
        </is>
      </c>
      <c r="L10" s="5" t="inlineStr">
        <is>
          <t>Customers: Duolingo, Notion, Webflow</t>
        </is>
      </c>
      <c r="M10" s="5" t="n"/>
      <c r="N10" s="5" t="inlineStr">
        <is>
          <t>Press-reported</t>
        </is>
      </c>
      <c r="O10" s="5" t="inlineStr">
        <is>
          <t>Yes</t>
        </is>
      </c>
      <c r="P10" s="5" t="inlineStr">
        <is>
          <t>9, 12, 39</t>
        </is>
      </c>
    </row>
    <row r="11">
      <c r="A11" s="5" t="inlineStr">
        <is>
          <t>Customer experience &amp; support</t>
        </is>
      </c>
      <c r="B11" s="5" t="inlineStr">
        <is>
          <t>Wonderful AI</t>
        </is>
      </c>
      <c r="C11" s="5" t="inlineStr">
        <is>
          <t>Wonderful</t>
        </is>
      </c>
      <c r="D11" s="5" t="inlineStr">
        <is>
          <t>Customer-service agents focused on non-English markets</t>
        </is>
      </c>
      <c r="E11" s="5" t="inlineStr">
        <is>
          <t>Not disclosed</t>
        </is>
      </c>
      <c r="F11" s="6" t="n"/>
      <c r="G11" s="5" t="n"/>
      <c r="H11" s="5" t="inlineStr">
        <is>
          <t>Revenue 'growing'; $286M raised in 13 months</t>
        </is>
      </c>
      <c r="I11" s="6" t="n">
        <v>2</v>
      </c>
      <c r="J11" s="5" t="inlineStr">
        <is>
          <t>2026 private mark</t>
        </is>
      </c>
      <c r="K11" s="5" t="n"/>
      <c r="L11" s="5" t="n"/>
      <c r="M11" s="5" t="n"/>
      <c r="N11" s="5" t="inlineStr">
        <is>
          <t>Not disclosed</t>
        </is>
      </c>
      <c r="O11" s="5" t="inlineStr">
        <is>
          <t>No (revenue n/d)</t>
        </is>
      </c>
      <c r="P11" s="5" t="inlineStr">
        <is>
          <t>11</t>
        </is>
      </c>
    </row>
    <row r="12">
      <c r="A12" s="5" t="inlineStr">
        <is>
          <t>Legal</t>
        </is>
      </c>
      <c r="B12" s="5" t="inlineStr">
        <is>
          <t>Harvey</t>
        </is>
      </c>
      <c r="C12" s="5" t="inlineStr">
        <is>
          <t>Harvey</t>
        </is>
      </c>
      <c r="D12" s="5" t="inlineStr">
        <is>
          <t>Legal AI agents: research, contract review, document analysis, drafting</t>
        </is>
      </c>
      <c r="E12" s="5" t="inlineStr">
        <is>
          <t>ARR (reported)</t>
        </is>
      </c>
      <c r="F12" s="6" t="n">
        <v>300</v>
      </c>
      <c r="G12" s="5" t="inlineStr">
        <is>
          <t>Mid-2026</t>
        </is>
      </c>
      <c r="H12" s="5" t="inlineStr">
        <is>
          <t>$50M end-2024 -&gt; $190M Jan 2026 (~4x YoY) -&gt; ~$300M mid-2026</t>
        </is>
      </c>
      <c r="I12" s="6" t="n">
        <v>11</v>
      </c>
      <c r="J12" s="5" t="inlineStr">
        <is>
          <t>Mar 2026 raise ($200M, GIC/Sequoia); up from $8B late 2025</t>
        </is>
      </c>
      <c r="K12" s="5" t="inlineStr">
        <is>
          <t>Per-seat + enterprise contracts (7-figure ACVs)</t>
        </is>
      </c>
      <c r="L12" s="5" t="inlineStr">
        <is>
          <t>100K+ lawyers; 1,300+ organizations</t>
        </is>
      </c>
      <c r="M12" s="5" t="n"/>
      <c r="N12" s="5" t="inlineStr">
        <is>
          <t>Press-reported</t>
        </is>
      </c>
      <c r="O12" s="5" t="inlineStr">
        <is>
          <t>Yes</t>
        </is>
      </c>
      <c r="P12" s="5" t="inlineStr">
        <is>
          <t>11, 12, 39</t>
        </is>
      </c>
    </row>
    <row r="13">
      <c r="A13" s="5" t="inlineStr">
        <is>
          <t>Healthcare</t>
        </is>
      </c>
      <c r="B13" s="5" t="inlineStr">
        <is>
          <t>OpenEvidence</t>
        </is>
      </c>
      <c r="C13" s="5" t="inlineStr">
        <is>
          <t>OpenEvidence</t>
        </is>
      </c>
      <c r="D13" s="5" t="inlineStr">
        <is>
          <t>AI clinical decision support / evidence search for clinicians</t>
        </is>
      </c>
      <c r="E13" s="5" t="inlineStr">
        <is>
          <t>ARR (reported)</t>
        </is>
      </c>
      <c r="F13" s="6" t="n">
        <v>300</v>
      </c>
      <c r="G13" s="5" t="inlineStr">
        <is>
          <t>Jul 21, 2026</t>
        </is>
      </c>
      <c r="H13" s="5" t="inlineStr">
        <is>
          <t>$50M 2025 -&gt; $150M ~Dec 2025 -&gt; $300M Jul 2026 (7.1 months to double)</t>
        </is>
      </c>
      <c r="I13" s="6" t="n">
        <v>12</v>
      </c>
      <c r="J13" s="5" t="inlineStr">
        <is>
          <t>Jan 2026 Series D ($250M)</t>
        </is>
      </c>
      <c r="K13" s="5" t="inlineStr">
        <is>
          <t>Free to clinicians; monetization via sponsors/enterprise</t>
        </is>
      </c>
      <c r="L13" s="5" t="inlineStr">
        <is>
          <t>860K clinician users; used by ~40% of US physicians; 16.5M clinical consultations/month (2025)</t>
        </is>
      </c>
      <c r="M13" s="5" t="n"/>
      <c r="N13" s="5" t="inlineStr">
        <is>
          <t>Press-reported</t>
        </is>
      </c>
      <c r="O13" s="5" t="inlineStr">
        <is>
          <t>Yes</t>
        </is>
      </c>
      <c r="P13" s="5" t="inlineStr">
        <is>
          <t>14</t>
        </is>
      </c>
    </row>
    <row r="14">
      <c r="A14" s="5" t="inlineStr">
        <is>
          <t>Healthcare</t>
        </is>
      </c>
      <c r="B14" s="5" t="inlineStr">
        <is>
          <t>Abridge</t>
        </is>
      </c>
      <c r="C14" s="5" t="inlineStr">
        <is>
          <t>Abridge</t>
        </is>
      </c>
      <c r="D14" s="5" t="inlineStr">
        <is>
          <t>Ambient clinical documentation (AI scribe) with deep Epic integration</t>
        </is>
      </c>
      <c r="E14" s="5" t="inlineStr">
        <is>
          <t>ARR (Sacra estimate)</t>
        </is>
      </c>
      <c r="F14" s="6" t="n">
        <v>100</v>
      </c>
      <c r="G14" s="5" t="inlineStr">
        <is>
          <t>May 2025</t>
        </is>
      </c>
      <c r="H14" s="5" t="inlineStr">
        <is>
          <t>$60M end-2024 -&gt; $100M May 2025; contracted ARR $117M Q1 2025</t>
        </is>
      </c>
      <c r="I14" s="6" t="n">
        <v>5.3</v>
      </c>
      <c r="J14" s="5" t="inlineStr">
        <is>
          <t>Jun 2025 Series E ($300M, a16z) + $316M extension Apr 2026</t>
        </is>
      </c>
      <c r="K14" s="5" t="inlineStr">
        <is>
          <t>~$208/mo (~$2,500/clinician/yr enterprise)</t>
        </is>
      </c>
      <c r="L14" s="5" t="inlineStr">
        <is>
          <t>~30% ambient-scribe market share; 250+ health systems (Kaiser, Mayo, Hopkins, Duke)</t>
        </is>
      </c>
      <c r="M14" s="5" t="n"/>
      <c r="N14" s="5" t="inlineStr">
        <is>
          <t>Analyst estimate (Sacra)</t>
        </is>
      </c>
      <c r="O14" s="5" t="inlineStr">
        <is>
          <t>Yes</t>
        </is>
      </c>
      <c r="P14" s="5" t="inlineStr">
        <is>
          <t>13, 15, 16, 38</t>
        </is>
      </c>
    </row>
    <row r="15">
      <c r="A15" s="5" t="inlineStr">
        <is>
          <t>Healthcare</t>
        </is>
      </c>
      <c r="B15" s="5" t="inlineStr">
        <is>
          <t>Hippocratic AI</t>
        </is>
      </c>
      <c r="C15" s="5" t="inlineStr">
        <is>
          <t>Hippocratic Agents</t>
        </is>
      </c>
      <c r="D15" s="5" t="inlineStr">
        <is>
          <t>Patient-facing healthcare agents (pre-op, discharge, chronic-care outreach)</t>
        </is>
      </c>
      <c r="E15" s="5" t="inlineStr">
        <is>
          <t>Annual revenue (reported)</t>
        </is>
      </c>
      <c r="F15" s="6" t="n">
        <v>76</v>
      </c>
      <c r="G15" s="5" t="inlineStr">
        <is>
          <t>2026</t>
        </is>
      </c>
      <c r="H15" s="5" t="inlineStr">
        <is>
          <t>115M+ patient interactions completed</t>
        </is>
      </c>
      <c r="I15" s="6" t="n">
        <v>3.5</v>
      </c>
      <c r="J15" s="5" t="inlineStr">
        <is>
          <t>Late 2025 Series C ($126M)</t>
        </is>
      </c>
      <c r="K15" s="5" t="inlineStr">
        <is>
          <t>Custom enterprise (per-agent-hour model)</t>
        </is>
      </c>
      <c r="L15" s="5" t="inlineStr">
        <is>
          <t>50+ health-system, payor and pharma partners across 6 countries</t>
        </is>
      </c>
      <c r="M15" s="5" t="n"/>
      <c r="N15" s="5" t="inlineStr">
        <is>
          <t>Press-reported</t>
        </is>
      </c>
      <c r="O15" s="5" t="inlineStr">
        <is>
          <t>Yes</t>
        </is>
      </c>
      <c r="P15" s="5" t="inlineStr">
        <is>
          <t>16, 39</t>
        </is>
      </c>
    </row>
    <row r="16">
      <c r="A16" s="5" t="inlineStr">
        <is>
          <t>Healthcare</t>
        </is>
      </c>
      <c r="B16" s="5" t="inlineStr">
        <is>
          <t>Ambience Healthcare</t>
        </is>
      </c>
      <c r="C16" s="5" t="inlineStr">
        <is>
          <t>Ambience</t>
        </is>
      </c>
      <c r="D16" s="5" t="inlineStr">
        <is>
          <t>Ambient documentation + coding for multi-specialty health systems</t>
        </is>
      </c>
      <c r="E16" s="5" t="inlineStr">
        <is>
          <t>ARR (analyst estimate)</t>
        </is>
      </c>
      <c r="F16" s="6" t="n">
        <v>30</v>
      </c>
      <c r="G16" s="5" t="inlineStr">
        <is>
          <t>May 2025</t>
        </is>
      </c>
      <c r="H16" s="5" t="inlineStr">
        <is>
          <t>Unicorn ($1.25B) in 2025</t>
        </is>
      </c>
      <c r="I16" s="6" t="n">
        <v>1.25</v>
      </c>
      <c r="J16" s="5" t="inlineStr">
        <is>
          <t>2025 round</t>
        </is>
      </c>
      <c r="K16" s="5" t="inlineStr">
        <is>
          <t>Custom, est. $250+/clinician/mo</t>
        </is>
      </c>
      <c r="L16" s="5" t="n"/>
      <c r="M16" s="5" t="n"/>
      <c r="N16" s="5" t="inlineStr">
        <is>
          <t>Analyst estimate</t>
        </is>
      </c>
      <c r="O16" s="5" t="inlineStr">
        <is>
          <t>Yes</t>
        </is>
      </c>
      <c r="P16" s="5" t="inlineStr">
        <is>
          <t>15, 16, 38</t>
        </is>
      </c>
    </row>
    <row r="17">
      <c r="A17" s="5" t="inlineStr">
        <is>
          <t>Financial services</t>
        </is>
      </c>
      <c r="B17" s="5" t="inlineStr">
        <is>
          <t>Rogo</t>
        </is>
      </c>
      <c r="C17" s="5" t="inlineStr">
        <is>
          <t>Rogo (Felix)</t>
        </is>
      </c>
      <c r="D17" s="5" t="inlineStr">
        <is>
          <t>Agentic AI analyst for investment banking: models, comps, memos, pitchbooks, CIMs</t>
        </is>
      </c>
      <c r="E17" s="5" t="inlineStr">
        <is>
          <t>ARR (analyst-inferred range $50-100M; midpoint shown)</t>
        </is>
      </c>
      <c r="F17" s="6" t="n">
        <v>75</v>
      </c>
      <c r="G17" s="5" t="inlineStr">
        <is>
          <t>Mid-2026</t>
        </is>
      </c>
      <c r="H17" s="5" t="inlineStr">
        <is>
          <t>$2M 2024 -&gt; $15M+ 2025 (disclosed); &gt;50% QoQ ARR growth entering mid-2026</t>
        </is>
      </c>
      <c r="I17" s="6" t="n">
        <v>2</v>
      </c>
      <c r="J17" s="5" t="inlineStr">
        <is>
          <t>Apr 2026 Series D ($160M, Kleiner Perkins)</t>
        </is>
      </c>
      <c r="K17" s="5" t="inlineStr">
        <is>
          <t>Enterprise seats (single-tenant deployments)</t>
        </is>
      </c>
      <c r="L17" s="5" t="inlineStr">
        <is>
          <t>35K+ professionals; 300+ institutions (Lazard, Jefferies, Moelis, Rothschild, Nomura, Baird); 50K+ queries/day</t>
        </is>
      </c>
      <c r="M17" s="5" t="n"/>
      <c r="N17" s="5" t="inlineStr">
        <is>
          <t>Analyst-inferred (ARR not disclosed)</t>
        </is>
      </c>
      <c r="O17" s="5" t="inlineStr">
        <is>
          <t>Yes</t>
        </is>
      </c>
      <c r="P17" s="5" t="inlineStr">
        <is>
          <t>33, 34</t>
        </is>
      </c>
    </row>
    <row r="18">
      <c r="A18" s="5" t="inlineStr">
        <is>
          <t>Financial services</t>
        </is>
      </c>
      <c r="B18" s="5" t="inlineStr">
        <is>
          <t>Hebbia</t>
        </is>
      </c>
      <c r="C18" s="5" t="inlineStr">
        <is>
          <t>Hebbia Matrix</t>
        </is>
      </c>
      <c r="D18" s="5" t="inlineStr">
        <is>
          <t>Multi-document agentic analysis for finance, legal, PE diligence</t>
        </is>
      </c>
      <c r="E18" s="5" t="inlineStr">
        <is>
          <t>ARR (reported)</t>
        </is>
      </c>
      <c r="F18" s="6" t="n">
        <v>24.6</v>
      </c>
      <c r="G18" s="5" t="inlineStr">
        <is>
          <t>Late 2025</t>
        </is>
      </c>
      <c r="H18" s="5" t="n"/>
      <c r="I18" s="6" t="n">
        <v>0.7</v>
      </c>
      <c r="J18" s="5" t="inlineStr">
        <is>
          <t>2024 Series B (a16z); $161M total funding</t>
        </is>
      </c>
      <c r="K18" s="5" t="inlineStr">
        <is>
          <t>Enterprise contracts</t>
        </is>
      </c>
      <c r="L18" s="5" t="n"/>
      <c r="M18" s="5" t="n"/>
      <c r="N18" s="5" t="inlineStr">
        <is>
          <t>Press-reported</t>
        </is>
      </c>
      <c r="O18" s="5" t="inlineStr">
        <is>
          <t>Yes</t>
        </is>
      </c>
      <c r="P18" s="5" t="inlineStr">
        <is>
          <t>34</t>
        </is>
      </c>
    </row>
    <row r="19">
      <c r="A19" s="5" t="inlineStr">
        <is>
          <t>Financial services</t>
        </is>
      </c>
      <c r="B19" s="5" t="inlineStr">
        <is>
          <t>AlphaSense</t>
        </is>
      </c>
      <c r="C19" s="5" t="inlineStr">
        <is>
          <t>AlphaSense (agentic research)</t>
        </is>
      </c>
      <c r="D19" s="5" t="inlineStr">
        <is>
          <t>Market-intelligence search adding agentic research workflows (partially agentic)</t>
        </is>
      </c>
      <c r="E19" s="5" t="inlineStr">
        <is>
          <t>ARR (reported)</t>
        </is>
      </c>
      <c r="F19" s="6" t="n">
        <v>200</v>
      </c>
      <c r="G19" s="5" t="inlineStr">
        <is>
          <t>2026</t>
        </is>
      </c>
      <c r="H19" s="5" t="n"/>
      <c r="I19" s="6" t="n">
        <v>4</v>
      </c>
      <c r="J19" s="5" t="inlineStr">
        <is>
          <t>2026 private mark</t>
        </is>
      </c>
      <c r="K19" s="5" t="inlineStr">
        <is>
          <t>Enterprise subscriptions</t>
        </is>
      </c>
      <c r="L19" s="5" t="inlineStr">
        <is>
          <t>10,000+ content sources</t>
        </is>
      </c>
      <c r="M19" s="5" t="n"/>
      <c r="N19" s="5" t="inlineStr">
        <is>
          <t>Press-reported; partially agentic (flagged)</t>
        </is>
      </c>
      <c r="O19" s="5" t="inlineStr">
        <is>
          <t>Yes</t>
        </is>
      </c>
      <c r="P19" s="5" t="inlineStr">
        <is>
          <t>34</t>
        </is>
      </c>
    </row>
    <row r="20">
      <c r="A20" s="5" t="inlineStr">
        <is>
          <t>Enterprise platform agents</t>
        </is>
      </c>
      <c r="B20" s="5" t="inlineStr">
        <is>
          <t>Salesforce</t>
        </is>
      </c>
      <c r="C20" s="5" t="inlineStr">
        <is>
          <t>Agentforce</t>
        </is>
      </c>
      <c r="D20" s="5" t="inlineStr">
        <is>
          <t>CRM-native agent platform (service, sales, IT) with Atlas reasoning engine</t>
        </is>
      </c>
      <c r="E20" s="5" t="inlineStr">
        <is>
          <t>ARR (company-disclosed)</t>
        </is>
      </c>
      <c r="F20" s="6" t="n">
        <v>1200</v>
      </c>
      <c r="G20" s="5" t="inlineStr">
        <is>
          <t>Q1 FY2027 (qtr ended Apr 2026)</t>
        </is>
      </c>
      <c r="H20" s="5" t="inlineStr">
        <is>
          <t>$800M Q4 FY2026 (+169% YoY) -&gt; $1.2B Q1 FY2027 (+205% YoY); total AI+Data ARR $3.4B</t>
        </is>
      </c>
      <c r="I20" s="6" t="n"/>
      <c r="J20" s="5" t="inlineStr">
        <is>
          <t>Public (NYSE: CRM)</t>
        </is>
      </c>
      <c r="K20" s="5" t="inlineStr">
        <is>
          <t>$2/conversation + Flex Credits ($500 per 100K credits)</t>
        </is>
      </c>
      <c r="L20" s="5" t="inlineStr">
        <is>
          <t>18,500+ customers (9,500+ paid); 4M autonomous inquiries on Salesforce's own support in 15 months</t>
        </is>
      </c>
      <c r="M20" s="5" t="inlineStr">
        <is>
          <t>28.6T tokens processed in Q1 FY2027 (+152% QoQ); 3.8B agentic work units delivered</t>
        </is>
      </c>
      <c r="N20" s="5" t="inlineStr">
        <is>
          <t>Company-disclosed</t>
        </is>
      </c>
      <c r="O20" s="5" t="inlineStr">
        <is>
          <t>Yes</t>
        </is>
      </c>
      <c r="P20" s="5" t="inlineStr">
        <is>
          <t>17, 18, 19, 20</t>
        </is>
      </c>
    </row>
    <row r="21">
      <c r="A21" s="5" t="inlineStr">
        <is>
          <t>Enterprise platform agents</t>
        </is>
      </c>
      <c r="B21" s="5" t="inlineStr">
        <is>
          <t>ServiceNow</t>
        </is>
      </c>
      <c r="C21" s="5" t="inlineStr">
        <is>
          <t>Now Assist / AI Agents</t>
        </is>
      </c>
      <c r="D21" s="5" t="inlineStr">
        <is>
          <t>Workflow-native agents for ITSM/ESM (Agent Fabric, AI Control Tower)</t>
        </is>
      </c>
      <c r="E21" s="5" t="inlineStr">
        <is>
          <t>ACV (reported)</t>
        </is>
      </c>
      <c r="F21" s="6" t="n">
        <v>1000</v>
      </c>
      <c r="G21" s="5" t="inlineStr">
        <is>
          <t>Mid-2026</t>
        </is>
      </c>
      <c r="H21" s="5" t="inlineStr">
        <is>
          <t>AI portfolio anchored by Now Assist reached $1B ACV</t>
        </is>
      </c>
      <c r="I21" s="6" t="n"/>
      <c r="J21" s="5" t="inlineStr">
        <is>
          <t>Public (NYSE: NOW)</t>
        </is>
      </c>
      <c r="K21" s="5" t="inlineStr">
        <is>
          <t>Bundled in Pro Plus / Enterprise Plus tiers (20-40% uplift at renewal) + message packs</t>
        </is>
      </c>
      <c r="L21" s="5" t="inlineStr">
        <is>
          <t>Gartner #1 for building/managing AI agents (2025)</t>
        </is>
      </c>
      <c r="M21" s="5" t="n"/>
      <c r="N21" s="5" t="inlineStr">
        <is>
          <t>Press-reported</t>
        </is>
      </c>
      <c r="O21" s="5" t="inlineStr">
        <is>
          <t>Yes</t>
        </is>
      </c>
      <c r="P21" s="5" t="inlineStr">
        <is>
          <t>19, 20</t>
        </is>
      </c>
    </row>
    <row r="22">
      <c r="A22" s="5" t="inlineStr">
        <is>
          <t>Enterprise platform agents</t>
        </is>
      </c>
      <c r="B22" s="5" t="inlineStr">
        <is>
          <t>Microsoft</t>
        </is>
      </c>
      <c r="C22" s="5" t="inlineStr">
        <is>
          <t>M365 Copilot + Agent 365 + Copilot Studio</t>
        </is>
      </c>
      <c r="D22" s="5" t="inlineStr">
        <is>
          <t>Productivity copilot evolving to autonomous 'Autopilots'; agent governance via Agent 365</t>
        </is>
      </c>
      <c r="E22" s="5" t="inlineStr">
        <is>
          <t>Not disclosed (excluded from aggregates)</t>
        </is>
      </c>
      <c r="F22" s="6" t="n"/>
      <c r="G22" s="5" t="inlineStr">
        <is>
          <t>Q4 FY26 (Jun 2026)</t>
        </is>
      </c>
      <c r="H22" s="5" t="inlineStr">
        <is>
          <t>Seats: 15M Q2 -&gt; 20M Q3 -&gt; 30M+ Q4 FY26; at $30/user/mo list, implies up to ~$10.8B annualized before discounts (not disclosed)</t>
        </is>
      </c>
      <c r="I22" s="6" t="n"/>
      <c r="J22" s="5" t="inlineStr">
        <is>
          <t>Public (NASDAQ: MSFT)</t>
        </is>
      </c>
      <c r="K22" s="5" t="inlineStr">
        <is>
          <t>$30-$99/user/mo seats; Copilot Studio $200/mo per 25K credits or $0.01/credit PAYG</t>
        </is>
      </c>
      <c r="L22" s="5" t="inlineStr">
        <is>
          <t>30M+ paid M365 Copilot seats; Agent 365: ~40M registered agents within 2 months of launch</t>
        </is>
      </c>
      <c r="M22" s="5" t="inlineStr">
        <is>
          <t>Azure AI Foundry: 100K customers; customers at 1T-token annualized run-rate up 4x YoY</t>
        </is>
      </c>
      <c r="N22" s="5" t="inlineStr">
        <is>
          <t>Seats disclosed; revenue not disclosed</t>
        </is>
      </c>
      <c r="O22" s="5" t="inlineStr">
        <is>
          <t>No (revenue n/d)</t>
        </is>
      </c>
      <c r="P22" s="5" t="inlineStr">
        <is>
          <t>36, 37, 19, 20</t>
        </is>
      </c>
    </row>
    <row r="23">
      <c r="A23" s="5" t="inlineStr">
        <is>
          <t>Enterprise platform agents</t>
        </is>
      </c>
      <c r="B23" s="5" t="inlineStr">
        <is>
          <t>Glean</t>
        </is>
      </c>
      <c r="C23" s="5" t="inlineStr">
        <is>
          <t>Glean Assistant + Agents</t>
        </is>
      </c>
      <c r="D23" s="5" t="inlineStr">
        <is>
          <t>Enterprise knowledge graph powering search and agentic workflows</t>
        </is>
      </c>
      <c r="E23" s="5" t="inlineStr">
        <is>
          <t>ARR / annualized run-rate (company-disclosed)</t>
        </is>
      </c>
      <c r="F23" s="6" t="n">
        <v>300</v>
      </c>
      <c r="G23" s="5" t="inlineStr">
        <is>
          <t>May 2026</t>
        </is>
      </c>
      <c r="H23" s="5" t="inlineStr">
        <is>
          <t>$100M Feb 2025 -&gt; $300M May 2026 (3x in 15 months)</t>
        </is>
      </c>
      <c r="I23" s="6" t="n">
        <v>7.2</v>
      </c>
      <c r="J23" s="5" t="inlineStr">
        <is>
          <t>Jun 2025 Series F ($150M)</t>
        </is>
      </c>
      <c r="K23" s="5" t="inlineStr">
        <is>
          <t>Consumption-based + hybrid (fixed per-active-user + usage)</t>
        </is>
      </c>
      <c r="L23" s="5" t="inlineStr">
        <is>
          <t>Customers: Databricks, Reddit, Pinterest, Samsung</t>
        </is>
      </c>
      <c r="M23" s="5" t="inlineStr">
        <is>
          <t>Sells token-cost reduction: context graph cuts tokens consumed by connected AI</t>
        </is>
      </c>
      <c r="N23" s="5" t="inlineStr">
        <is>
          <t>Company-disclosed</t>
        </is>
      </c>
      <c r="O23" s="5" t="inlineStr">
        <is>
          <t>Yes</t>
        </is>
      </c>
      <c r="P23" s="5" t="inlineStr">
        <is>
          <t>35</t>
        </is>
      </c>
    </row>
    <row r="24">
      <c r="A24" s="5" t="inlineStr">
        <is>
          <t>General-purpose &amp; consumer agents</t>
        </is>
      </c>
      <c r="B24" s="5" t="inlineStr">
        <is>
          <t>Perplexity</t>
        </is>
      </c>
      <c r="C24" s="5" t="inlineStr">
        <is>
          <t>Comet (agentic browser) + Perplexity</t>
        </is>
      </c>
      <c r="D24" s="5" t="inlineStr">
        <is>
          <t>Agentic browser and answer engine with multi-agent orchestration (company-wide figure)</t>
        </is>
      </c>
      <c r="E24" s="5" t="inlineStr">
        <is>
          <t>Annualized revenue (reported, company-wide)</t>
        </is>
      </c>
      <c r="F24" s="6" t="n">
        <v>500</v>
      </c>
      <c r="G24" s="5" t="inlineStr">
        <is>
          <t>Apr 2026</t>
        </is>
      </c>
      <c r="H24" s="5" t="n"/>
      <c r="I24" s="6" t="n"/>
      <c r="J24" s="5" t="n"/>
      <c r="K24" s="5" t="inlineStr">
        <is>
          <t>Subscriptions (Pro/Max) + enterprise</t>
        </is>
      </c>
      <c r="L24" s="5" t="n"/>
      <c r="M24" s="5" t="n"/>
      <c r="N24" s="5" t="inlineStr">
        <is>
          <t>Press-reported; company-wide (not agent-only)</t>
        </is>
      </c>
      <c r="O24" s="5" t="inlineStr">
        <is>
          <t>Yes</t>
        </is>
      </c>
      <c r="P24" s="5" t="inlineStr">
        <is>
          <t>30</t>
        </is>
      </c>
    </row>
    <row r="25">
      <c r="A25" s="5" t="inlineStr">
        <is>
          <t>General-purpose &amp; consumer agents</t>
        </is>
      </c>
      <c r="B25" s="5" t="inlineStr">
        <is>
          <t>Genspark</t>
        </is>
      </c>
      <c r="C25" s="5" t="inlineStr">
        <is>
          <t>Genspark Super Agent</t>
        </is>
      </c>
      <c r="D25" s="5" t="inlineStr">
        <is>
          <t>All-in-one agentic workspace for search/productivity using multiple frontier models</t>
        </is>
      </c>
      <c r="E25" s="5" t="inlineStr">
        <is>
          <t>ARR (reported)</t>
        </is>
      </c>
      <c r="F25" s="6" t="n">
        <v>100</v>
      </c>
      <c r="G25" s="5" t="inlineStr">
        <is>
          <t>2026</t>
        </is>
      </c>
      <c r="H25" s="5" t="inlineStr">
        <is>
          <t>$50M ARR in first 5 months</t>
        </is>
      </c>
      <c r="I25" s="6" t="n">
        <v>1.6</v>
      </c>
      <c r="J25" s="5" t="inlineStr">
        <is>
          <t>2026 round</t>
        </is>
      </c>
      <c r="K25" s="5" t="inlineStr">
        <is>
          <t>Subscription + credits</t>
        </is>
      </c>
      <c r="L25" s="5" t="n"/>
      <c r="M25" s="5" t="n"/>
      <c r="N25" s="5" t="inlineStr">
        <is>
          <t>Press-reported</t>
        </is>
      </c>
      <c r="O25" s="5" t="inlineStr">
        <is>
          <t>Yes</t>
        </is>
      </c>
      <c r="P25" s="5" t="inlineStr">
        <is>
          <t>11, 39</t>
        </is>
      </c>
    </row>
    <row r="26">
      <c r="A26" s="5" t="inlineStr">
        <is>
          <t>General-purpose &amp; consumer agents</t>
        </is>
      </c>
      <c r="B26" s="5" t="inlineStr">
        <is>
          <t>Manus (Butterfly Effect)</t>
        </is>
      </c>
      <c r="C26" s="5" t="inlineStr">
        <is>
          <t>Manus</t>
        </is>
      </c>
      <c r="D26" s="5" t="inlineStr">
        <is>
          <t>Consumer general-purpose agent: browser control, research, integrations</t>
        </is>
      </c>
      <c r="E26" s="5" t="inlineStr">
        <is>
          <t>Annualized revenue (press estimate)</t>
        </is>
      </c>
      <c r="F26" s="6" t="n">
        <v>90</v>
      </c>
      <c r="G26" s="5" t="inlineStr">
        <is>
          <t>Aug 2025</t>
        </is>
      </c>
      <c r="H26" s="5" t="inlineStr">
        <is>
          <t>Launched Mar 2025</t>
        </is>
      </c>
      <c r="I26" s="6" t="n"/>
      <c r="J26" s="5" t="n"/>
      <c r="K26" s="5" t="inlineStr">
        <is>
          <t>Credit-based subscriptions</t>
        </is>
      </c>
      <c r="L26" s="5" t="n"/>
      <c r="M26" s="5" t="n"/>
      <c r="N26" s="5" t="inlineStr">
        <is>
          <t>Press estimate (dated)</t>
        </is>
      </c>
      <c r="O26" s="5" t="inlineStr">
        <is>
          <t>Yes</t>
        </is>
      </c>
      <c r="P26" s="5" t="inlineStr">
        <is>
          <t>30</t>
        </is>
      </c>
    </row>
    <row r="27">
      <c r="A27" s="5" t="inlineStr">
        <is>
          <t>General-purpose &amp; consumer agents</t>
        </is>
      </c>
      <c r="B27" s="5" t="inlineStr">
        <is>
          <t>OpenAI</t>
        </is>
      </c>
      <c r="C27" s="5" t="inlineStr">
        <is>
          <t>ChatGPT Agent / Agents platform (memo)</t>
        </is>
      </c>
      <c r="D27" s="5" t="inlineStr">
        <is>
          <t>Deep research + computer use + AgentKit; memo row to avoid double-counting Codex</t>
        </is>
      </c>
      <c r="E27" s="5" t="inlineStr">
        <is>
          <t>Memo: agents &gt;40% of enterprise revenue (Feb 2026); enterprise &gt;50% of $40B run-rate (Aug 2026) implies ~$8B+ agent revenue incl. Codex</t>
        </is>
      </c>
      <c r="F27" s="6" t="n"/>
      <c r="G27" s="5" t="inlineStr">
        <is>
          <t>Aug 2026</t>
        </is>
      </c>
      <c r="H27" s="5" t="inlineStr">
        <is>
          <t>ChatGPT for Work: 7M+ seats (Feb 2026, +40% in 2 months); paying business users ~9M; internal forecast ~$29B agent revenue by 2029</t>
        </is>
      </c>
      <c r="I27" s="6" t="n"/>
      <c r="J27" s="5" t="inlineStr">
        <is>
          <t>IPO planned</t>
        </is>
      </c>
      <c r="K27" s="5" t="inlineStr">
        <is>
          <t>Seats + usage; per-task fees emerging</t>
        </is>
      </c>
      <c r="L27" s="5" t="n"/>
      <c r="M27" s="5" t="n"/>
      <c r="N27" s="5" t="inlineStr">
        <is>
          <t>Derived (memo only)</t>
        </is>
      </c>
      <c r="O27" s="5" t="inlineStr">
        <is>
          <t>No (memo; overlaps Codex)</t>
        </is>
      </c>
      <c r="P27" s="5" t="inlineStr">
        <is>
          <t>31, 32</t>
        </is>
      </c>
    </row>
    <row r="28">
      <c r="A28" s="7" t="inlineStr">
        <is>
          <t>Model providers (memo - not summed)</t>
        </is>
      </c>
      <c r="B28" s="7" t="inlineStr">
        <is>
          <t>OpenAI</t>
        </is>
      </c>
      <c r="C28" s="7" t="inlineStr">
        <is>
          <t>Company total</t>
        </is>
      </c>
      <c r="D28" s="7" t="inlineStr">
        <is>
          <t>Full company run-rate; agentic products (Codex, agents) are the fastest-growing segment</t>
        </is>
      </c>
      <c r="E28" s="7" t="inlineStr">
        <is>
          <t>Annualized run-rate (Bloomberg/CNBC-confirmed)</t>
        </is>
      </c>
      <c r="F28" s="8" t="n">
        <v>40000</v>
      </c>
      <c r="G28" s="7" t="inlineStr">
        <is>
          <t>Aug 2026</t>
        </is>
      </c>
      <c r="H28" s="7" t="inlineStr">
        <is>
          <t>~$20B end-2025 -&gt; $40B+ Aug 2026 (+20% MoM in July); enterprise &gt;50% of mix; ads ~$1B run-rate</t>
        </is>
      </c>
      <c r="I28" s="8" t="n"/>
      <c r="J28" s="7" t="inlineStr">
        <is>
          <t>IPO planned</t>
        </is>
      </c>
      <c r="K28" s="7" t="inlineStr">
        <is>
          <t>Subscriptions, API usage, ads</t>
        </is>
      </c>
      <c r="L28" s="7" t="inlineStr">
        <is>
          <t>800M+ weekly ChatGPT users; 20M WAU coding/work products</t>
        </is>
      </c>
      <c r="M28" s="7" t="inlineStr">
        <is>
          <t>API: &gt;6B tokens/min (Oct 2025 DevDay) = ~260T tokens/month, excl. ChatGPT</t>
        </is>
      </c>
      <c r="N28" s="7" t="inlineStr">
        <is>
          <t>Confirmed by Bloomberg/CNBC</t>
        </is>
      </c>
      <c r="O28" s="7" t="inlineStr">
        <is>
          <t>No (memo)</t>
        </is>
      </c>
      <c r="P28" s="7" t="inlineStr">
        <is>
          <t>29, 30, 31</t>
        </is>
      </c>
    </row>
    <row r="29">
      <c r="A29" s="7" t="inlineStr">
        <is>
          <t>Model providers (memo - not summed)</t>
        </is>
      </c>
      <c r="B29" s="7" t="inlineStr">
        <is>
          <t>Anthropic</t>
        </is>
      </c>
      <c r="C29" s="7" t="inlineStr">
        <is>
          <t>Company total</t>
        </is>
      </c>
      <c r="D29" s="7" t="inlineStr">
        <is>
          <t>Full company run-rate; Claude Code is ~22% of tracked ARR; enterprise API 80-85% of mix</t>
        </is>
      </c>
      <c r="E29" s="7" t="inlineStr">
        <is>
          <t>Annualized run-rate (Bloomberg via internal docs)</t>
        </is>
      </c>
      <c r="F29" s="8" t="n">
        <v>65000</v>
      </c>
      <c r="G29" s="7" t="inlineStr">
        <is>
          <t>End of July 2026</t>
        </is>
      </c>
      <c r="H29" s="7" t="inlineStr">
        <is>
          <t>$14B Feb 2026 -&gt; $65B Jul 2026; Q2 2026 revenue $11.5B (&gt; OpenAI's quarter, first time); first positive operating income</t>
        </is>
      </c>
      <c r="I29" s="8" t="n">
        <v>380</v>
      </c>
      <c r="J29" s="7" t="inlineStr">
        <is>
          <t>Feb 2026 Series G post-money</t>
        </is>
      </c>
      <c r="K29" s="7" t="inlineStr">
        <is>
          <t>API usage, subscriptions</t>
        </is>
      </c>
      <c r="L29" s="7" t="inlineStr">
        <is>
          <t>34.4% of B2B market vs OpenAI 32.3% (Jul 2026)</t>
        </is>
      </c>
      <c r="M29" s="7" t="inlineStr">
        <is>
          <t>Token throughput not disclosed; Barclays sees Anthropic leading enterprise inference tokens</t>
        </is>
      </c>
      <c r="N29" s="7" t="inlineStr">
        <is>
          <t>Bloomberg-reported</t>
        </is>
      </c>
      <c r="O29" s="7" t="inlineStr">
        <is>
          <t>No (memo)</t>
        </is>
      </c>
      <c r="P29" s="7" t="inlineStr">
        <is>
          <t>6</t>
        </is>
      </c>
    </row>
    <row r="30">
      <c r="A30" s="7" t="inlineStr">
        <is>
          <t>Model providers (memo - not summed)</t>
        </is>
      </c>
      <c r="B30" s="7" t="inlineStr">
        <is>
          <t>Google</t>
        </is>
      </c>
      <c r="C30" s="7" t="inlineStr">
        <is>
          <t>Gemini (platform total)</t>
        </is>
      </c>
      <c r="D30" s="7" t="inlineStr">
        <is>
          <t>Agentic revenue not broken out; included for token-scale context</t>
        </is>
      </c>
      <c r="E30" s="7" t="inlineStr">
        <is>
          <t>Not broken out</t>
        </is>
      </c>
      <c r="F30" s="8" t="n"/>
      <c r="G30" s="7" t="inlineStr">
        <is>
          <t>May 2026</t>
        </is>
      </c>
      <c r="H30" s="7" t="n"/>
      <c r="I30" s="8" t="n"/>
      <c r="J30" s="7" t="inlineStr">
        <is>
          <t>Public (NASDAQ: GOOGL)</t>
        </is>
      </c>
      <c r="K30" s="7" t="inlineStr">
        <is>
          <t>API usage, subscriptions, ads</t>
        </is>
      </c>
      <c r="L30" s="7" t="inlineStr">
        <is>
          <t>8.5M developers building with Gemini monthly</t>
        </is>
      </c>
      <c r="M30" s="7" t="inlineStr">
        <is>
          <t>3.2 quadrillion tokens/month across products (May 2026); Gemini models ~22B tokens/min (~1 quadrillion/month) Q2 2026</t>
        </is>
      </c>
      <c r="N30" s="7" t="inlineStr">
        <is>
          <t>Company-disclosed (tokens)</t>
        </is>
      </c>
      <c r="O30" s="7" t="inlineStr">
        <is>
          <t>No (memo)</t>
        </is>
      </c>
      <c r="P30" s="7" t="inlineStr">
        <is>
          <t>21, 22, 23</t>
        </is>
      </c>
    </row>
  </sheetData>
  <autoFilter ref="A1:P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8" customWidth="1" min="4" max="4"/>
    <col width="12" customWidth="1" min="5" max="5"/>
    <col width="80" customWidth="1" min="6" max="6"/>
  </cols>
  <sheetData>
    <row r="1">
      <c r="A1" s="4" t="inlineStr">
        <is>
          <t>Sector</t>
        </is>
      </c>
      <c r="B1" s="4" t="inlineStr">
        <is>
          <t># offerings tracked</t>
        </is>
      </c>
      <c r="C1" s="4" t="inlineStr">
        <is>
          <t># with revenue in aggregate</t>
        </is>
      </c>
      <c r="D1" s="4" t="inlineStr">
        <is>
          <t>Aggregate annualized revenue ($M)</t>
        </is>
      </c>
      <c r="E1" s="4" t="inlineStr">
        <is>
          <t>Share of tracked total</t>
        </is>
      </c>
      <c r="F1" s="4" t="inlineStr">
        <is>
          <t>Notes</t>
        </is>
      </c>
    </row>
    <row r="2">
      <c r="A2" s="5" t="inlineStr">
        <is>
          <t>Coding &amp; software development</t>
        </is>
      </c>
      <c r="B2" s="5" t="n">
        <v>7</v>
      </c>
      <c r="C2" s="5">
        <f>COUNTIFS(Offerings!A:A,A2,Offerings!O:O,"Yes",Offerings!F:F,"&gt;0")</f>
        <v/>
      </c>
      <c r="D2" s="9">
        <f>SUMIFS(Offerings!F:F,Offerings!A:A,A2,Offerings!O:O,"Yes")</f>
        <v/>
      </c>
      <c r="E2" s="10">
        <f>D2/D$9</f>
        <v/>
      </c>
      <c r="F2" s="5" t="inlineStr">
        <is>
          <t>Largest agentic sector by revenue; Claude Code + Codex figures are third-party tracked estimates. Cursor acquired by SpaceX for $60B (Jun 2026).</t>
        </is>
      </c>
    </row>
    <row r="3">
      <c r="A3" s="5" t="inlineStr">
        <is>
          <t>Customer experience &amp; support</t>
        </is>
      </c>
      <c r="B3" s="5" t="n">
        <v>3</v>
      </c>
      <c r="C3" s="5">
        <f>COUNTIFS(Offerings!A:A,A3,Offerings!O:O,"Yes",Offerings!F:F,"&gt;0")</f>
        <v/>
      </c>
      <c r="D3" s="9">
        <f>SUMIFS(Offerings!F:F,Offerings!A:A,A3,Offerings!O:O,"Yes")</f>
        <v/>
      </c>
      <c r="E3" s="10">
        <f>D3/D$9</f>
        <v/>
      </c>
      <c r="F3" s="5" t="inlineStr">
        <is>
          <t>Excludes Agentforce (classified under Enterprise platforms) and Wonderful AI (revenue n/d). Category commands the highest revenue multiples (~127x ARR avg).</t>
        </is>
      </c>
    </row>
    <row r="4">
      <c r="A4" s="5" t="inlineStr">
        <is>
          <t>Legal</t>
        </is>
      </c>
      <c r="B4" s="5" t="n">
        <v>1</v>
      </c>
      <c r="C4" s="5">
        <f>COUNTIFS(Offerings!A:A,A4,Offerings!O:O,"Yes",Offerings!F:F,"&gt;0")</f>
        <v/>
      </c>
      <c r="D4" s="9">
        <f>SUMIFS(Offerings!F:F,Offerings!A:A,A4,Offerings!O:O,"Yes")</f>
        <v/>
      </c>
      <c r="E4" s="10">
        <f>D4/D$9</f>
        <v/>
      </c>
      <c r="F4" s="5" t="inlineStr">
        <is>
          <t>Harvey dominates; 7-figure enterprise contracts at large law firms.</t>
        </is>
      </c>
    </row>
    <row r="5">
      <c r="A5" s="5" t="inlineStr">
        <is>
          <t>Healthcare</t>
        </is>
      </c>
      <c r="B5" s="5" t="n">
        <v>4</v>
      </c>
      <c r="C5" s="5">
        <f>COUNTIFS(Offerings!A:A,A5,Offerings!O:O,"Yes",Offerings!F:F,"&gt;0")</f>
        <v/>
      </c>
      <c r="D5" s="9">
        <f>SUMIFS(Offerings!F:F,Offerings!A:A,A5,Offerings!O:O,"Yes")</f>
        <v/>
      </c>
      <c r="E5" s="10">
        <f>D5/D$9</f>
        <v/>
      </c>
      <c r="F5" s="5" t="inlineStr">
        <is>
          <t>Sub-segment sizing (Information Matters, May 2026): scribes $300-500M; RCM automation $0.8-1.2B; payer prior-auth $200-400M; sector central case ~$5.5B incl. drug-discovery value.</t>
        </is>
      </c>
    </row>
    <row r="6">
      <c r="A6" s="5" t="inlineStr">
        <is>
          <t>Financial services</t>
        </is>
      </c>
      <c r="B6" s="5" t="n">
        <v>3</v>
      </c>
      <c r="C6" s="5">
        <f>COUNTIFS(Offerings!A:A,A6,Offerings!O:O,"Yes",Offerings!F:F,"&gt;0")</f>
        <v/>
      </c>
      <c r="D6" s="9">
        <f>SUMIFS(Offerings!F:F,Offerings!A:A,A6,Offerings!O:O,"Yes")</f>
        <v/>
      </c>
      <c r="E6" s="10">
        <f>D6/D$9</f>
        <v/>
      </c>
      <c r="F6" s="5" t="inlineStr">
        <is>
          <t>Rogo ARR not disclosed - $75M shown is midpoint of analyst-inferred $50-100M. AlphaSense only partially agentic.</t>
        </is>
      </c>
    </row>
    <row r="7">
      <c r="A7" s="5" t="inlineStr">
        <is>
          <t>Enterprise platform agents</t>
        </is>
      </c>
      <c r="B7" s="5" t="n">
        <v>4</v>
      </c>
      <c r="C7" s="5">
        <f>COUNTIFS(Offerings!A:A,A7,Offerings!O:O,"Yes",Offerings!F:F,"&gt;0")</f>
        <v/>
      </c>
      <c r="D7" s="9">
        <f>SUMIFS(Offerings!F:F,Offerings!A:A,A7,Offerings!O:O,"Yes")</f>
        <v/>
      </c>
      <c r="E7" s="10">
        <f>D7/D$9</f>
        <v/>
      </c>
      <c r="F7" s="5" t="inlineStr">
        <is>
          <t>Excludes Microsoft M365 Copilot (revenue n/d; 30M+ seats imply up to ~$10.8B at list price) - materially understated.</t>
        </is>
      </c>
    </row>
    <row r="8">
      <c r="A8" s="5" t="inlineStr">
        <is>
          <t>General-purpose &amp; consumer agents</t>
        </is>
      </c>
      <c r="B8" s="5" t="n">
        <v>4</v>
      </c>
      <c r="C8" s="5">
        <f>COUNTIFS(Offerings!A:A,A8,Offerings!O:O,"Yes",Offerings!F:F,"&gt;0")</f>
        <v/>
      </c>
      <c r="D8" s="9">
        <f>SUMIFS(Offerings!F:F,Offerings!A:A,A8,Offerings!O:O,"Yes")</f>
        <v/>
      </c>
      <c r="E8" s="10">
        <f>D8/D$9</f>
        <v/>
      </c>
      <c r="F8" s="5" t="inlineStr">
        <is>
          <t>Perplexity figure is company-wide; Manus figure dated Aug 2025. OpenAI ChatGPT Agent excluded (memo; overlaps Codex).</t>
        </is>
      </c>
    </row>
    <row r="9">
      <c r="A9" s="11" t="inlineStr">
        <is>
          <t>TOTAL (tracked, ex-memo rows)</t>
        </is>
      </c>
      <c r="B9" s="11">
        <f>SUM(B2:B8)</f>
        <v/>
      </c>
      <c r="C9" s="11">
        <f>SUM(C2:C8)</f>
        <v/>
      </c>
      <c r="D9" s="12">
        <f>SUM(D2:D8)</f>
        <v/>
      </c>
      <c r="E9" s="13" t="n">
        <v>1</v>
      </c>
      <c r="F9" s="11" t="n"/>
    </row>
    <row r="10">
      <c r="A10" s="5" t="n"/>
      <c r="B10" s="5" t="n"/>
      <c r="C10" s="5" t="n"/>
      <c r="D10" s="9" t="n"/>
      <c r="E10" s="10" t="n"/>
      <c r="F10" s="5" t="n"/>
    </row>
    <row r="11">
      <c r="A11" s="7" t="inlineStr">
        <is>
          <t>Memo: model-provider company totals (not summed above)</t>
        </is>
      </c>
      <c r="B11" s="7" t="n"/>
      <c r="C11" s="7" t="n"/>
      <c r="D11" s="14">
        <f>SUMIFS(Offerings!F:F,Offerings!A:A,"Model providers (memo - not summed)")</f>
        <v/>
      </c>
      <c r="E11" s="15" t="n"/>
      <c r="F11" s="7" t="inlineStr">
        <is>
          <t>OpenAI $40B (Aug 2026) + Anthropic $65B (Jul 2026) run-rates; agentic products are the top growth driver for both.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44" customWidth="1" min="3" max="3"/>
    <col width="18" customWidth="1" min="4" max="4"/>
    <col width="62" customWidth="1" min="5" max="5"/>
    <col width="12" customWidth="1" min="6" max="6"/>
  </cols>
  <sheetData>
    <row r="1">
      <c r="A1" s="4" t="inlineStr">
        <is>
          <t>Entity / platform</t>
        </is>
      </c>
      <c r="B1" s="4" t="inlineStr">
        <is>
          <t>Metric</t>
        </is>
      </c>
      <c r="C1" s="4" t="inlineStr">
        <is>
          <t>Value</t>
        </is>
      </c>
      <c r="D1" s="4" t="inlineStr">
        <is>
          <t>As-of</t>
        </is>
      </c>
      <c r="E1" s="4" t="inlineStr">
        <is>
          <t>Context / notes</t>
        </is>
      </c>
      <c r="F1" s="4" t="inlineStr">
        <is>
          <t>Sources (#)</t>
        </is>
      </c>
    </row>
    <row r="2">
      <c r="A2" s="5" t="inlineStr">
        <is>
          <t>Industry-wide</t>
        </is>
      </c>
      <c r="B2" s="5" t="inlineStr">
        <is>
          <t>Estimated global token processing</t>
        </is>
      </c>
      <c r="C2" s="5" t="inlineStr">
        <is>
          <t>~370 trillion/day (~135 quadrillion/yr)</t>
        </is>
      </c>
      <c r="D2" s="5" t="inlineStr">
        <is>
          <t>Mid-2026</t>
        </is>
      </c>
      <c r="E2" s="5" t="inlineStr">
        <is>
          <t>I/O Fund estimate; already 2.4x Dell's 2028 forecast of 57 quadrillion/yr</t>
        </is>
      </c>
      <c r="F2" s="5" t="inlineStr">
        <is>
          <t>23</t>
        </is>
      </c>
    </row>
    <row r="3">
      <c r="A3" s="5" t="inlineStr">
        <is>
          <t>Google (all products)</t>
        </is>
      </c>
      <c r="B3" s="5" t="inlineStr">
        <is>
          <t>Monthly tokens processed</t>
        </is>
      </c>
      <c r="C3" s="5" t="inlineStr">
        <is>
          <t>3.2 quadrillion/month</t>
        </is>
      </c>
      <c r="D3" s="5" t="inlineStr">
        <is>
          <t>May 2026 (I/O)</t>
        </is>
      </c>
      <c r="E3" s="5" t="inlineStr">
        <is>
          <t>vs ~480T May 2025 (~7x YoY) and 9.7T May 2024 (~330x in 2 years); includes Search, Workspace, Gemini apps</t>
        </is>
      </c>
      <c r="F3" s="5" t="inlineStr">
        <is>
          <t>21</t>
        </is>
      </c>
    </row>
    <row r="4">
      <c r="A4" s="5" t="inlineStr">
        <is>
          <t>Google Gemini Developer API</t>
        </is>
      </c>
      <c r="B4" s="5" t="inlineStr">
        <is>
          <t>API token throughput</t>
        </is>
      </c>
      <c r="C4" s="5" t="inlineStr">
        <is>
          <t>19B tokens/min (~800T/month)</t>
        </is>
      </c>
      <c r="D4" s="5" t="inlineStr">
        <is>
          <t>May 2026</t>
        </is>
      </c>
      <c r="E4" s="5" t="inlineStr">
        <is>
          <t>375+ Google Cloud customers each processed &gt;1T tokens in trailing 12 months</t>
        </is>
      </c>
      <c r="F4" s="5" t="inlineStr">
        <is>
          <t>21, 22</t>
        </is>
      </c>
    </row>
    <row r="5">
      <c r="A5" s="5" t="inlineStr">
        <is>
          <t>Google Gemini models</t>
        </is>
      </c>
      <c r="B5" s="5" t="inlineStr">
        <is>
          <t>Model token throughput</t>
        </is>
      </c>
      <c r="C5" s="5" t="inlineStr">
        <is>
          <t>22B tokens/min (~1 quadrillion/month)</t>
        </is>
      </c>
      <c r="D5" s="5" t="inlineStr">
        <is>
          <t>Q2 2026 earnings</t>
        </is>
      </c>
      <c r="E5" s="5" t="inlineStr">
        <is>
          <t>+120% in six months</t>
        </is>
      </c>
      <c r="F5" s="5" t="inlineStr">
        <is>
          <t>23</t>
        </is>
      </c>
    </row>
    <row r="6">
      <c r="A6" s="5" t="inlineStr">
        <is>
          <t>OpenAI API</t>
        </is>
      </c>
      <c r="B6" s="5" t="inlineStr">
        <is>
          <t>API token throughput</t>
        </is>
      </c>
      <c r="C6" s="5" t="inlineStr">
        <is>
          <t>&gt;6B tokens/min (~260T/month)</t>
        </is>
      </c>
      <c r="D6" s="5" t="inlineStr">
        <is>
          <t>Oct 2025 (DevDay)</t>
        </is>
      </c>
      <c r="E6" s="5" t="inlineStr">
        <is>
          <t>API only; excludes ChatGPT consumer traffic (800M+ weekly users)</t>
        </is>
      </c>
      <c r="F6" s="5" t="inlineStr">
        <is>
          <t>22</t>
        </is>
      </c>
    </row>
    <row r="7">
      <c r="A7" s="5" t="inlineStr">
        <is>
          <t>Anthropic</t>
        </is>
      </c>
      <c r="B7" s="5" t="inlineStr">
        <is>
          <t>Token throughput</t>
        </is>
      </c>
      <c r="C7" s="5" t="inlineStr">
        <is>
          <t>Not disclosed</t>
        </is>
      </c>
      <c r="D7" s="5" t="inlineStr">
        <is>
          <t>2026</t>
        </is>
      </c>
      <c r="E7" s="5" t="inlineStr">
        <is>
          <t>Barclays analysts see Anthropic leading enterprise inference tokens; 65% of Vercel AI Gateway spend on 30% of volume</t>
        </is>
      </c>
      <c r="F7" s="5" t="inlineStr">
        <is>
          <t>22, 24</t>
        </is>
      </c>
    </row>
    <row r="8">
      <c r="A8" s="5" t="inlineStr">
        <is>
          <t>Microsoft Azure AI Foundry</t>
        </is>
      </c>
      <c r="B8" s="5" t="inlineStr">
        <is>
          <t>Customers at 1T-token annualized run-rate</t>
        </is>
      </c>
      <c r="C8" s="5" t="inlineStr">
        <is>
          <t>Up 4x YoY; 100K Foundry customers</t>
        </is>
      </c>
      <c r="D8" s="5" t="inlineStr">
        <is>
          <t>Q4 FY26 (Jun 2026)</t>
        </is>
      </c>
      <c r="E8" s="5" t="inlineStr">
        <is>
          <t>Foundry revenue more than doubled YoY; 11,000+ models offered; Copilot workload throughput up 4x during FY26</t>
        </is>
      </c>
      <c r="F8" s="5" t="inlineStr">
        <is>
          <t>36, 37</t>
        </is>
      </c>
    </row>
    <row r="9">
      <c r="A9" s="5" t="inlineStr">
        <is>
          <t>Microsoft Agent 365</t>
        </is>
      </c>
      <c r="B9" s="5" t="inlineStr">
        <is>
          <t>Registered agents</t>
        </is>
      </c>
      <c r="C9" s="5" t="inlineStr">
        <is>
          <t>~40M agents</t>
        </is>
      </c>
      <c r="D9" s="5" t="inlineStr">
        <is>
          <t>Q4 FY26 (2 months post-launch)</t>
        </is>
      </c>
      <c r="E9" s="5" t="inlineStr">
        <is>
          <t>Across tens of thousands of companies; agent governance layer</t>
        </is>
      </c>
      <c r="F9" s="5" t="inlineStr">
        <is>
          <t>36, 37</t>
        </is>
      </c>
    </row>
    <row r="10">
      <c r="A10" s="5" t="inlineStr">
        <is>
          <t>Salesforce Agentforce</t>
        </is>
      </c>
      <c r="B10" s="5" t="inlineStr">
        <is>
          <t>Tokens processed</t>
        </is>
      </c>
      <c r="C10" s="5" t="inlineStr">
        <is>
          <t>28.6T in Q1 FY2027 (+152% QoQ)</t>
        </is>
      </c>
      <c r="D10" s="5" t="inlineStr">
        <is>
          <t>Qtr ended Apr 2026</t>
        </is>
      </c>
      <c r="E10" s="5" t="inlineStr">
        <is>
          <t>3.8B agentic work units delivered (+111%)</t>
        </is>
      </c>
      <c r="F10" s="5" t="inlineStr">
        <is>
          <t>17, 18</t>
        </is>
      </c>
    </row>
    <row r="11">
      <c r="A11" s="5" t="inlineStr">
        <is>
          <t>OpenRouter (router)</t>
        </is>
      </c>
      <c r="B11" s="5" t="inlineStr">
        <is>
          <t>Total routed tokens</t>
        </is>
      </c>
      <c r="C11" s="5" t="inlineStr">
        <is>
          <t>&gt;20T/week (~80-90T/month)</t>
        </is>
      </c>
      <c r="D11" s="5" t="inlineStr">
        <is>
          <t>Mid-2026</t>
        </is>
      </c>
      <c r="E11" s="5" t="inlineStr">
        <is>
          <t>State of AI study covered 100T+ tokens over ~1 year</t>
        </is>
      </c>
      <c r="F11" s="5" t="inlineStr">
        <is>
          <t>22, 26</t>
        </is>
      </c>
    </row>
    <row r="12">
      <c r="A12" s="5" t="inlineStr">
        <is>
          <t>OpenRouter (router)</t>
        </is>
      </c>
      <c r="B12" s="5" t="inlineStr">
        <is>
          <t>Agentic token multiplier</t>
        </is>
      </c>
      <c r="C12" s="5" t="inlineStr">
        <is>
          <t>~15x tokens per request vs human chat</t>
        </is>
      </c>
      <c r="D12" s="5" t="inlineStr">
        <is>
          <t>2026</t>
        </is>
      </c>
      <c r="E12" s="5" t="inlineStr">
        <is>
          <t>Agentic share exploded starting Feb 2026; traffic segmented agentic/mixed/human by 7-signal composite</t>
        </is>
      </c>
      <c r="F12" s="5" t="inlineStr">
        <is>
          <t>25</t>
        </is>
      </c>
    </row>
    <row r="13">
      <c r="A13" s="5" t="inlineStr">
        <is>
          <t>OpenRouter (router)</t>
        </is>
      </c>
      <c r="B13" s="5" t="inlineStr">
        <is>
          <t>Reasoning-model share of tokens</t>
        </is>
      </c>
      <c r="C13" s="5" t="inlineStr">
        <is>
          <t>&gt;50% of routed tokens</t>
        </is>
      </c>
      <c r="D13" s="5" t="inlineStr">
        <is>
          <t>Late 2025</t>
        </is>
      </c>
      <c r="E13" s="5" t="inlineStr">
        <is>
          <t>Up from negligible in early 2025; driven by agent-style workflows</t>
        </is>
      </c>
      <c r="F13" s="5" t="inlineStr">
        <is>
          <t>26</t>
        </is>
      </c>
    </row>
    <row r="14">
      <c r="A14" s="5" t="inlineStr">
        <is>
          <t>OpenRouter (router)</t>
        </is>
      </c>
      <c r="B14" s="5" t="inlineStr">
        <is>
          <t>Chinese-origin open-weight share</t>
        </is>
      </c>
      <c r="C14" s="5" t="inlineStr">
        <is>
          <t>~46% of identified token volume</t>
        </is>
      </c>
      <c r="D14" s="5" t="inlineStr">
        <is>
          <t>Mid-2026</t>
        </is>
      </c>
      <c r="E14" s="5" t="inlineStr">
        <is>
          <t>Up from &lt;2% a year earlier; DeepSeek alone ~17.6%; agentic workloads drove DeepSeek V4 to ~20% token share</t>
        </is>
      </c>
      <c r="F14" s="5" t="inlineStr">
        <is>
          <t>3 (context), 25</t>
        </is>
      </c>
    </row>
    <row r="15">
      <c r="A15" s="5" t="inlineStr">
        <is>
          <t>OpenRouter apps (snapshot)</t>
        </is>
      </c>
      <c r="B15" s="5" t="inlineStr">
        <is>
          <t>Top agent apps by tokens</t>
        </is>
      </c>
      <c r="C15" s="5" t="inlineStr">
        <is>
          <t>Hermes Agent 27.0T (45.9% of tracked app tokens); Kilo Code 6.9T; Claude Code 6.5T; OpenClaw 3.5T; Cline 2.7T; Codex 0.69T</t>
        </is>
      </c>
      <c r="D15" s="5" t="inlineStr">
        <is>
          <t>Mid-2026</t>
        </is>
      </c>
      <c r="E15" s="5" t="inlineStr">
        <is>
          <t>Coding/CLI agents dominate router token volume; app defaults are kingmakers</t>
        </is>
      </c>
      <c r="F15" s="5" t="inlineStr">
        <is>
          <t>27, 28</t>
        </is>
      </c>
    </row>
    <row r="16">
      <c r="A16" s="5" t="inlineStr">
        <is>
          <t>Vercel AI Gateway</t>
        </is>
      </c>
      <c r="B16" s="5" t="inlineStr">
        <is>
          <t>Total routed tokens</t>
        </is>
      </c>
      <c r="C16" s="5" t="inlineStr">
        <is>
          <t>Tens of trillions/month</t>
        </is>
      </c>
      <c r="D16" s="5" t="inlineStr">
        <is>
          <t>Jul 2026</t>
        </is>
      </c>
      <c r="E16" s="5" t="inlineStr">
        <is>
          <t>Anthropic: 65% of gateway spend on 30% of token volume at 4.4x average price; &gt;80% of coding-agent spend; open-weight models &gt;1/3 of volume; avg price/token -13.6% MoM</t>
        </is>
      </c>
      <c r="F16" s="5" t="inlineStr">
        <is>
          <t>24</t>
        </is>
      </c>
    </row>
    <row r="17">
      <c r="A17" s="5" t="inlineStr">
        <is>
          <t>Coding agents (research)</t>
        </is>
      </c>
      <c r="B17" s="5" t="inlineStr">
        <is>
          <t>Token intensity vs chat</t>
        </is>
      </c>
      <c r="C17" s="5" t="inlineStr">
        <is>
          <t>~1,000x tokens vs a chat request (third-party researchers); multi-agent systems up to 15x (Anthropic estimate)</t>
        </is>
      </c>
      <c r="D17" s="5" t="inlineStr">
        <is>
          <t>2026</t>
        </is>
      </c>
      <c r="E17" s="5" t="inlineStr">
        <is>
          <t>Explains why agentic offerings dominate token demand</t>
        </is>
      </c>
      <c r="F17" s="5" t="inlineStr">
        <is>
          <t>23</t>
        </is>
      </c>
    </row>
    <row r="18">
      <c r="A18" s="5" t="inlineStr">
        <is>
          <t>Claude Code</t>
        </is>
      </c>
      <c r="B18" s="5" t="inlineStr">
        <is>
          <t>Output footprint</t>
        </is>
      </c>
      <c r="C18" s="5" t="inlineStr">
        <is>
          <t>~4% of all global public GitHub commits (SemiAnalysis); projected 20%+ of daily commits by end-2026</t>
        </is>
      </c>
      <c r="D18" s="5" t="inlineStr">
        <is>
          <t>Feb 2026</t>
        </is>
      </c>
      <c r="E18" s="5" t="inlineStr">
        <is>
          <t>Average developer ~20 hrs/week in tool</t>
        </is>
      </c>
      <c r="F18" s="5" t="inlineStr">
        <is>
          <t>4 (via orbilontech), 5</t>
        </is>
      </c>
    </row>
  </sheetData>
  <autoFilter ref="A1:F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70" customWidth="1" min="3" max="3"/>
    <col width="80" customWidth="1" min="4" max="4"/>
  </cols>
  <sheetData>
    <row r="1">
      <c r="A1" s="4" t="inlineStr">
        <is>
          <t>#</t>
        </is>
      </c>
      <c r="B1" s="4" t="inlineStr">
        <is>
          <t>Publisher</t>
        </is>
      </c>
      <c r="C1" s="4" t="inlineStr">
        <is>
          <t>Title / description</t>
        </is>
      </c>
      <c r="D1" s="4" t="inlineStr">
        <is>
          <t>URL</t>
        </is>
      </c>
    </row>
    <row r="2">
      <c r="A2" s="5" t="n">
        <v>1</v>
      </c>
      <c r="B2" s="5" t="inlineStr">
        <is>
          <t>Axis Intelligence</t>
        </is>
      </c>
      <c r="C2" s="5" t="inlineStr">
        <is>
          <t>Cursor AI Statistics 2026: Revenue, Users, Valuation &amp; Market Data</t>
        </is>
      </c>
      <c r="D2" s="16" t="inlineStr">
        <is>
          <t>https://axis-intelligence.com/cursor-ai-statistics/</t>
        </is>
      </c>
    </row>
    <row r="3">
      <c r="A3" s="5" t="n">
        <v>2</v>
      </c>
      <c r="B3" s="5" t="inlineStr">
        <is>
          <t>Value Add VC</t>
        </is>
      </c>
      <c r="C3" s="5" t="inlineStr">
        <is>
          <t>How Does Cursor Make Money: Subscriptions, Token Pricing, Business Model</t>
        </is>
      </c>
      <c r="D3" s="16" t="inlineStr">
        <is>
          <t>https://valueaddvc.com/blog/how-does-cursor-make-money-subscriptions-token-pricing-and-the-business-model-breakdown</t>
        </is>
      </c>
    </row>
    <row r="4">
      <c r="A4" s="5" t="n">
        <v>3</v>
      </c>
      <c r="B4" s="5" t="inlineStr">
        <is>
          <t>TickerTrends</t>
        </is>
      </c>
      <c r="C4" s="5" t="inlineStr">
        <is>
          <t>Claude Code Reaches $15.1B in Tracked ARR as Codex Climbs to $8.8B (Aug 10, 2026)</t>
        </is>
      </c>
      <c r="D4" s="16" t="inlineStr">
        <is>
          <t>https://blog.tickertrends.io/p/claude-code-vs-openai-codex-arr</t>
        </is>
      </c>
    </row>
    <row r="5">
      <c r="A5" s="5" t="n">
        <v>4</v>
      </c>
      <c r="B5" s="5" t="inlineStr">
        <is>
          <t>Enterprise DNA</t>
        </is>
      </c>
      <c r="C5" s="5" t="inlineStr">
        <is>
          <t>Claude Code Hits $2.5B ARR in Just 13 Months (Feb 2026 Series G disclosure)</t>
        </is>
      </c>
      <c r="D5" s="16" t="inlineStr">
        <is>
          <t>https://enterprisedna.co/resources/news/claude-code-25-billion-arr-anthropic-2026/</t>
        </is>
      </c>
    </row>
    <row r="6">
      <c r="A6" s="5" t="n">
        <v>5</v>
      </c>
      <c r="B6" s="5" t="inlineStr">
        <is>
          <t>FourWeekMBA</t>
        </is>
      </c>
      <c r="C6" s="5" t="inlineStr">
        <is>
          <t>Claude Code Scaled from $1B to $8B Annualized Run-Rate in Six Months (Sacra data)</t>
        </is>
      </c>
      <c r="D6" s="16" t="inlineStr">
        <is>
          <t>https://fourweekmba.com/ai-claude-code-run-rate-agentic-layer/</t>
        </is>
      </c>
    </row>
    <row r="7">
      <c r="A7" s="5" t="n">
        <v>6</v>
      </c>
      <c r="B7" s="5" t="inlineStr">
        <is>
          <t>Forkast / Bloomberg</t>
        </is>
      </c>
      <c r="C7" s="5" t="inlineStr">
        <is>
          <t>Anthropic Q2 2026 Revenue ($11.5B) Overtook OpenAI; $65B run-rate end of July 2026</t>
        </is>
      </c>
      <c r="D7" s="16" t="inlineStr">
        <is>
          <t>https://forkast.news/anthropics-q2-revenue-overtook-openai-for-the-first-time-and-reached-its-first-positive-operating-income/</t>
        </is>
      </c>
    </row>
    <row r="8">
      <c r="A8" s="5" t="n">
        <v>7</v>
      </c>
      <c r="B8" s="5" t="inlineStr">
        <is>
          <t>Axis Intelligence</t>
        </is>
      </c>
      <c r="C8" s="5" t="inlineStr">
        <is>
          <t>GitHub Copilot Statistics 2026: Users, Revenue, Market Share</t>
        </is>
      </c>
      <c r="D8" s="16" t="inlineStr">
        <is>
          <t>https://axis-intelligence.com/github-copilot-statistics/</t>
        </is>
      </c>
    </row>
    <row r="9">
      <c r="A9" s="5" t="n">
        <v>8</v>
      </c>
      <c r="B9" s="5" t="inlineStr">
        <is>
          <t>Value Add VC</t>
        </is>
      </c>
      <c r="C9" s="5" t="inlineStr">
        <is>
          <t>How Does Cognition Make Money: Devin Pricing, Windsurf, and $492M ARR</t>
        </is>
      </c>
      <c r="D9" s="16" t="inlineStr">
        <is>
          <t>https://valueaddvc.com/blog/how-does-cognition-make-money-devin-pricing-windsurf-enterprise-and-the-492m-arr-breakdown</t>
        </is>
      </c>
    </row>
    <row r="10">
      <c r="A10" s="5" t="n">
        <v>9</v>
      </c>
      <c r="B10" s="5" t="inlineStr">
        <is>
          <t>Sacra</t>
        </is>
      </c>
      <c r="C10" s="5" t="inlineStr">
        <is>
          <t>Sierra revenue, valuation &amp; funding ($200M ARR May 2026)</t>
        </is>
      </c>
      <c r="D10" s="16" t="inlineStr">
        <is>
          <t>https://sacra.com/c/sierra/</t>
        </is>
      </c>
    </row>
    <row r="11">
      <c r="A11" s="5" t="n">
        <v>10</v>
      </c>
      <c r="B11" s="5" t="inlineStr">
        <is>
          <t>Value Add VC</t>
        </is>
      </c>
      <c r="C11" s="5" t="inlineStr">
        <is>
          <t>How Does Sierra AI Make Money: Outcome-Based Pricing ($15.8B valuation)</t>
        </is>
      </c>
      <c r="D11" s="16" t="inlineStr">
        <is>
          <t>https://valueaddvc.com/blog/how-does-sierra-ai-make-money-outcome-based-pricing-enterprise-agents-and-the-business-model-breakdown</t>
        </is>
      </c>
    </row>
    <row r="12">
      <c r="A12" s="5" t="n">
        <v>11</v>
      </c>
      <c r="B12" s="5" t="inlineStr">
        <is>
          <t>AgentMarketCap</t>
        </is>
      </c>
      <c r="C12" s="5" t="inlineStr">
        <is>
          <t>Vertical Agent Revenue Ranked (Apr 2026): Harvey, Agentforce, Sierra, Genspark</t>
        </is>
      </c>
      <c r="D12" s="16" t="inlineStr">
        <is>
          <t>https://agentmarketcap.ai/blog/2026/04/05/vertical-agent-revenue-ranked-harvey-salesforce-iqvia-domain-specific-agents</t>
        </is>
      </c>
    </row>
    <row r="13">
      <c r="A13" s="5" t="n">
        <v>12</v>
      </c>
      <c r="B13" s="5" t="inlineStr">
        <is>
          <t>AgentMarketCap</t>
        </is>
      </c>
      <c r="C13" s="5" t="inlineStr">
        <is>
          <t>The Verticalization Premium: Harvey and Sierra valuation multiples (Apr 2026)</t>
        </is>
      </c>
      <c r="D13" s="16" t="inlineStr">
        <is>
          <t>https://agentmarketcap.ai/blog/2026/04/07/vertical-vs-horizontal-ai-agent-valuations-2026</t>
        </is>
      </c>
    </row>
    <row r="14">
      <c r="A14" s="5" t="n">
        <v>13</v>
      </c>
      <c r="B14" s="5" t="inlineStr">
        <is>
          <t>Sacra</t>
        </is>
      </c>
      <c r="C14" s="5" t="inlineStr">
        <is>
          <t>Abridge revenue, valuation &amp; funding ($100M ARR May 2025)</t>
        </is>
      </c>
      <c r="D14" s="16" t="inlineStr">
        <is>
          <t>https://sacra.com/c/abridge/</t>
        </is>
      </c>
    </row>
    <row r="15">
      <c r="A15" s="5" t="n">
        <v>14</v>
      </c>
      <c r="B15" s="5" t="inlineStr">
        <is>
          <t>ARR Club</t>
        </is>
      </c>
      <c r="C15" s="5" t="inlineStr">
        <is>
          <t>OpenEvidence ARR, Revenue Growth &amp; Milestones ($300M ARR Jul 2026)</t>
        </is>
      </c>
      <c r="D15" s="16" t="inlineStr">
        <is>
          <t>https://www.arr.club/openevidence</t>
        </is>
      </c>
    </row>
    <row r="16">
      <c r="A16" s="5" t="n">
        <v>15</v>
      </c>
      <c r="B16" s="5" t="inlineStr">
        <is>
          <t>Information Matters</t>
        </is>
      </c>
      <c r="C16" s="5" t="inlineStr">
        <is>
          <t>Agentic AI in Healthcare 2026 (sector sizing $4.3-7.1B; central ~$5.5B)</t>
        </is>
      </c>
      <c r="D16" s="16" t="inlineStr">
        <is>
          <t>https://informationmatters.net/wp-content/uploads/2026/05/agentic-ai-healthcare-2026-v13.pdf</t>
        </is>
      </c>
    </row>
    <row r="17">
      <c r="A17" s="5" t="n">
        <v>16</v>
      </c>
      <c r="B17" s="5" t="inlineStr">
        <is>
          <t>Value Add VC</t>
        </is>
      </c>
      <c r="C17" s="5" t="inlineStr">
        <is>
          <t>Best AI Tools for Healthcare in 2026 (Abridge, Hippocratic, Ambience pricing)</t>
        </is>
      </c>
      <c r="D17" s="16" t="inlineStr">
        <is>
          <t>https://valueaddvc.com/blog/best-ai-tools-for-healthcare-in-2026-options-ranked-by-pricing-and-compliance</t>
        </is>
      </c>
    </row>
    <row r="18">
      <c r="A18" s="5" t="n">
        <v>17</v>
      </c>
      <c r="B18" s="5" t="inlineStr">
        <is>
          <t>CX Today</t>
        </is>
      </c>
      <c r="C18" s="5" t="inlineStr">
        <is>
          <t>Agentforce Crosses $1B ARR; 28.6T tokens processed in Q1 FY2027</t>
        </is>
      </c>
      <c r="D18" s="16" t="inlineStr">
        <is>
          <t>https://www.cxtoday.com/contact-center/agentforce-hits-1-billion-arr-ai-agents-customer-service/</t>
        </is>
      </c>
    </row>
    <row r="19">
      <c r="A19" s="5" t="n">
        <v>18</v>
      </c>
      <c r="B19" s="5" t="inlineStr">
        <is>
          <t>Customer Experience Magazine</t>
        </is>
      </c>
      <c r="C19" s="5" t="inlineStr">
        <is>
          <t>Salesforce Q1 FY2027: Agentforce ARR $1.2B, +205% YoY</t>
        </is>
      </c>
      <c r="D19" s="16" t="inlineStr">
        <is>
          <t>https://cxm.world/customer-experience/salesforces-ai-agents-now-handle-double-the-volume-of-its-human-ones/</t>
        </is>
      </c>
    </row>
    <row r="20">
      <c r="A20" s="5" t="n">
        <v>19</v>
      </c>
      <c r="B20" s="5" t="inlineStr">
        <is>
          <t>TURION.AI</t>
        </is>
      </c>
      <c r="C20" s="5" t="inlineStr">
        <is>
          <t>Enterprise Agent Platforms: Salesforce vs ServiceNow vs Microsoft (June 2026 pricing)</t>
        </is>
      </c>
      <c r="D20" s="16" t="inlineStr">
        <is>
          <t>https://turion.ai/blog/enterprise-agent-platforms-comparison-june-2026/</t>
        </is>
      </c>
    </row>
    <row r="21">
      <c r="A21" s="5" t="n">
        <v>20</v>
      </c>
      <c r="B21" s="5" t="inlineStr">
        <is>
          <t>AgentMarketCap</t>
        </is>
      </c>
      <c r="C21" s="5" t="inlineStr">
        <is>
          <t>Salesforce Agentforce vs Microsoft Copilot: Enterprise Agent Platform War (Apr 2026)</t>
        </is>
      </c>
      <c r="D21" s="16" t="inlineStr">
        <is>
          <t>https://agentmarketcap.ai/blog/2026/04/13/salesforce-agentforce-vs-microsoft-copilot-enterprise-agent-platform-war-2026</t>
        </is>
      </c>
    </row>
    <row r="22">
      <c r="A22" s="5" t="n">
        <v>21</v>
      </c>
      <c r="B22" s="5" t="inlineStr">
        <is>
          <t>ChatForest</t>
        </is>
      </c>
      <c r="C22" s="5" t="inlineStr">
        <is>
          <t>Google Is Processing 3.2 Quadrillion Tokens a Month (I/O 2026)</t>
        </is>
      </c>
      <c r="D22" s="16" t="inlineStr">
        <is>
          <t>https://chatforest.com/builders-log/google-3-2-quadrillion-tokens-ai-scale-economics/</t>
        </is>
      </c>
    </row>
    <row r="23">
      <c r="A23" s="5" t="n">
        <v>22</v>
      </c>
      <c r="B23" s="5" t="inlineStr">
        <is>
          <t>Trending Topics</t>
        </is>
      </c>
      <c r="C23" s="5" t="inlineStr">
        <is>
          <t>Open-Weight Models from China Are Capturing a Growing Share of AI Usage (router token volumes)</t>
        </is>
      </c>
      <c r="D23" s="16" t="inlineStr">
        <is>
          <t>https://www.trendingtopics.eu/open-weight-models-from-china-are-capturing-a-growing-share-of-ai-usage/</t>
        </is>
      </c>
    </row>
    <row r="24">
      <c r="A24" s="5" t="n">
        <v>23</v>
      </c>
      <c r="B24" s="5" t="inlineStr">
        <is>
          <t>Beth Kindig / I/O Fund</t>
        </is>
      </c>
      <c r="C24" s="5" t="inlineStr">
        <is>
          <t>AI Token Demand Is Shattering Forecasts (~370T tokens/day industry-wide)</t>
        </is>
      </c>
      <c r="D24" s="16" t="inlineStr">
        <is>
          <t>https://beth-kindig.medium.com/ai-token-demand-is-shattering-forecasts-ec8831df6c99</t>
        </is>
      </c>
    </row>
    <row r="25">
      <c r="A25" s="5" t="n">
        <v>24</v>
      </c>
      <c r="B25" s="5" t="inlineStr">
        <is>
          <t>Vercel</t>
        </is>
      </c>
      <c r="C25" s="5" t="inlineStr">
        <is>
          <t>DeepSeek Overtakes Google on Volume; Cost per Token Falls (AI Gateway, July 2026)</t>
        </is>
      </c>
      <c r="D25" s="16" t="inlineStr">
        <is>
          <t>https://vercel.com/blog/deepseek-overtakes-google-on-volume-cost-per-token-falls</t>
        </is>
      </c>
    </row>
    <row r="26">
      <c r="A26" s="5" t="n">
        <v>25</v>
      </c>
      <c r="B26" s="5" t="inlineStr">
        <is>
          <t>OpenRouter</t>
        </is>
      </c>
      <c r="C26" s="5" t="inlineStr">
        <is>
          <t>DeepSeek V4 Is Earning Agentic Token Share (agentic ~15x tokens per request)</t>
        </is>
      </c>
      <c r="D26" s="16" t="inlineStr">
        <is>
          <t>https://openrouter.ai/blog/insights/deepseek-v4-adoption/</t>
        </is>
      </c>
    </row>
    <row r="27">
      <c r="A27" s="5" t="n">
        <v>26</v>
      </c>
      <c r="B27" s="5" t="inlineStr">
        <is>
          <t>OpenRouter</t>
        </is>
      </c>
      <c r="C27" s="5" t="inlineStr">
        <is>
          <t>State of AI 2025: 100T Token LLM Usage Study</t>
        </is>
      </c>
      <c r="D27" s="16" t="inlineStr">
        <is>
          <t>https://openrouter.ai/state-of-ai</t>
        </is>
      </c>
    </row>
    <row r="28">
      <c r="A28" s="5" t="n">
        <v>27</v>
      </c>
      <c r="B28" s="5" t="inlineStr">
        <is>
          <t>OpenRouter</t>
        </is>
      </c>
      <c r="C28" s="5" t="inlineStr">
        <is>
          <t>App &amp; Agent Rankings (token volume by app)</t>
        </is>
      </c>
      <c r="D28" s="16" t="inlineStr">
        <is>
          <t>https://openrouter.ai/apps</t>
        </is>
      </c>
    </row>
    <row r="29">
      <c r="A29" s="5" t="n">
        <v>28</v>
      </c>
      <c r="B29" s="5" t="inlineStr">
        <is>
          <t>Fabryka</t>
        </is>
      </c>
      <c r="C29" s="5" t="inlineStr">
        <is>
          <t>OpenRouter Apps - Demand Research (app-level token share)</t>
        </is>
      </c>
      <c r="D29" s="16" t="inlineStr">
        <is>
          <t>https://ort.fabryka.ai/apps.html</t>
        </is>
      </c>
    </row>
    <row r="30">
      <c r="A30" s="5" t="n">
        <v>29</v>
      </c>
      <c r="B30" s="5" t="inlineStr">
        <is>
          <t>Bloomberg</t>
        </is>
      </c>
      <c r="C30" s="5" t="inlineStr">
        <is>
          <t>OpenAI's Revenue Run Rate Tops $40 Billion Ahead of IPO (Aug 13, 2026)</t>
        </is>
      </c>
      <c r="D30" s="16" t="inlineStr">
        <is>
          <t>https://www.bloomberg.com/news/articles/2026-08-13/openai-s-revenue-run-rate-tops-40-billion-ahead-of-ipo</t>
        </is>
      </c>
    </row>
    <row r="31">
      <c r="A31" s="5" t="n">
        <v>30</v>
      </c>
      <c r="B31" s="5" t="inlineStr">
        <is>
          <t>Sacra</t>
        </is>
      </c>
      <c r="C31" s="5" t="inlineStr">
        <is>
          <t>OpenAI revenue, valuation &amp; funding ($40B annualized July 2026)</t>
        </is>
      </c>
      <c r="D31" s="16" t="inlineStr">
        <is>
          <t>https://sacra.com/c/openai/</t>
        </is>
      </c>
    </row>
    <row r="32">
      <c r="A32" s="5" t="n">
        <v>31</v>
      </c>
      <c r="B32" s="5" t="inlineStr">
        <is>
          <t>CNBC</t>
        </is>
      </c>
      <c r="C32" s="5" t="inlineStr">
        <is>
          <t>OpenAI CFO Friar: enterprise now majority of revenue (Aug 14, 2026)</t>
        </is>
      </c>
      <c r="D32" s="16" t="inlineStr">
        <is>
          <t>https://www.cnbc.com/2026/08/14/openai-cfo-friar-tells-investors-that-enterprise-bigger-than-consumer.html</t>
        </is>
      </c>
    </row>
    <row r="33">
      <c r="A33" s="5" t="n">
        <v>32</v>
      </c>
      <c r="B33" s="5" t="inlineStr">
        <is>
          <t>Karsane</t>
        </is>
      </c>
      <c r="C33" s="5" t="inlineStr">
        <is>
          <t>OpenAI Says Agents Top 40% of Enterprise Revenue (~$25B annualized, Feb 2026)</t>
        </is>
      </c>
      <c r="D33" s="16" t="inlineStr">
        <is>
          <t>https://karsane.com/article/openai-commercial-expansion-agents-40-percent-revenue</t>
        </is>
      </c>
    </row>
    <row r="34">
      <c r="A34" s="5" t="n">
        <v>33</v>
      </c>
      <c r="B34" s="5" t="inlineStr">
        <is>
          <t>Contrary Research</t>
        </is>
      </c>
      <c r="C34" s="5" t="inlineStr">
        <is>
          <t>Rogo Business Breakdown ($2M 2024 -&gt; $15M+ 2025; 50%+ QoQ growth mid-2026)</t>
        </is>
      </c>
      <c r="D34" s="16" t="inlineStr">
        <is>
          <t>https://research.contrary.com/company/rogo</t>
        </is>
      </c>
    </row>
    <row r="35">
      <c r="A35" s="5" t="n">
        <v>34</v>
      </c>
      <c r="B35" s="5" t="inlineStr">
        <is>
          <t>THE DAILY BRIEF (beri.net)</t>
        </is>
      </c>
      <c r="C35" s="5" t="inlineStr">
        <is>
          <t>Rogo's $160M Series D at ~$2B; Hebbia and AlphaSense comparables (Apr 2026)</t>
        </is>
      </c>
      <c r="D35" s="16" t="inlineStr">
        <is>
          <t>https://www.beri.net/article/rogo-160m-series-d-investment-banking-ai-agents-2026</t>
        </is>
      </c>
    </row>
    <row r="36">
      <c r="A36" s="5" t="n">
        <v>35</v>
      </c>
      <c r="B36" s="5" t="inlineStr">
        <is>
          <t>TechCrunch</t>
        </is>
      </c>
      <c r="C36" s="5" t="inlineStr">
        <is>
          <t>Glean's top line crosses $300M ARR (May 28, 2026)</t>
        </is>
      </c>
      <c r="D36" s="16" t="inlineStr">
        <is>
          <t>https://techcrunch.com/2026/05/28/gleans-top-line-crosses-300m-as-ai-budget-cutting-becomes-its-major-selling-point/</t>
        </is>
      </c>
    </row>
    <row r="37">
      <c r="A37" s="5" t="n">
        <v>36</v>
      </c>
      <c r="B37" s="5" t="inlineStr">
        <is>
          <t>Microsoft</t>
        </is>
      </c>
      <c r="C37" s="5" t="inlineStr">
        <is>
          <t>FY2026 Q4 Earnings Call (30M+ M365 Copilot seats; Foundry token run-rates; GitHub Copilot)</t>
        </is>
      </c>
      <c r="D37" s="16" t="inlineStr">
        <is>
          <t>https://www.microsoft.com/en-us/investor/events/fy-2026/earnings-fy-2026-q4</t>
        </is>
      </c>
    </row>
    <row r="38">
      <c r="A38" s="5" t="n">
        <v>37</v>
      </c>
      <c r="B38" s="5" t="inlineStr">
        <is>
          <t>LicenseQ</t>
        </is>
      </c>
      <c r="C38" s="5" t="inlineStr">
        <is>
          <t>Microsoft FY26 Q4 Results Explained (Copilot seats, Agent 365, Foundry)</t>
        </is>
      </c>
      <c r="D38" s="16" t="inlineStr">
        <is>
          <t>https://licenseq.com/microsoft-fy26-q4-results-explained/</t>
        </is>
      </c>
    </row>
    <row r="39">
      <c r="A39" s="5" t="n">
        <v>38</v>
      </c>
      <c r="B39" s="5" t="inlineStr">
        <is>
          <t>Presenc AI</t>
        </is>
      </c>
      <c r="C39" s="5" t="inlineStr">
        <is>
          <t>Medical AI Tools Landscape 2026 (ambient scribes ~$600M 2025 revenue)</t>
        </is>
      </c>
      <c r="D39" s="16" t="inlineStr">
        <is>
          <t>https://presenc.ai/research/medical-ai-tools-landscape-2026</t>
        </is>
      </c>
    </row>
    <row r="40">
      <c r="A40" s="5" t="n">
        <v>39</v>
      </c>
      <c r="B40" s="5" t="inlineStr">
        <is>
          <t>AI Funding Tracker</t>
        </is>
      </c>
      <c r="C40" s="5" t="inlineStr">
        <is>
          <t>Top AI Agent Startups 2026 (Funding &amp; Valuation)</t>
        </is>
      </c>
      <c r="D40" s="16" t="inlineStr">
        <is>
          <t>https://aifundingtracker.com/top-ai-agent-startups/</t>
        </is>
      </c>
    </row>
    <row r="41">
      <c r="A41" s="5" t="n">
        <v>40</v>
      </c>
      <c r="B41" s="5" t="inlineStr">
        <is>
          <t>THE DAILY BRIEF (beri.net)</t>
        </is>
      </c>
      <c r="C41" s="5" t="inlineStr">
        <is>
          <t>Why SpaceX Paid $60B for Cursor: $4B ARR (June 2026)</t>
        </is>
      </c>
      <c r="D41" s="16" t="inlineStr">
        <is>
          <t>https://www.beri.net/article/spacex-cursor-60b-acquisition-2026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2026-08-23T11:25:31Z</dcterms:created>
  <dcterms:modified xsi:type="dcterms:W3CDTF">2026-08-23T11:25:31Z</dcterms:modified>
</cp:coreProperties>
</file>