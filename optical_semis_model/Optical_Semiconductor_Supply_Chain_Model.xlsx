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Universe" sheetId="2" state="visible" r:id="rId2"/>
    <sheet name="Supply Chain Map" sheetId="3" state="visible" r:id="rId3"/>
    <sheet name="Market Model" sheetId="4" state="visible" r:id="rId4"/>
    <sheet name="Comps" sheetId="5" state="visible" r:id="rId5"/>
    <sheet name="Company Exposure" sheetId="6" state="visible" r:id="rId6"/>
    <sheet name="Thematic Scores" sheetId="7" state="visible" r:id="rId7"/>
    <sheet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$#,##0"/>
    <numFmt numFmtId="167" formatCode="0.0&quot;x&quot;"/>
    <numFmt numFmtId="168" formatCode="0.0"/>
  </numFmts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1"/>
    </font>
    <font>
      <sz val="10"/>
    </font>
    <font>
      <b val="1"/>
      <color rgb="00FFFFFF"/>
      <sz val="10"/>
    </font>
    <font>
      <b val="1"/>
      <sz val="10"/>
    </font>
    <font>
      <b val="1"/>
      <color rgb="000070C0"/>
      <sz val="10"/>
    </font>
    <font>
      <b val="1"/>
      <color rgb="001F3864"/>
      <sz val="10"/>
    </font>
    <font>
      <color rgb="000070C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7" fillId="0" borderId="1" pivotButton="0" quotePrefix="0" xfId="0"/>
    <xf numFmtId="0" fontId="2" fillId="0" borderId="0" applyAlignment="1" pivotButton="0" quotePrefix="0" xfId="0">
      <alignment vertical="top" wrapText="1"/>
    </xf>
    <xf numFmtId="0" fontId="8" fillId="3" borderId="1" pivotButton="0" quotePrefix="0" xfId="0"/>
    <xf numFmtId="0" fontId="4" fillId="3" borderId="1" pivotButton="0" quotePrefix="0" xfId="0"/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9" fontId="9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2" fontId="4" fillId="0" borderId="1" pivotButton="0" quotePrefix="0" xfId="0"/>
    <xf numFmtId="0" fontId="4" fillId="5" borderId="1" pivotButton="0" quotePrefix="0" xfId="0"/>
    <xf numFmtId="0" fontId="6" fillId="5" borderId="1" pivotButton="0" quotePrefix="0" xfId="0"/>
    <xf numFmtId="165" fontId="6" fillId="5" borderId="1" pivotButton="0" quotePrefix="0" xfId="0"/>
    <xf numFmtId="167" fontId="6" fillId="5" borderId="1" pivotButton="0" quotePrefix="0" xfId="0"/>
    <xf numFmtId="0" fontId="4" fillId="4" borderId="1" pivotButton="0" quotePrefix="0" xfId="0"/>
    <xf numFmtId="0" fontId="6" fillId="4" borderId="1" pivotButton="0" quotePrefix="0" xfId="0"/>
    <xf numFmtId="165" fontId="6" fillId="4" borderId="1" pivotButton="0" quotePrefix="0" xfId="0"/>
    <xf numFmtId="167" fontId="6" fillId="4" borderId="1" pivotButton="0" quotePrefix="0" xfId="0"/>
    <xf numFmtId="0" fontId="6" fillId="0" borderId="0" pivotButton="0" quotePrefix="0" xfId="0"/>
    <xf numFmtId="168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3" fontId="6" fillId="0" borderId="1" pivotButton="0" quotePrefix="0" xfId="0"/>
    <xf numFmtId="167" fontId="6" fillId="0" borderId="1" pivotButton="0" quotePrefix="0" xfId="0"/>
    <xf numFmtId="0" fontId="6" fillId="0" borderId="0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Optical Names x Semiconductor Supply Chain - Equity Model</t>
        </is>
      </c>
    </row>
    <row r="2">
      <c r="A2" s="2" t="inlineStr">
        <is>
          <t>30-company universe, live comps, driver-based TAM model, exposure &amp; thematic scoring   |   Market data as of 2026-07-30 (Yahoo Finance)</t>
        </is>
      </c>
    </row>
    <row r="4">
      <c r="A4" s="3" t="inlineStr">
        <is>
          <t>PURPOSE</t>
        </is>
      </c>
    </row>
    <row r="5" ht="60" customHeight="1">
      <c r="A5" s="4" t="inlineStr"/>
      <c r="B5" s="5" t="inlineStr">
        <is>
          <t>Maps the listed optics/photonics ecosystem to the semiconductor supply chain along two axes: (1) optics that move data BETWEEN semiconductors - AI/datacenter transceivers, optical DSPs, CPO - and (2) optics that MAKE semiconductors - lithography light/optics, mask blanks, optical inspection &amp; metrology. Includes a driver-based market model (accelerator units x attach x speed mix x ASP), live comps, per-company revenue-exposure scenarios to 2028E, thematic scoring and sensitivities.</t>
        </is>
      </c>
    </row>
    <row r="7">
      <c r="A7" s="3" t="inlineStr">
        <is>
          <t>TAB GUIDE</t>
        </is>
      </c>
    </row>
    <row r="8">
      <c r="A8" s="6" t="inlineStr">
        <is>
          <t>Tab</t>
        </is>
      </c>
      <c r="B8" s="6" t="inlineStr">
        <is>
          <t>What it contains</t>
        </is>
      </c>
    </row>
    <row r="9" ht="30" customHeight="1">
      <c r="A9" s="7" t="inlineStr">
        <is>
          <t>Universe</t>
        </is>
      </c>
      <c r="B9" s="8" t="inlineStr">
        <is>
          <t>30 names in 6 segments: who they are, role in the semi chain, key products/customers, one-line thesis.</t>
        </is>
      </c>
    </row>
    <row r="10" ht="30" customHeight="1">
      <c r="A10" s="7" t="inlineStr">
        <is>
          <t>Supply Chain Map</t>
        </is>
      </c>
      <c r="B10" s="8" t="inlineStr">
        <is>
          <t>Stage-by-stage value chain - AI datacenter interconnect chain, fab-equipment optics chain, cross-cutting enablers - with universe tickers and key private players per stage.</t>
        </is>
      </c>
    </row>
    <row r="11" ht="30" customHeight="1">
      <c r="A11" s="7" t="inlineStr">
        <is>
          <t>Market Model</t>
        </is>
      </c>
      <c r="B11" s="8" t="inlineStr">
        <is>
          <t>2023A-2028E driver model: AI accelerator units x optics attach x speed mix (400G/800G/1.6T) x ASPs -&gt; datacom optics TAM; CPO displacement; telecom optics; WFE-derived litho &amp; inspection optics TAM. Blue cells are yours to flex.</t>
        </is>
      </c>
    </row>
    <row r="12" ht="30" customHeight="1">
      <c r="A12" s="7" t="inlineStr">
        <is>
          <t>Comps</t>
        </is>
      </c>
      <c r="B12" s="8" t="inlineStr">
        <is>
          <t>Live valuation/financial comps in USD with segment medians: growth, margins, EV/S, EV/EBITDA, P/E, FCF yield, 1-yr return.</t>
        </is>
      </c>
    </row>
    <row r="13" ht="30" customHeight="1">
      <c r="A13" s="7" t="inlineStr">
        <is>
          <t>Company Exposure</t>
        </is>
      </c>
      <c r="B13" s="8" t="inlineStr">
        <is>
          <t>Estimated revenue split (AI/datacom, fab-optics, telecom, other) per name; grows each bucket at Market Model CAGRs (+/- share shift) to a 2028E revenue scenario; implied CAGR and EV/2028E sales.</t>
        </is>
      </c>
    </row>
    <row r="14" ht="30" customHeight="1">
      <c r="A14" s="7" t="inlineStr">
        <is>
          <t>Thematic Scores</t>
        </is>
      </c>
      <c r="B14" s="8" t="inlineStr">
        <is>
          <t>0-5 scores across 8 themes, weighted composite (weights adjustable) and rank.</t>
        </is>
      </c>
    </row>
    <row r="15" ht="30" customHeight="1">
      <c r="A15" s="7" t="inlineStr">
        <is>
          <t>Sensitivity</t>
        </is>
      </c>
      <c r="B15" s="8" t="inlineStr">
        <is>
          <t>2028E datacom optics market grids: attach ratio x 1.6T ASP, and accelerator units x 1.6T mix.</t>
        </is>
      </c>
    </row>
    <row r="17">
      <c r="A17" s="3" t="inlineStr">
        <is>
          <t>CONVENTIONS</t>
        </is>
      </c>
    </row>
    <row r="18">
      <c r="A18" s="9" t="inlineStr">
        <is>
          <t>Blue font</t>
        </is>
      </c>
      <c r="B18" s="8" t="inlineStr">
        <is>
          <t>Input / assumption - flex these; everything downstream recalculates.</t>
        </is>
      </c>
    </row>
    <row r="19">
      <c r="A19" s="7" t="inlineStr">
        <is>
          <t>Black font</t>
        </is>
      </c>
      <c r="B19" s="8" t="inlineStr">
        <is>
          <t>Formula or hard market data (pulled from Yahoo Finance).</t>
        </is>
      </c>
    </row>
    <row r="20">
      <c r="A20" s="7" t="inlineStr">
        <is>
          <t>$ figures</t>
        </is>
      </c>
      <c r="B20" s="8" t="inlineStr">
        <is>
          <t>USD millions unless marked $B; non-USD names converted at spot FX on the as-of date.</t>
        </is>
      </c>
    </row>
    <row r="21">
      <c r="A21" s="7" t="inlineStr">
        <is>
          <t>Exposure %s</t>
        </is>
      </c>
      <c r="B21" s="8" t="inlineStr">
        <is>
          <t>Analyst estimates of revenue mix - directional, not company-reported segment data.</t>
        </is>
      </c>
    </row>
    <row r="22">
      <c r="A22" s="7" t="inlineStr">
        <is>
          <t>NM / blank</t>
        </is>
      </c>
      <c r="B22" s="8" t="inlineStr">
        <is>
          <t>Not meaningful (negative denominator) or data unavailable.</t>
        </is>
      </c>
    </row>
    <row r="24">
      <c r="A24" s="3" t="inlineStr">
        <is>
          <t>DISCLAIMER</t>
        </is>
      </c>
    </row>
    <row r="25">
      <c r="B25" s="10" t="inlineStr">
        <is>
          <t>For research/educational use. Market data via Yahoo Finance and may contain errors; exposure estimates and forecasts are analyst assumptions, not investment advice. Verify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4B5"/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6" customWidth="1" min="4" max="4"/>
    <col width="34" customWidth="1" min="5" max="5"/>
    <col width="52" customWidth="1" min="6" max="6"/>
    <col width="44" customWidth="1" min="7" max="7"/>
    <col width="40" customWidth="1" min="8" max="8"/>
    <col width="52" customWidth="1" min="9" max="9"/>
  </cols>
  <sheetData>
    <row r="1">
      <c r="A1" s="6" t="inlineStr">
        <is>
          <t>Ticker</t>
        </is>
      </c>
      <c r="B1" s="6" t="inlineStr">
        <is>
          <t>Company</t>
        </is>
      </c>
      <c r="C1" s="6" t="inlineStr">
        <is>
          <t>Country</t>
        </is>
      </c>
      <c r="D1" s="6" t="inlineStr">
        <is>
          <t>Segment</t>
        </is>
      </c>
      <c r="E1" s="6" t="inlineStr">
        <is>
          <t>Sub-segment / niche</t>
        </is>
      </c>
      <c r="F1" s="6" t="inlineStr">
        <is>
          <t>Role in the semiconductor supply chain</t>
        </is>
      </c>
      <c r="G1" s="6" t="inlineStr">
        <is>
          <t>Key products</t>
        </is>
      </c>
      <c r="H1" s="6" t="inlineStr">
        <is>
          <t>Key customers / end markets</t>
        </is>
      </c>
      <c r="I1" s="6" t="inlineStr">
        <is>
          <t>Thesis in one line</t>
        </is>
      </c>
    </row>
    <row r="2">
      <c r="A2" s="11" t="inlineStr">
        <is>
          <t>Datacom Transceivers &amp; Optical Components</t>
        </is>
      </c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</row>
    <row r="3" ht="42" customHeight="1">
      <c r="A3" s="13" t="inlineStr">
        <is>
          <t>COHR</t>
        </is>
      </c>
      <c r="B3" s="13" t="inlineStr">
        <is>
          <t>Coherent Corp.</t>
        </is>
      </c>
      <c r="C3" s="8" t="inlineStr">
        <is>
          <t>US</t>
        </is>
      </c>
      <c r="D3" s="8" t="inlineStr">
        <is>
          <t>Transceivers</t>
        </is>
      </c>
      <c r="E3" s="8" t="inlineStr">
        <is>
          <t>Vertically integrated photonics (InP lasers -&gt; transceivers)</t>
        </is>
      </c>
      <c r="F3" s="8" t="inlineStr">
        <is>
          <t>Makes 800G/1.6T datacom transceivers, EML/CW lasers for SiPh, and optics/lasers used in semi cap equipment; also SiC materials.</t>
        </is>
      </c>
      <c r="G3" s="8" t="inlineStr">
        <is>
          <t>800G/1.6T transceivers, EML &amp; CW lasers, VCSELs, optical circuit switches, fab lasers</t>
        </is>
      </c>
      <c r="H3" s="8" t="inlineStr">
        <is>
          <t>Nvidia ecosystem, hyperscalers (MSFT/META/GOOG/AWS), telecom OEMs, semi cap OEMs</t>
        </is>
      </c>
      <c r="I3" s="8" t="inlineStr">
        <is>
          <t>One of two western vertically-integrated AI optics plays; indium-phosphide capacity is the scarce asset.</t>
        </is>
      </c>
    </row>
    <row r="4" ht="42" customHeight="1">
      <c r="A4" s="13" t="inlineStr">
        <is>
          <t>LITE</t>
        </is>
      </c>
      <c r="B4" s="13" t="inlineStr">
        <is>
          <t>Lumentum Holdings</t>
        </is>
      </c>
      <c r="C4" s="8" t="inlineStr">
        <is>
          <t>US</t>
        </is>
      </c>
      <c r="D4" s="8" t="inlineStr">
        <is>
          <t>Transceivers</t>
        </is>
      </c>
      <c r="E4" s="8" t="inlineStr">
        <is>
          <t>Lasers &amp; photonics; datacom components -&gt; modules pivot</t>
        </is>
      </c>
      <c r="F4" s="8" t="inlineStr">
        <is>
          <t>EMLs and CW lasers that power 800G+/1.6T modules (incl. merchant sales to Chinese module makers); expanding own module + CPO laser sources.</t>
        </is>
      </c>
      <c r="G4" s="8" t="inlineStr">
        <is>
          <t>EML/CW/DFB lasers, 800G/1.6T modules, ROADMs/WSS, 3D-sensing VCSELs</t>
        </is>
      </c>
      <c r="H4" s="8" t="inlineStr">
        <is>
          <t>Chinese transceiver makers, hyperscalers, Ciena/telecom OEMs, Apple (3D sensing)</t>
        </is>
      </c>
      <c r="I4" s="8" t="inlineStr">
        <is>
          <t>Laser-chip bottleneck owner: sells picks-and-shovels to every 1.6T module vendor; external laser source play for CPO.</t>
        </is>
      </c>
    </row>
    <row r="5" ht="42" customHeight="1">
      <c r="A5" s="13" t="inlineStr">
        <is>
          <t>AAOI</t>
        </is>
      </c>
      <c r="B5" s="13" t="inlineStr">
        <is>
          <t>Applied Optoelectronics</t>
        </is>
      </c>
      <c r="C5" s="8" t="inlineStr">
        <is>
          <t>US</t>
        </is>
      </c>
      <c r="D5" s="8" t="inlineStr">
        <is>
          <t>Transceivers</t>
        </is>
      </c>
      <c r="E5" s="8" t="inlineStr">
        <is>
          <t>Datacenter transceivers (vertically integrated, US/TW/CN fabs)</t>
        </is>
      </c>
      <c r="F5" s="8" t="inlineStr">
        <is>
          <t>400G/800G transceivers to hyperscalers; 100G lasers; CATV amplifiers. Re-shoring US capacity narrative.</t>
        </is>
      </c>
      <c r="G5" s="8" t="inlineStr">
        <is>
          <t>400G/800G/1.6T transceivers, DFB/EML lasers, CATV/HFC gear</t>
        </is>
      </c>
      <c r="H5" s="8" t="inlineStr">
        <is>
          <t>Microsoft, Amazon (historical), CATV MSOs</t>
        </is>
      </c>
      <c r="I5" s="8" t="inlineStr">
        <is>
          <t>High-beta share-recovery story on 800G qualification at US hyperscalers; execution &amp; dilution risk.</t>
        </is>
      </c>
    </row>
    <row r="6" ht="42" customHeight="1">
      <c r="A6" s="13" t="inlineStr">
        <is>
          <t>FN</t>
        </is>
      </c>
      <c r="B6" s="13" t="inlineStr">
        <is>
          <t>Fabrinet</t>
        </is>
      </c>
      <c r="C6" s="8" t="inlineStr">
        <is>
          <t>Thailand</t>
        </is>
      </c>
      <c r="D6" s="8" t="inlineStr">
        <is>
          <t>Transceivers</t>
        </is>
      </c>
      <c r="E6" s="8" t="inlineStr">
        <is>
          <t>Precision optical EMS (manufactures others' optics)</t>
        </is>
      </c>
      <c r="F6" s="8" t="inlineStr">
        <is>
          <t>Contract manufacturer of optical transceivers/engines - notably Nvidia's 800G/1.6T OSFP modules and coherent modules for Ciena/others.</t>
        </is>
      </c>
      <c r="G6" s="8" t="inlineStr">
        <is>
          <t>Optical module assembly &amp; test, optical engines, sensors, automotive optics</t>
        </is>
      </c>
      <c r="H6" s="8" t="inlineStr">
        <is>
          <t>Nvidia (largest), Cisco/Acacia, Lumentum, Ciena, Infinera/Nokia</t>
        </is>
      </c>
      <c r="I6" s="8" t="inlineStr">
        <is>
          <t>Cleanest 'volume' play on AI optics units with fab-lite risk; Nvidia concentration is the swing factor.</t>
        </is>
      </c>
    </row>
    <row r="7" ht="42" customHeight="1">
      <c r="A7" s="13" t="inlineStr">
        <is>
          <t>300308.SZ</t>
        </is>
      </c>
      <c r="B7" s="13" t="inlineStr">
        <is>
          <t>Zhongji Innolight</t>
        </is>
      </c>
      <c r="C7" s="8" t="inlineStr">
        <is>
          <t>China</t>
        </is>
      </c>
      <c r="D7" s="8" t="inlineStr">
        <is>
          <t>Transceivers</t>
        </is>
      </c>
      <c r="E7" s="8" t="inlineStr">
        <is>
          <t>#1 global datacom transceiver vendor by share</t>
        </is>
      </c>
      <c r="F7" s="8" t="inlineStr">
        <is>
          <t>Largest supplier of 800G (and first-wave 1.6T) modules to US hyperscalers and Nvidia ecosystem.</t>
        </is>
      </c>
      <c r="G7" s="8" t="inlineStr">
        <is>
          <t>800G/1.6T optical modules, SiPh modules, coherent modules</t>
        </is>
      </c>
      <c r="H7" s="8" t="inlineStr">
        <is>
          <t>Nvidia, Google, Meta, Amazon, Microsoft</t>
        </is>
      </c>
      <c r="I7" s="8" t="inlineStr">
        <is>
          <t>Volume leader of the AI optics cycle; geopolitical/tariff risk against dominant share and cost position.</t>
        </is>
      </c>
    </row>
    <row r="8" ht="42" customHeight="1">
      <c r="A8" s="13" t="inlineStr">
        <is>
          <t>300502.SZ</t>
        </is>
      </c>
      <c r="B8" s="13" t="inlineStr">
        <is>
          <t>Eoptolink</t>
        </is>
      </c>
      <c r="C8" s="8" t="inlineStr">
        <is>
          <t>China</t>
        </is>
      </c>
      <c r="D8" s="8" t="inlineStr">
        <is>
          <t>Transceivers</t>
        </is>
      </c>
      <c r="E8" s="8" t="inlineStr">
        <is>
          <t>Fast-follower transceiver vendor</t>
        </is>
      </c>
      <c r="F8" s="8" t="inlineStr">
        <is>
          <t>800G/1.6T modules incl. silicon photonics variants; gaining share at US and Chinese cloud customers.</t>
        </is>
      </c>
      <c r="G8" s="8" t="inlineStr">
        <is>
          <t>800G/1.6T modules (EML &amp; SiPh), 400G, AOCs</t>
        </is>
      </c>
      <c r="H8" s="8" t="inlineStr">
        <is>
          <t>Nvidia ecosystem, hyperscalers, Chinese cloud (Alibaba/Tencent/ByteDance)</t>
        </is>
      </c>
      <c r="I8" s="8" t="inlineStr">
        <is>
          <t>Fastest-growing of the Chinese module trio into the 1.6T generation; similar geopolitical overhang.</t>
        </is>
      </c>
    </row>
    <row r="9" ht="42" customHeight="1">
      <c r="A9" s="13" t="inlineStr">
        <is>
          <t>300394.SZ</t>
        </is>
      </c>
      <c r="B9" s="13" t="inlineStr">
        <is>
          <t>Suzhou TFC Optical</t>
        </is>
      </c>
      <c r="C9" s="8" t="inlineStr">
        <is>
          <t>China</t>
        </is>
      </c>
      <c r="D9" s="8" t="inlineStr">
        <is>
          <t>Transceivers</t>
        </is>
      </c>
      <c r="E9" s="8" t="inlineStr">
        <is>
          <t>Passive optical components &amp; optical engines</t>
        </is>
      </c>
      <c r="F9" s="8" t="inlineStr">
        <is>
          <t>Fiber-array units (FAU), lenses, AWGs and passive assemblies that go inside transceivers and CPO/optical-engine designs.</t>
        </is>
      </c>
      <c r="G9" s="8" t="inlineStr">
        <is>
          <t>FAUs, MT/MPO assemblies, lenses, AWG, WDM components, optical engines</t>
        </is>
      </c>
      <c r="H9" s="8" t="inlineStr">
        <is>
          <t>Innolight/Eoptolink &amp; global module makers, SiPh/CPO programs</t>
        </is>
      </c>
      <c r="I9" s="8" t="inlineStr">
        <is>
          <t>Content-per-port winner as SiPh and CPO raise passive/fiber-coupling content; supplier to everyone.</t>
        </is>
      </c>
    </row>
    <row r="10" ht="42" customHeight="1">
      <c r="A10" s="13" t="inlineStr">
        <is>
          <t>002281.SZ</t>
        </is>
      </c>
      <c r="B10" s="13" t="inlineStr">
        <is>
          <t>Accelink Technologies</t>
        </is>
      </c>
      <c r="C10" s="8" t="inlineStr">
        <is>
          <t>China</t>
        </is>
      </c>
      <c r="D10" s="8" t="inlineStr">
        <is>
          <t>Transceivers</t>
        </is>
      </c>
      <c r="E10" s="8" t="inlineStr">
        <is>
          <t>State-linked Chinese optics incumbent (telecom-heavy)</t>
        </is>
      </c>
      <c r="F10" s="8" t="inlineStr">
        <is>
          <t>China domestic optical components/modules champion across telecom + datacom; localization beneficiary.</t>
        </is>
      </c>
      <c r="G10" s="8" t="inlineStr">
        <is>
          <t>Telecom lasers/detectors, 400G/800G datacom modules, amplifiers</t>
        </is>
      </c>
      <c r="H10" s="8" t="inlineStr">
        <is>
          <t>Huawei, ZTE, China carriers, Chinese cloud</t>
        </is>
      </c>
      <c r="I10" s="8" t="inlineStr">
        <is>
          <t>Play on China network capex + domestic substitution; less exposed to US AI capex than the private-sector trio.</t>
        </is>
      </c>
    </row>
    <row r="11">
      <c r="A11" s="11" t="inlineStr">
        <is>
          <t>Optical Semiconductors (DSP / PHY / TIA / PIC)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42" customHeight="1">
      <c r="A12" s="13" t="inlineStr">
        <is>
          <t>MRVL</t>
        </is>
      </c>
      <c r="B12" s="13" t="inlineStr">
        <is>
          <t>Marvell Technology</t>
        </is>
      </c>
      <c r="C12" s="8" t="inlineStr">
        <is>
          <t>US</t>
        </is>
      </c>
      <c r="D12" s="8" t="inlineStr">
        <is>
          <t>Optical Semis</t>
        </is>
      </c>
      <c r="E12" s="8" t="inlineStr">
        <is>
          <t>PAM4 optical DSP leader + custom AI silicon</t>
        </is>
      </c>
      <c r="F12" s="8" t="inlineStr">
        <is>
          <t>Dominant merchant PAM4 DSP franchise (inherited from Inphi) inside 800G/1.6T modules; coherent DSPs (COLORZ/ZR); custom XPUs.</t>
        </is>
      </c>
      <c r="G12" s="8" t="inlineStr">
        <is>
          <t>PAM4 DSPs, 800ZR/coherent DSPs, TIAs/drivers, custom AI ASICs, switches</t>
        </is>
      </c>
      <c r="H12" s="8" t="inlineStr">
        <is>
          <t>All major module makers, hyperscalers (custom silicon)</t>
        </is>
      </c>
      <c r="I12" s="8" t="inlineStr">
        <is>
          <t>Every pluggable needs a DSP - Marvell taxes the whole module ecosystem; LPO/LRO and Broadcom are the share risks.</t>
        </is>
      </c>
    </row>
    <row r="13" ht="42" customHeight="1">
      <c r="A13" s="13" t="inlineStr">
        <is>
          <t>AVGO</t>
        </is>
      </c>
      <c r="B13" s="13" t="inlineStr">
        <is>
          <t>Broadcom</t>
        </is>
      </c>
      <c r="C13" s="8" t="inlineStr">
        <is>
          <t>US</t>
        </is>
      </c>
      <c r="D13" s="8" t="inlineStr">
        <is>
          <t>Optical Semis</t>
        </is>
      </c>
      <c r="E13" s="8" t="inlineStr">
        <is>
          <t>Switch silicon + DSP + first-mover CPO</t>
        </is>
      </c>
      <c r="F13" s="8" t="inlineStr">
        <is>
          <t>Tomahawk switch ASICs set the port cadence that drives optics demand; sells optical DSPs, VCSELs/EMLs; shipping co-packaged optics (Bailly/TH6).</t>
        </is>
      </c>
      <c r="G13" s="8" t="inlineStr">
        <is>
          <t>Tomahawk/Jericho switch ASICs, PAM4 DSPs, CPO optical engines, custom XPUs</t>
        </is>
      </c>
      <c r="H13" s="8" t="inlineStr">
        <is>
          <t>Hyperscalers, Arista/OEMs, module makers</t>
        </is>
      </c>
      <c r="I13" s="8" t="inlineStr">
        <is>
          <t>Controls the switch roadmap that paces every optics upgrade; best-positioned if CPO displaces pluggables (small % of revenue today).</t>
        </is>
      </c>
    </row>
    <row r="14" ht="42" customHeight="1">
      <c r="A14" s="13" t="inlineStr">
        <is>
          <t>CRDO</t>
        </is>
      </c>
      <c r="B14" s="13" t="inlineStr">
        <is>
          <t>Credo Technology</t>
        </is>
      </c>
      <c r="C14" s="8" t="inlineStr">
        <is>
          <t>US</t>
        </is>
      </c>
      <c r="D14" s="8" t="inlineStr">
        <is>
          <t>Optical Semis</t>
        </is>
      </c>
      <c r="E14" s="8" t="inlineStr">
        <is>
          <t>SerDes house: AECs, optical DSPs, LRO</t>
        </is>
      </c>
      <c r="F14" s="8" t="inlineStr">
        <is>
          <t>Active electrical cables (AEC) for in-rack + optical DSPs incl. low-power LRO variants that compete on power/cost in AI clusters.</t>
        </is>
      </c>
      <c r="G14" s="8" t="inlineStr">
        <is>
          <t>AECs, PAM4 optical DSPs, LRO/linear optics DSPs, retimers, chiplets</t>
        </is>
      </c>
      <c r="H14" s="8" t="inlineStr">
        <is>
          <t>Hyperscalers (MSFT/AMZN/xAI et al.), module partners</t>
        </is>
      </c>
      <c r="I14" s="8" t="inlineStr">
        <is>
          <t>Power-efficiency angle on AI interconnect; AECs cannibalize short optics but optical DSP line ties it to the module chain.</t>
        </is>
      </c>
    </row>
    <row r="15" ht="42" customHeight="1">
      <c r="A15" s="13" t="inlineStr">
        <is>
          <t>MTSI</t>
        </is>
      </c>
      <c r="B15" s="13" t="inlineStr">
        <is>
          <t>MACOM Technology</t>
        </is>
      </c>
      <c r="C15" s="8" t="inlineStr">
        <is>
          <t>US</t>
        </is>
      </c>
      <c r="D15" s="8" t="inlineStr">
        <is>
          <t>Optical Semis</t>
        </is>
      </c>
      <c r="E15" s="8" t="inlineStr">
        <is>
          <t>Analog/photonic semis: TIAs, drivers, lasers</t>
        </is>
      </c>
      <c r="F15" s="8" t="inlineStr">
        <is>
          <t>High-performance analog front-ends (TIA/driver) and laser/photodiode chips for 800G+/1.6T and linear-drive (LPO) optics.</t>
        </is>
      </c>
      <c r="G15" s="8" t="inlineStr">
        <is>
          <t>TIAs, modulator drivers, CDRs, lasers/PDs, RF/microwave (defense)</t>
        </is>
      </c>
      <c r="H15" s="8" t="inlineStr">
        <is>
          <t>Module makers, telecom OEMs, defense primes</t>
        </is>
      </c>
      <c r="I15" s="8" t="inlineStr">
        <is>
          <t>Linear-drive optics needs better analog, not DSPs - MACOM wins either architecture; diversified by defense/industrial.</t>
        </is>
      </c>
    </row>
    <row r="16" ht="42" customHeight="1">
      <c r="A16" s="13" t="inlineStr">
        <is>
          <t>SMTC</t>
        </is>
      </c>
      <c r="B16" s="13" t="inlineStr">
        <is>
          <t>Semtech</t>
        </is>
      </c>
      <c r="C16" s="8" t="inlineStr">
        <is>
          <t>US</t>
        </is>
      </c>
      <c r="D16" s="8" t="inlineStr">
        <is>
          <t>Optical Semis</t>
        </is>
      </c>
      <c r="E16" s="8" t="inlineStr">
        <is>
          <t>FiberEdge TIAs/drivers + CopperEdge</t>
        </is>
      </c>
      <c r="F16" s="8" t="inlineStr">
        <is>
          <t>TIA/driver content in 800G/1.6T modules (FiberEdge); CopperEdge linear redrivers for ACCs; LoRa/IoT rest of business.</t>
        </is>
      </c>
      <c r="G16" s="8" t="inlineStr">
        <is>
          <t>FiberEdge TIAs &amp; drivers, CopperEdge, LoRa, protection ICs</t>
        </is>
      </c>
      <c r="H16" s="8" t="inlineStr">
        <is>
          <t>Module makers, hyperscaler cable programs, IoT</t>
        </is>
      </c>
      <c r="I16" s="8" t="inlineStr">
        <is>
          <t>Under-appreciated analog content per optical port; data-center now the growth engine after LoRa/IoT reset.</t>
        </is>
      </c>
    </row>
    <row r="17" ht="42" customHeight="1">
      <c r="A17" s="13" t="inlineStr">
        <is>
          <t>ALAB</t>
        </is>
      </c>
      <c r="B17" s="13" t="inlineStr">
        <is>
          <t>Astera Labs</t>
        </is>
      </c>
      <c r="C17" s="8" t="inlineStr">
        <is>
          <t>US</t>
        </is>
      </c>
      <c r="D17" s="8" t="inlineStr">
        <is>
          <t>Optical Semis</t>
        </is>
      </c>
      <c r="E17" s="8" t="inlineStr">
        <is>
          <t>Connectivity silicon (PCIe/CXL/Ethernet retimers -&gt; optical)</t>
        </is>
      </c>
      <c r="F17" s="8" t="inlineStr">
        <is>
          <t>Retimers/smart cables inside AI servers; scale-up fabric silicon (Scorpio) with a roadmap into optical interconnect (PCIe-over-optics).</t>
        </is>
      </c>
      <c r="G17" s="8" t="inlineStr">
        <is>
          <t>Aries retimers, Taurus AECs, Leo CXL, Scorpio fabric switches</t>
        </is>
      </c>
      <c r="H17" s="8" t="inlineStr">
        <is>
          <t>Nvidia-based server OEMs, hyperscalers, AMD platforms</t>
        </is>
      </c>
      <c r="I17" s="8" t="inlineStr">
        <is>
          <t>Adjacent today (mostly electrical), but the designated optical on-ramp is PCIe/scale-up over optics - watch Aries optical variants.</t>
        </is>
      </c>
    </row>
    <row r="18" ht="42" customHeight="1">
      <c r="A18" s="13" t="inlineStr">
        <is>
          <t>POET</t>
        </is>
      </c>
      <c r="B18" s="13" t="inlineStr">
        <is>
          <t>POET Technologies</t>
        </is>
      </c>
      <c r="C18" s="8" t="inlineStr">
        <is>
          <t>Canada</t>
        </is>
      </c>
      <c r="D18" s="8" t="inlineStr">
        <is>
          <t>Optical Semis</t>
        </is>
      </c>
      <c r="E18" s="8" t="inlineStr">
        <is>
          <t>Optical interposer / optical engines (speculative)</t>
        </is>
      </c>
      <c r="F18" s="8" t="inlineStr">
        <is>
          <t>Wafer-level optical interposer platform for 800G/1.6T optical engines and external light sources; pre-scale revenue.</t>
        </is>
      </c>
      <c r="G18" s="8" t="inlineStr">
        <is>
          <t>Optical interposers, 800G/1.6T optical engines, light-source modules</t>
        </is>
      </c>
      <c r="H18" s="8" t="inlineStr">
        <is>
          <t>Module partners (Foxconn Interconnect, Mitsubishi et al.), design wins ramping</t>
        </is>
      </c>
      <c r="I18" s="8" t="inlineStr">
        <is>
          <t>Optionality bet on chiplet-style optics packaging; binary execution risk, watch dilution.</t>
        </is>
      </c>
    </row>
    <row r="19">
      <c r="A19" s="11" t="inlineStr">
        <is>
          <t>Lithography &amp; Light-Source Optics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</row>
    <row r="20" ht="42" customHeight="1">
      <c r="A20" s="13" t="inlineStr">
        <is>
          <t>ASML</t>
        </is>
      </c>
      <c r="B20" s="13" t="inlineStr">
        <is>
          <t>ASML Holding</t>
        </is>
      </c>
      <c r="C20" s="8" t="inlineStr">
        <is>
          <t>Netherlands</t>
        </is>
      </c>
      <c r="D20" s="8" t="inlineStr">
        <is>
          <t>Litho Optics</t>
        </is>
      </c>
      <c r="E20" s="8" t="inlineStr">
        <is>
          <t>EUV/DUV lithography monopoly (optics from Zeiss SMT)</t>
        </is>
      </c>
      <c r="F20" s="8" t="inlineStr">
        <is>
          <t>The single most important optical system in semis: EUV scanners (13.5nm light, Zeiss mirrors, Cymer LPP source). High-NA ramping.</t>
        </is>
      </c>
      <c r="G20" s="8" t="inlineStr">
        <is>
          <t>EUV (NXE/EXE High-NA), DUV immersion, metrology/inspection (YieldStar)</t>
        </is>
      </c>
      <c r="H20" s="8" t="inlineStr">
        <is>
          <t>TSMC, Samsung, Intel, SK Hynix, Micron</t>
        </is>
      </c>
      <c r="I20" s="8" t="inlineStr">
        <is>
          <t>Effective monopoly on the optics that define leading-edge logic/DRAM; AI capex flows through to litho intensity.</t>
        </is>
      </c>
    </row>
    <row r="21" ht="42" customHeight="1">
      <c r="A21" s="13" t="inlineStr">
        <is>
          <t>7731.T</t>
        </is>
      </c>
      <c r="B21" s="13" t="inlineStr">
        <is>
          <t>Nikon</t>
        </is>
      </c>
      <c r="C21" s="8" t="inlineStr">
        <is>
          <t>Japan</t>
        </is>
      </c>
      <c r="D21" s="8" t="inlineStr">
        <is>
          <t>Litho Optics</t>
        </is>
      </c>
      <c r="E21" s="8" t="inlineStr">
        <is>
          <t>ArF/KrF immersion litho #2; in-house optics</t>
        </is>
      </c>
      <c r="F21" s="8" t="inlineStr">
        <is>
          <t>Only non-ASML immersion DUV supplier; precision optics/measurement; exposure tools for packaging/panel.</t>
        </is>
      </c>
      <c r="G21" s="8" t="inlineStr">
        <is>
          <t>ArF-i/KrF scanners, digital-litho for advanced packaging, optical components, cameras</t>
        </is>
      </c>
      <c r="H21" s="8" t="inlineStr">
        <is>
          <t>Intel (historic), memory fabs, OSATs, panel makers</t>
        </is>
      </c>
      <c r="I21" s="8" t="inlineStr">
        <is>
          <t>Deep value on DUV + advanced-packaging lithography optionality; imaging funds the semi business.</t>
        </is>
      </c>
    </row>
    <row r="22" ht="42" customHeight="1">
      <c r="A22" s="13" t="inlineStr">
        <is>
          <t>7751.T</t>
        </is>
      </c>
      <c r="B22" s="13" t="inlineStr">
        <is>
          <t>Canon</t>
        </is>
      </c>
      <c r="C22" s="8" t="inlineStr">
        <is>
          <t>Japan</t>
        </is>
      </c>
      <c r="D22" s="8" t="inlineStr">
        <is>
          <t>Litho Optics</t>
        </is>
      </c>
      <c r="E22" s="8" t="inlineStr">
        <is>
          <t>KrF/i-line litho + nanoimprint (NIL) challenger</t>
        </is>
      </c>
      <c r="F22" s="8" t="inlineStr">
        <is>
          <t>Volume KrF/i-line tools for mature nodes &amp; packaging; nanoimprint litho as a disruptive (non-optical projection) alternative.</t>
        </is>
      </c>
      <c r="G22" s="8" t="inlineStr">
        <is>
          <t>KrF/i-line steppers, FPA packaging litho, nanoimprint systems, imaging/printing</t>
        </is>
      </c>
      <c r="H22" s="8" t="inlineStr">
        <is>
          <t>Mature-node fabs, memory (NIL pilot), OSATs</t>
        </is>
      </c>
      <c r="I22" s="8" t="inlineStr">
        <is>
          <t>Mature-node capex + NIL optionality inside a printing/imaging conglomerate - diluted but real semi-optics exposure.</t>
        </is>
      </c>
    </row>
    <row r="23" ht="42" customHeight="1">
      <c r="A23" s="13" t="inlineStr">
        <is>
          <t>6925.T</t>
        </is>
      </c>
      <c r="B23" s="13" t="inlineStr">
        <is>
          <t>Ushio</t>
        </is>
      </c>
      <c r="C23" s="8" t="inlineStr">
        <is>
          <t>Japan</t>
        </is>
      </c>
      <c r="D23" s="8" t="inlineStr">
        <is>
          <t>Litho Optics</t>
        </is>
      </c>
      <c r="E23" s="8" t="inlineStr">
        <is>
          <t>Industrial light sources; EUV mask-inspection source</t>
        </is>
      </c>
      <c r="F23" s="8" t="inlineStr">
        <is>
          <t>Excimer/UV lamps and lasers across litho/anneal/cure steps; light source for actinic EUV mask inspection (Lasertec ecosystem).</t>
        </is>
      </c>
      <c r="G23" s="8" t="inlineStr">
        <is>
          <t>Excimer lamps/lasers, UV cure/exposure sources, EPL/EUV-related sources</t>
        </is>
      </c>
      <c r="H23" s="8" t="inlineStr">
        <is>
          <t>Semi cap OEMs (incl. Lasertec), panel, life science</t>
        </is>
      </c>
      <c r="I23" s="8" t="inlineStr">
        <is>
          <t>Hidden light-source content across many fab steps; levered to EUV mask-inspection buildout.</t>
        </is>
      </c>
    </row>
    <row r="24" ht="42" customHeight="1">
      <c r="A24" s="13" t="inlineStr">
        <is>
          <t>7741.T</t>
        </is>
      </c>
      <c r="B24" s="13" t="inlineStr">
        <is>
          <t>Hoya</t>
        </is>
      </c>
      <c r="C24" s="8" t="inlineStr">
        <is>
          <t>Japan</t>
        </is>
      </c>
      <c r="D24" s="8" t="inlineStr">
        <is>
          <t>Litho Optics</t>
        </is>
      </c>
      <c r="E24" s="8" t="inlineStr">
        <is>
          <t>EUV mask blanks near-monopoly; photomasks</t>
        </is>
      </c>
      <c r="F24" s="8" t="inlineStr">
        <is>
          <t>Dominant supplier of EUV mask blanks (multilayer-coated low-defect substrates) and large-share DUV blanks/photomasks.</t>
        </is>
      </c>
      <c r="G24" s="8" t="inlineStr">
        <is>
          <t>EUV/DUV mask blanks, photomasks, glass substrates, healthcare optics</t>
        </is>
      </c>
      <c r="H24" s="8" t="inlineStr">
        <is>
          <t>TSMC/Samsung/Intel mask shops, merchant mask makers</t>
        </is>
      </c>
      <c r="I24" s="8" t="inlineStr">
        <is>
          <t>Every EUV layer starts on a Hoya blank; healthcare (~60%) stabilizes the cyclicality.</t>
        </is>
      </c>
    </row>
    <row r="25">
      <c r="A25" s="11" t="inlineStr">
        <is>
          <t>Optical Inspection &amp; Metrology</t>
        </is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</row>
    <row r="26" ht="42" customHeight="1">
      <c r="A26" s="13" t="inlineStr">
        <is>
          <t>KLAC</t>
        </is>
      </c>
      <c r="B26" s="13" t="inlineStr">
        <is>
          <t>KLA Corp.</t>
        </is>
      </c>
      <c r="C26" s="8" t="inlineStr">
        <is>
          <t>US</t>
        </is>
      </c>
      <c r="D26" s="8" t="inlineStr">
        <is>
          <t>Inspection</t>
        </is>
      </c>
      <c r="E26" s="8" t="inlineStr">
        <is>
          <t>Process control leader (optical inspection &amp; metrology)</t>
        </is>
      </c>
      <c r="F26" s="8" t="inlineStr">
        <is>
          <t>Broadband-plasma &amp; laser-scanning optical wafer inspection, overlay/film metrology, reticle inspection - yield gatekeeper for leading edge.</t>
        </is>
      </c>
      <c r="G26" s="8" t="inlineStr">
        <is>
          <t>BBP inspection (39xx), laser scanning, overlay, mask inspection, packaging inspection</t>
        </is>
      </c>
      <c r="H26" s="8" t="inlineStr">
        <is>
          <t>TSMC, Samsung, Intel, memory, OSATs</t>
        </is>
      </c>
      <c r="I26" s="8" t="inlineStr">
        <is>
          <t>Process-control intensity rises with EUV layers and advanced packaging (HBM) - KLA is the toll booth.</t>
        </is>
      </c>
    </row>
    <row r="27" ht="42" customHeight="1">
      <c r="A27" s="13" t="inlineStr">
        <is>
          <t>6920.T</t>
        </is>
      </c>
      <c r="B27" s="13" t="inlineStr">
        <is>
          <t>Lasertec</t>
        </is>
      </c>
      <c r="C27" s="8" t="inlineStr">
        <is>
          <t>Japan</t>
        </is>
      </c>
      <c r="D27" s="8" t="inlineStr">
        <is>
          <t>Inspection</t>
        </is>
      </c>
      <c r="E27" s="8" t="inlineStr">
        <is>
          <t>Actinic (EUV-light) mask inspection monopoly</t>
        </is>
      </c>
      <c r="F27" s="8" t="inlineStr">
        <is>
          <t>Only supplier of actinic patterned-mask inspection (ACTIS) using 13.5nm light; EUV blank inspection (ABICS).</t>
        </is>
      </c>
      <c r="G27" s="8" t="inlineStr">
        <is>
          <t>ACTIS A300+, ABICS, MATRICS, wafer/photomask inspection</t>
        </is>
      </c>
      <c r="H27" s="8" t="inlineStr">
        <is>
          <t>TSMC, Samsung, Intel, Hoya/mask shops</t>
        </is>
      </c>
      <c r="I27" s="8" t="inlineStr">
        <is>
          <t>Pure monopoly on EUV mask actinic inspection; order lumpiness + short-seller history = volatility around a real franchise.</t>
        </is>
      </c>
    </row>
    <row r="28" ht="42" customHeight="1">
      <c r="A28" s="13" t="inlineStr">
        <is>
          <t>ONTO</t>
        </is>
      </c>
      <c r="B28" s="13" t="inlineStr">
        <is>
          <t>Onto Innovation</t>
        </is>
      </c>
      <c r="C28" s="8" t="inlineStr">
        <is>
          <t>US</t>
        </is>
      </c>
      <c r="D28" s="8" t="inlineStr">
        <is>
          <t>Inspection</t>
        </is>
      </c>
      <c r="E28" s="8" t="inlineStr">
        <is>
          <t>Metrology + advanced-packaging inspection</t>
        </is>
      </c>
      <c r="F28" s="8" t="inlineStr">
        <is>
          <t>Optical film/OCD metrology and the leading inspection franchise for advanced packaging/HBM (Dragonfly).</t>
        </is>
      </c>
      <c r="G28" s="8" t="inlineStr">
        <is>
          <t>Dragonfly G3 (packaging inspection), Atlas OCD, IMPULSE, lithography for panel-level packaging</t>
        </is>
      </c>
      <c r="H28" s="8" t="inlineStr">
        <is>
          <t>TSMC (CoWoS), HBM makers (SK Hynix/Micron/Samsung), OSATs</t>
        </is>
      </c>
      <c r="I28" s="8" t="inlineStr">
        <is>
          <t>The most direct optics play on CoWoS/HBM inspection intensity - AI packaging is its growth engine.</t>
        </is>
      </c>
    </row>
    <row r="29" ht="42" customHeight="1">
      <c r="A29" s="13" t="inlineStr">
        <is>
          <t>CAMT</t>
        </is>
      </c>
      <c r="B29" s="13" t="inlineStr">
        <is>
          <t>Camtek</t>
        </is>
      </c>
      <c r="C29" s="8" t="inlineStr">
        <is>
          <t>Israel</t>
        </is>
      </c>
      <c r="D29" s="8" t="inlineStr">
        <is>
          <t>Inspection</t>
        </is>
      </c>
      <c r="E29" s="8" t="inlineStr">
        <is>
          <t>Advanced-packaging optical inspection &amp; metrology</t>
        </is>
      </c>
      <c r="F29" s="8" t="inlineStr">
        <is>
          <t>2D/3D optical inspection of HBM stacks, interposers, chiplets - direct beneficiary of AI packaging capacity adds.</t>
        </is>
      </c>
      <c r="G29" s="8" t="inlineStr">
        <is>
          <t>Eagle G5/Hawk inspection, metrology for bumps/TSVs/hybrid bonding</t>
        </is>
      </c>
      <c r="H29" s="8" t="inlineStr">
        <is>
          <t>HBM makers, OSATs (ASE/Amkor), CoWoS chain</t>
        </is>
      </c>
      <c r="I29" s="8" t="inlineStr">
        <is>
          <t>Small-cap pure play on the same HBM/CoWoS inspection theme as Onto; high growth, customer-concentrated.</t>
        </is>
      </c>
    </row>
    <row r="30" ht="42" customHeight="1">
      <c r="A30" s="13" t="inlineStr">
        <is>
          <t>NVMI</t>
        </is>
      </c>
      <c r="B30" s="13" t="inlineStr">
        <is>
          <t>Nova Ltd.</t>
        </is>
      </c>
      <c r="C30" s="8" t="inlineStr">
        <is>
          <t>Israel</t>
        </is>
      </c>
      <c r="D30" s="8" t="inlineStr">
        <is>
          <t>Inspection</t>
        </is>
      </c>
      <c r="E30" s="8" t="inlineStr">
        <is>
          <t>Dimensional &amp; materials metrology (optical + X-ray)</t>
        </is>
      </c>
      <c r="F30" s="8" t="inlineStr">
        <is>
          <t>Optical CD/film metrology embedded in process tools plus stand-alone; gains content with gate-all-around &amp; advanced packaging.</t>
        </is>
      </c>
      <c r="G30" s="8" t="inlineStr">
        <is>
          <t>Nova Prism (OCD), Ancolt/Metrion, chemical &amp; X-ray metrology</t>
        </is>
      </c>
      <c r="H30" s="8" t="inlineStr">
        <is>
          <t>TSMC, Samsung, Intel, memory</t>
        </is>
      </c>
      <c r="I30" s="8" t="inlineStr">
        <is>
          <t>Metrology intensity compounder at leading edge; consistently outgrows WFE.</t>
        </is>
      </c>
    </row>
    <row r="31">
      <c r="A31" s="11" t="inlineStr">
        <is>
          <t>Substrates, Materials &amp; Lasers</t>
        </is>
      </c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</row>
    <row r="32" ht="42" customHeight="1">
      <c r="A32" s="13" t="inlineStr">
        <is>
          <t>AXTI</t>
        </is>
      </c>
      <c r="B32" s="13" t="inlineStr">
        <is>
          <t>AXT Inc.</t>
        </is>
      </c>
      <c r="C32" s="8" t="inlineStr">
        <is>
          <t>US</t>
        </is>
      </c>
      <c r="D32" s="8" t="inlineStr">
        <is>
          <t>Materials</t>
        </is>
      </c>
      <c r="E32" s="8" t="inlineStr">
        <is>
          <t>InP / GaAs / Ge compound-semi substrates</t>
        </is>
      </c>
      <c r="F32" s="8" t="inlineStr">
        <is>
          <t>Indium-phosphide substrates are the starting wafer for EML/CW lasers and photodetectors in every high-speed optical link.</t>
        </is>
      </c>
      <c r="G32" s="8" t="inlineStr">
        <is>
          <t>InP, GaAs, Ge substrates; raw materials JVs</t>
        </is>
      </c>
      <c r="H32" s="8" t="inlineStr">
        <is>
          <t>Laser/PD chip makers (Lumentum/Coherent/Landmark etc.), China photonics chain</t>
        </is>
      </c>
      <c r="I32" s="8" t="inlineStr">
        <is>
          <t>Upstream-most listed play on InP tightness from 1.6T lasers &amp; CPO light sources; China-heavy footprint is the risk.</t>
        </is>
      </c>
    </row>
    <row r="33" ht="42" customHeight="1">
      <c r="A33" s="13" t="inlineStr">
        <is>
          <t>GLW</t>
        </is>
      </c>
      <c r="B33" s="13" t="inlineStr">
        <is>
          <t>Corning</t>
        </is>
      </c>
      <c r="C33" s="8" t="inlineStr">
        <is>
          <t>US</t>
        </is>
      </c>
      <c r="D33" s="8" t="inlineStr">
        <is>
          <t>Materials</t>
        </is>
      </c>
      <c r="E33" s="8" t="inlineStr">
        <is>
          <t>Optical fiber/cable &amp; specialty glass</t>
        </is>
      </c>
      <c r="F33" s="8" t="inlineStr">
        <is>
          <t>Fiber, cable and connectivity for hyperscale/AI datacenters (enterprise segment growing fast); EUV/optics glass; display.</t>
        </is>
      </c>
      <c r="G33" s="8" t="inlineStr">
        <is>
          <t>Optical fiber &amp; cable, datacenter connectivity, Gorilla glass, life-science optics</t>
        </is>
      </c>
      <c r="H33" s="8" t="inlineStr">
        <is>
          <t>Hyperscalers, carriers, Apple, display makers</t>
        </is>
      </c>
      <c r="I33" s="8" t="inlineStr">
        <is>
          <t>AI datacenters need 2-5x the fiber of classic clouds; optical is now Corning's growth engine (Springboard plan).</t>
        </is>
      </c>
    </row>
    <row r="34" ht="42" customHeight="1">
      <c r="A34" s="13" t="inlineStr">
        <is>
          <t>IPGP</t>
        </is>
      </c>
      <c r="B34" s="13" t="inlineStr">
        <is>
          <t>IPG Photonics</t>
        </is>
      </c>
      <c r="C34" s="8" t="inlineStr">
        <is>
          <t>US</t>
        </is>
      </c>
      <c r="D34" s="8" t="inlineStr">
        <is>
          <t>Materials</t>
        </is>
      </c>
      <c r="E34" s="8" t="inlineStr">
        <is>
          <t>Fiber lasers (industrial; semi-adjacent)</t>
        </is>
      </c>
      <c r="F34" s="8" t="inlineStr">
        <is>
          <t>Fiber lasers used in wafer/panel processing (anneal, dicing, drilling, marking) and micromachining for electronics &amp; packaging.</t>
        </is>
      </c>
      <c r="G34" s="8" t="inlineStr">
        <is>
          <t>High-power fiber lasers, pulsed lasers for micro-processing, telecom components (legacy)</t>
        </is>
      </c>
      <c r="H34" s="8" t="inlineStr">
        <is>
          <t>Industrial/EV, electronics &amp; semi-packaging toolmakers</t>
        </is>
      </c>
      <c r="I34" s="8" t="inlineStr">
        <is>
          <t>Peripheral but real: laser processing content in advanced packaging; mostly an industrial cycle play with net cash.</t>
        </is>
      </c>
    </row>
    <row r="35">
      <c r="A35" s="11" t="inlineStr">
        <is>
          <t>Optical Systems &amp; EMS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</row>
    <row r="36" ht="42" customHeight="1">
      <c r="A36" s="13" t="inlineStr">
        <is>
          <t>CIEN</t>
        </is>
      </c>
      <c r="B36" s="13" t="inlineStr">
        <is>
          <t>Ciena</t>
        </is>
      </c>
      <c r="C36" s="8" t="inlineStr">
        <is>
          <t>US</t>
        </is>
      </c>
      <c r="D36" s="8" t="inlineStr">
        <is>
          <t>Systems/EMS</t>
        </is>
      </c>
      <c r="E36" s="8" t="inlineStr">
        <is>
          <t>Coherent optical networking systems &amp; pluggables</t>
        </is>
      </c>
      <c r="F36" s="8" t="inlineStr">
        <is>
          <t>WaveLogic coherent DSP/modems interconnect datacenters (DCI/metro); 800ZR coherent pluggables carry AI traffic between sites.</t>
        </is>
      </c>
      <c r="G36" s="8" t="inlineStr">
        <is>
          <t>WaveLogic 6 (1.6T coherent), Waveserver DCI, RLS line systems, coherent pluggables</t>
        </is>
      </c>
      <c r="H36" s="8" t="inlineStr">
        <is>
          <t>Hyperscalers (&gt;50% of orders), carriers (AT&amp;T/Verizon), cable</t>
        </is>
      </c>
      <c r="I36" s="8" t="inlineStr">
        <is>
          <t>Inter-datacenter leg of AI networking: cloud now the majority customer; coherent-lite/800ZR expands the served market.</t>
        </is>
      </c>
    </row>
    <row r="37" ht="42" customHeight="1">
      <c r="A37" s="13" t="inlineStr">
        <is>
          <t>CLS</t>
        </is>
      </c>
      <c r="B37" s="13" t="inlineStr">
        <is>
          <t>Celestica</t>
        </is>
      </c>
      <c r="C37" s="8" t="inlineStr">
        <is>
          <t>Canada</t>
        </is>
      </c>
      <c r="D37" s="8" t="inlineStr">
        <is>
          <t>Systems/EMS</t>
        </is>
      </c>
      <c r="E37" s="8" t="inlineStr">
        <is>
          <t>Hyperscaler networking hardware (ODM/EMS)</t>
        </is>
      </c>
      <c r="F37" s="8" t="inlineStr">
        <is>
          <t>Designs/builds 800G (and 1.6T-ready) Ethernet switches and AI server/storage systems for hyperscalers - each switch port pulls optics.</t>
        </is>
      </c>
      <c r="G37" s="8" t="inlineStr">
        <is>
          <t>800G switches (HPS), AI compute/storage systems, industrial EMS</t>
        </is>
      </c>
      <c r="H37" s="8" t="inlineStr">
        <is>
          <t>Google, Meta, AWS + other hyperscalers</t>
        </is>
      </c>
      <c r="I37" s="8" t="inlineStr">
        <is>
          <t>Switch-box winner of AI networking: optics-adjacent volume compounding, re-rated from EMS to ODM multiple.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4B5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2" customWidth="1" min="3" max="3"/>
    <col width="34" customWidth="1" min="4" max="4"/>
    <col width="34" customWidth="1" min="5" max="5"/>
    <col width="52" customWidth="1" min="6" max="6"/>
  </cols>
  <sheetData>
    <row r="1">
      <c r="A1" s="1" t="inlineStr">
        <is>
          <t>Optical value chains through the semiconductor ecosystem</t>
        </is>
      </c>
    </row>
    <row r="3">
      <c r="A3" s="3" t="inlineStr">
        <is>
          <t>A. AI DATACENTER OPTICAL INTERCONNECT CHAIN  (optics that move data between semiconductors)</t>
        </is>
      </c>
    </row>
    <row r="4">
      <c r="A4" s="6" t="inlineStr">
        <is>
          <t>#</t>
        </is>
      </c>
      <c r="B4" s="6" t="inlineStr">
        <is>
          <t>Value-chain stage</t>
        </is>
      </c>
      <c r="C4" s="6" t="inlineStr">
        <is>
          <t>What it is / why it matters</t>
        </is>
      </c>
      <c r="D4" s="6" t="inlineStr">
        <is>
          <t>Universe names (tickers)</t>
        </is>
      </c>
      <c r="E4" s="6" t="inlineStr">
        <is>
          <t>Key private / non-universe players</t>
        </is>
      </c>
      <c r="F4" s="6" t="inlineStr">
        <is>
          <t>Bottlenecks &amp; notes</t>
        </is>
      </c>
    </row>
    <row r="5" ht="40" customHeight="1">
      <c r="A5" s="14" t="n">
        <v>1</v>
      </c>
      <c r="B5" s="13" t="inlineStr">
        <is>
          <t>III-V &amp; SiPh substrates</t>
        </is>
      </c>
      <c r="C5" s="8" t="inlineStr">
        <is>
          <t>InP substrates are the starting wafer for EML/CW lasers &amp; photodetectors; SOI wafers for silicon photonics.</t>
        </is>
      </c>
      <c r="D5" s="13" t="inlineStr">
        <is>
          <t>AXTI</t>
        </is>
      </c>
      <c r="E5" s="8" t="inlineStr">
        <is>
          <t>Sumitomo Electric, JX Metals, IQE, Soitec (SOI)</t>
        </is>
      </c>
      <c r="F5" s="8" t="inlineStr">
        <is>
          <t>InP 4"-&gt;6" transition is the gating capacity item for 1.6T lasers and CPO light sources.</t>
        </is>
      </c>
    </row>
    <row r="6" ht="40" customHeight="1">
      <c r="A6" s="14" t="n">
        <v>2</v>
      </c>
      <c r="B6" s="13" t="inlineStr">
        <is>
          <t>Laser &amp; modulator chips (EML / CW / VCSEL)</t>
        </is>
      </c>
      <c r="C6" s="8" t="inlineStr">
        <is>
          <t>The light engines: EMLs for 200G/lane pluggables, high-power CW lasers feeding silicon photonics and CPO.</t>
        </is>
      </c>
      <c r="D6" s="13" t="inlineStr">
        <is>
          <t>LITE, COHR, AVGO, MTSI</t>
        </is>
      </c>
      <c r="E6" s="8" t="inlineStr">
        <is>
          <t>Mitsubishi Electric, Sumitomo Electric, Landmark, SEDI</t>
        </is>
      </c>
      <c r="F6" s="8" t="inlineStr">
        <is>
          <t>200G/lane EML yield is the industry-wide constraint; CW laser reliability governs CPO adoption.</t>
        </is>
      </c>
    </row>
    <row r="7" ht="40" customHeight="1">
      <c r="A7" s="14" t="n">
        <v>3</v>
      </c>
      <c r="B7" s="13" t="inlineStr">
        <is>
          <t>Photonic ICs / silicon photonics</t>
        </is>
      </c>
      <c r="C7" s="8" t="inlineStr">
        <is>
          <t>Integrates modulators/detectors/waveguides on silicon; the platform for 1.6T DR/FR modules and optical engines.</t>
        </is>
      </c>
      <c r="D7" s="13" t="inlineStr">
        <is>
          <t>AVGO, MRVL, COHR, POET</t>
        </is>
      </c>
      <c r="E7" s="8" t="inlineStr">
        <is>
          <t>GlobalFoundries, Tower Semiconductor, TSMC (COUPE), imec</t>
        </is>
      </c>
      <c r="F7" s="8" t="inlineStr">
        <is>
          <t>Foundry SiPh PDK maturity determines who can play; laser attach/packaging is the yield battleground.</t>
        </is>
      </c>
    </row>
    <row r="8" ht="40" customHeight="1">
      <c r="A8" s="14" t="n">
        <v>4</v>
      </c>
      <c r="B8" s="13" t="inlineStr">
        <is>
          <t>Analog front-end (TIA / driver / CDR)</t>
        </is>
      </c>
      <c r="C8" s="8" t="inlineStr">
        <is>
          <t>Amplifies photodiode current and drives modulators; linear-drive (LPO/LRO) architectures raise analog content.</t>
        </is>
      </c>
      <c r="D8" s="13" t="inlineStr">
        <is>
          <t>SMTC, MTSI</t>
        </is>
      </c>
      <c r="E8" s="8" t="inlineStr">
        <is>
          <t>Analog Devices, in-house at Broadcom/Marvell</t>
        </is>
      </c>
      <c r="F8" s="8" t="inlineStr">
        <is>
          <t>LPO shifts BOM value from DSP to analog - watch architecture wins at 1.6T.</t>
        </is>
      </c>
    </row>
    <row r="9" ht="40" customHeight="1">
      <c r="A9" s="14" t="n">
        <v>5</v>
      </c>
      <c r="B9" s="13" t="inlineStr">
        <is>
          <t>PAM4 DSP / optical PHY</t>
        </is>
      </c>
      <c r="C9" s="8" t="inlineStr">
        <is>
          <t>Retimes and equalizes the electrical-optical interface; the highest-value chip inside a pluggable module.</t>
        </is>
      </c>
      <c r="D9" s="13" t="inlineStr">
        <is>
          <t>MRVL, AVGO, CRDO</t>
        </is>
      </c>
      <c r="E9" s="8" t="inlineStr">
        <is>
          <t>In-house hyperscaler efforts</t>
        </is>
      </c>
      <c r="F9" s="8" t="inlineStr">
        <is>
          <t>Duopoly-plus-one (MRVL/AVGO/CRDO); 3nm DSP tapeouts pace the 1.6T ramp.</t>
        </is>
      </c>
    </row>
    <row r="10" ht="40" customHeight="1">
      <c r="A10" s="14" t="n">
        <v>6</v>
      </c>
      <c r="B10" s="13" t="inlineStr">
        <is>
          <t>Passive optics &amp; fiber coupling</t>
        </is>
      </c>
      <c r="C10" s="8" t="inlineStr">
        <is>
          <t>FAUs, lenses, AWG mux/demux, MPO connectors - content per port rises sharply with SiPh and CPO.</t>
        </is>
      </c>
      <c r="D10" s="13" t="inlineStr">
        <is>
          <t>300394.SZ, FN, GLW</t>
        </is>
      </c>
      <c r="E10" s="8" t="inlineStr">
        <is>
          <t>Browave, Senko, US Conec</t>
        </is>
      </c>
      <c r="F10" s="8" t="inlineStr">
        <is>
          <t>Fiber-array alignment capacity is a quiet bottleneck for CPO scale-up.</t>
        </is>
      </c>
    </row>
    <row r="11" ht="40" customHeight="1">
      <c r="A11" s="14" t="n">
        <v>7</v>
      </c>
      <c r="B11" s="13" t="inlineStr">
        <is>
          <t>Transceiver module design &amp; assembly</t>
        </is>
      </c>
      <c r="C11" s="8" t="inlineStr">
        <is>
          <t>Turns chips+optics into 800G/1.6T pluggables; the most visible P&amp;L beneficiary of AI optics capex.</t>
        </is>
      </c>
      <c r="D11" s="13" t="inlineStr">
        <is>
          <t>300308.SZ, 300502.SZ, COHR, LITE, AAOI, 002281.SZ</t>
        </is>
      </c>
      <c r="E11" s="8" t="inlineStr">
        <is>
          <t>Hisense Broadband, HG Genuine, Source Photonics</t>
        </is>
      </c>
      <c r="F11" s="8" t="inlineStr">
        <is>
          <t>Chinese trio holds ~60% share of hyperscaler pluggables; tariffs/export rules are the key swing factor.</t>
        </is>
      </c>
    </row>
    <row r="12" ht="40" customHeight="1">
      <c r="A12" s="14" t="n">
        <v>8</v>
      </c>
      <c r="B12" s="13" t="inlineStr">
        <is>
          <t>Optical EMS / contract manufacturing</t>
        </is>
      </c>
      <c r="C12" s="8" t="inlineStr">
        <is>
          <t>Precision optical assembly &amp; test at scale for chip vendors and systems OEMs (incl. Nvidia optics).</t>
        </is>
      </c>
      <c r="D12" s="13" t="inlineStr">
        <is>
          <t>FN, CLS</t>
        </is>
      </c>
      <c r="E12" s="8" t="inlineStr">
        <is>
          <t>Venture Corp, Benchmark</t>
        </is>
      </c>
      <c r="F12" s="8" t="inlineStr">
        <is>
          <t>Fabrinet is the de-facto standard for high-mix optical assembly; capacity additions track AI demand.</t>
        </is>
      </c>
    </row>
    <row r="13" ht="40" customHeight="1">
      <c r="A13" s="14" t="n">
        <v>9</v>
      </c>
      <c r="B13" s="13" t="inlineStr">
        <is>
          <t>Switching, DCI &amp; coherent systems</t>
        </is>
      </c>
      <c r="C13" s="8" t="inlineStr">
        <is>
          <t>Switch boxes whose port counts pull optics demand; coherent systems/pluggables link datacenters together.</t>
        </is>
      </c>
      <c r="D13" s="13" t="inlineStr">
        <is>
          <t>CLS, CIEN</t>
        </is>
      </c>
      <c r="E13" s="8" t="inlineStr">
        <is>
          <t>Arista, Nvidia (Spectrum-X/Quantum), Cisco, Nokia(Infinera)</t>
        </is>
      </c>
      <c r="F13" s="8" t="inlineStr">
        <is>
          <t>Switch ASIC cadence (51.2T-&gt;102.4T) sets the optics upgrade clock; 800ZR blurs telecom/datacom.</t>
        </is>
      </c>
    </row>
    <row r="14" ht="40" customHeight="1">
      <c r="A14" s="14" t="n">
        <v>10</v>
      </c>
      <c r="B14" s="13" t="inlineStr">
        <is>
          <t>End demand: AI accelerators &amp; hyperscalers</t>
        </is>
      </c>
      <c r="C14" s="8" t="inlineStr">
        <is>
          <t>GPU/XPU cluster architectures determine attach ratios (scale-out, and now scale-up going optical).</t>
        </is>
      </c>
      <c r="D14" s="13" t="inlineStr">
        <is>
          <t>-</t>
        </is>
      </c>
      <c r="E14" s="8" t="inlineStr">
        <is>
          <t>Nvidia, AMD, Google TPU, AWS Trainium, Microsoft, Meta</t>
        </is>
      </c>
      <c r="F14" s="8" t="inlineStr">
        <is>
          <t>Scale-up networks moving from copper to optics is the biggest upside optionality in the model.</t>
        </is>
      </c>
    </row>
    <row r="16">
      <c r="A16" s="3" t="inlineStr">
        <is>
          <t>B. SEMICONDUCTOR FAB OPTICS CHAIN  (optics that make semiconductors)</t>
        </is>
      </c>
    </row>
    <row r="17">
      <c r="A17" s="6" t="inlineStr">
        <is>
          <t>#</t>
        </is>
      </c>
      <c r="B17" s="6" t="inlineStr">
        <is>
          <t>Value-chain stage</t>
        </is>
      </c>
      <c r="C17" s="6" t="inlineStr">
        <is>
          <t>What it is / why it matters</t>
        </is>
      </c>
      <c r="D17" s="6" t="inlineStr">
        <is>
          <t>Universe names (tickers)</t>
        </is>
      </c>
      <c r="E17" s="6" t="inlineStr">
        <is>
          <t>Key private / non-universe players</t>
        </is>
      </c>
      <c r="F17" s="6" t="inlineStr">
        <is>
          <t>Bottlenecks &amp; notes</t>
        </is>
      </c>
    </row>
    <row r="18" ht="40" customHeight="1">
      <c r="A18" s="14" t="n">
        <v>1</v>
      </c>
      <c r="B18" s="13" t="inlineStr">
        <is>
          <t>Lithography light sources</t>
        </is>
      </c>
      <c r="C18" s="8" t="inlineStr">
        <is>
          <t>DUV excimer lasers (KrF/ArF) and EUV LPP sources (CO2 laser + tin plasma) that generate the exposure light.</t>
        </is>
      </c>
      <c r="D18" s="13" t="inlineStr">
        <is>
          <t>ASML (Cymer), 6925.T</t>
        </is>
      </c>
      <c r="E18" s="8" t="inlineStr">
        <is>
          <t>Gigaphoton (Komatsu)</t>
        </is>
      </c>
      <c r="F18" s="8" t="inlineStr">
        <is>
          <t>EUV source power (&gt;500W) gates High-NA throughput; excimer duopoly Cymer/Gigaphoton.</t>
        </is>
      </c>
    </row>
    <row r="19" ht="40" customHeight="1">
      <c r="A19" s="14" t="n">
        <v>2</v>
      </c>
      <c r="B19" s="13" t="inlineStr">
        <is>
          <t>Projection &amp; illumination optics</t>
        </is>
      </c>
      <c r="C19" s="8" t="inlineStr">
        <is>
          <t>The most precise optics made: EUV mirror sets (sub-nm figure error) and ArF immersion lens columns.</t>
        </is>
      </c>
      <c r="D19" s="13" t="inlineStr">
        <is>
          <t>7731.T, 7751.T (in-house)</t>
        </is>
      </c>
      <c r="E19" s="8" t="inlineStr">
        <is>
          <t>Zeiss SMT (ASML's optics partner, private)</t>
        </is>
      </c>
      <c r="F19" s="8" t="inlineStr">
        <is>
          <t>Zeiss SMT is a sole-source choke point for EUV mirrors - unlisted, accessed via ASML.</t>
        </is>
      </c>
    </row>
    <row r="20" ht="40" customHeight="1">
      <c r="A20" s="14" t="n">
        <v>3</v>
      </c>
      <c r="B20" s="13" t="inlineStr">
        <is>
          <t>Photomask blanks, pellicles &amp; photomasks</t>
        </is>
      </c>
      <c r="C20" s="8" t="inlineStr">
        <is>
          <t>EUV blanks (40+ multilayer coatings, near-zero defects), DUV blanks, pellicles protecting masks in the scanner.</t>
        </is>
      </c>
      <c r="D20" s="13" t="inlineStr">
        <is>
          <t>7741.T</t>
        </is>
      </c>
      <c r="E20" s="8" t="inlineStr">
        <is>
          <t>AGC, Mitsui Chemicals (pellicles), Toppan/DNP (masks)</t>
        </is>
      </c>
      <c r="F20" s="8" t="inlineStr">
        <is>
          <t>Hoya ~near-monopoly in EUV blanks; blank defectivity feeds straight into Lasertec/KLA inspection demand.</t>
        </is>
      </c>
    </row>
    <row r="21" ht="40" customHeight="1">
      <c r="A21" s="14" t="n">
        <v>4</v>
      </c>
      <c r="B21" s="13" t="inlineStr">
        <is>
          <t>Lithography systems</t>
        </is>
      </c>
      <c r="C21" s="8" t="inlineStr">
        <is>
          <t>Scanner/stepper integration - the optical system that prints every transistor.</t>
        </is>
      </c>
      <c r="D21" s="13" t="inlineStr">
        <is>
          <t>ASML, 7731.T, 7751.T</t>
        </is>
      </c>
      <c r="E21" s="8" t="inlineStr">
        <is>
          <t>SMEE (China, embargoed at leading edge)</t>
        </is>
      </c>
      <c r="F21" s="8" t="inlineStr">
        <is>
          <t>ASML monopoly at EUV; DUV export controls reshape China demand for Nikon/Canon mature tools.</t>
        </is>
      </c>
    </row>
    <row r="22" ht="40" customHeight="1">
      <c r="A22" s="14" t="n">
        <v>5</v>
      </c>
      <c r="B22" s="13" t="inlineStr">
        <is>
          <t>Mask &amp; blank inspection (actinic)</t>
        </is>
      </c>
      <c r="C22" s="8" t="inlineStr">
        <is>
          <t>Inspecting EUV masks with EUV light itself - the only way to see printable phase defects.</t>
        </is>
      </c>
      <c r="D22" s="13" t="inlineStr">
        <is>
          <t>6920.T, KLAC</t>
        </is>
      </c>
      <c r="E22" s="8" t="inlineStr">
        <is>
          <t>-</t>
        </is>
      </c>
      <c r="F22" s="8" t="inlineStr">
        <is>
          <t>Lasertec ACTIS is sole-source actinic patterned-mask inspection; KLA competes at DUV/e-beam.</t>
        </is>
      </c>
    </row>
    <row r="23" ht="40" customHeight="1">
      <c r="A23" s="14" t="n">
        <v>6</v>
      </c>
      <c r="B23" s="13" t="inlineStr">
        <is>
          <t>Wafer inspection &amp; optical metrology</t>
        </is>
      </c>
      <c r="C23" s="8" t="inlineStr">
        <is>
          <t>Broadband-plasma/laser inspection, OCD &amp; overlay metrology - yield control for EUV nodes, GAA and HBM.</t>
        </is>
      </c>
      <c r="D23" s="13" t="inlineStr">
        <is>
          <t>KLAC, ONTO, NVMI, CAMT</t>
        </is>
      </c>
      <c r="E23" s="8" t="inlineStr">
        <is>
          <t>Applied Materials (PDC), Hitachi High-Tech (e-beam)</t>
        </is>
      </c>
      <c r="F23" s="8" t="inlineStr">
        <is>
          <t>Process-control intensity rises with EUV layer count and advanced packaging - structural share of WFE grows.</t>
        </is>
      </c>
    </row>
    <row r="24" ht="40" customHeight="1">
      <c r="A24" s="14" t="n">
        <v>7</v>
      </c>
      <c r="B24" s="13" t="inlineStr">
        <is>
          <t>Laser processing in fab &amp; packaging</t>
        </is>
      </c>
      <c r="C24" s="8" t="inlineStr">
        <is>
          <t>Annealing, wafer dicing/grooving, via drilling, marking - laser steps throughout front &amp; back end.</t>
        </is>
      </c>
      <c r="D24" s="13" t="inlineStr">
        <is>
          <t>IPGP, COHR</t>
        </is>
      </c>
      <c r="E24" s="8" t="inlineStr">
        <is>
          <t>DISCO, Hamamatsu, Amada/Via Mechanics</t>
        </is>
      </c>
      <c r="F24" s="8" t="inlineStr">
        <is>
          <t>Advanced packaging (CoWoS/HBM) adds laser drilling/dicing content per wafer.</t>
        </is>
      </c>
    </row>
    <row r="26">
      <c r="A26" s="3" t="inlineStr">
        <is>
          <t>C. CROSS-CUTTING ENABLERS</t>
        </is>
      </c>
    </row>
    <row r="27">
      <c r="A27" s="6" t="inlineStr">
        <is>
          <t>#</t>
        </is>
      </c>
      <c r="B27" s="6" t="inlineStr">
        <is>
          <t>Value-chain stage</t>
        </is>
      </c>
      <c r="C27" s="6" t="inlineStr">
        <is>
          <t>What it is / why it matters</t>
        </is>
      </c>
      <c r="D27" s="6" t="inlineStr">
        <is>
          <t>Universe names (tickers)</t>
        </is>
      </c>
      <c r="E27" s="6" t="inlineStr">
        <is>
          <t>Key private / non-universe players</t>
        </is>
      </c>
      <c r="F27" s="6" t="inlineStr">
        <is>
          <t>Bottlenecks &amp; notes</t>
        </is>
      </c>
    </row>
    <row r="28" ht="40" customHeight="1">
      <c r="A28" s="14" t="n">
        <v>1</v>
      </c>
      <c r="B28" s="13" t="inlineStr">
        <is>
          <t>Optical fiber, cable &amp; connectivity</t>
        </is>
      </c>
      <c r="C28" s="8" t="inlineStr">
        <is>
          <t>Intra/inter-datacenter fiber plant; AI clusters need 2-5x the fiber of classic cloud halls.</t>
        </is>
      </c>
      <c r="D28" s="13" t="inlineStr">
        <is>
          <t>GLW</t>
        </is>
      </c>
      <c r="E28" s="8" t="inlineStr">
        <is>
          <t>Prysmian, CommScope, Amphenol (connectivity)</t>
        </is>
      </c>
      <c r="F28" s="8" t="inlineStr">
        <is>
          <t>Pre-terminated high-density fiber (MPO trunks) is a hidden AI capex line-item.</t>
        </is>
      </c>
    </row>
    <row r="29" ht="40" customHeight="1">
      <c r="A29" s="14" t="n">
        <v>2</v>
      </c>
      <c r="B29" s="13" t="inlineStr">
        <is>
          <t>Co-packaged optics (CPO) ecosystem</t>
        </is>
      </c>
      <c r="C29" s="8" t="inlineStr">
        <is>
          <t>Optical engines mounted beside the switch/XPU die; replaces pluggables at highest speeds.</t>
        </is>
      </c>
      <c r="D29" s="13" t="inlineStr">
        <is>
          <t>AVGO, MRVL, COHR, LITE, 300394.SZ, POET</t>
        </is>
      </c>
      <c r="E29" s="8" t="inlineStr">
        <is>
          <t>Nvidia (Quantum-X/Spectrum-X photonics), TSMC COUPE</t>
        </is>
      </c>
      <c r="F29" s="8" t="inlineStr">
        <is>
          <t>CPO shifts value: less pluggable assembly, more laser sources (external light), fiber coupling and foundry SiPh.</t>
        </is>
      </c>
    </row>
    <row r="30" ht="40" customHeight="1">
      <c r="A30" s="14" t="n">
        <v>3</v>
      </c>
      <c r="B30" s="13" t="inlineStr">
        <is>
          <t>Optical test &amp; measurement</t>
        </is>
      </c>
      <c r="C30" s="8" t="inlineStr">
        <is>
          <t>Module/link test at 200G-per-lane; test intensity per port rises with speed.</t>
        </is>
      </c>
      <c r="D30" s="13" t="inlineStr">
        <is>
          <t>-</t>
        </is>
      </c>
      <c r="E30" s="8" t="inlineStr">
        <is>
          <t>EXFO, Viavi, Keysight, Yokogawa</t>
        </is>
      </c>
      <c r="F30" s="8" t="inlineStr">
        <is>
          <t>Test capacity often gates module shipment ramps in tight quarters.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J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60" customWidth="1" min="10" max="10"/>
  </cols>
  <sheetData>
    <row r="1">
      <c r="A1" s="1" t="inlineStr">
        <is>
          <t>AI / Datacom + Fab-Equipment Optics: Driver-Based Market Model</t>
        </is>
      </c>
    </row>
    <row r="2">
      <c r="A2" s="2" t="inlineStr">
        <is>
          <t>Blue = input assumption (flex freely). All $ in millions unless marked $B.</t>
        </is>
      </c>
    </row>
    <row r="4">
      <c r="A4" s="6" t="inlineStr">
        <is>
          <t>Driver / line item</t>
        </is>
      </c>
      <c r="B4" s="6" t="inlineStr">
        <is>
          <t>Units</t>
        </is>
      </c>
      <c r="C4" s="6" t="inlineStr">
        <is>
          <t>2023A</t>
        </is>
      </c>
      <c r="D4" s="6" t="inlineStr">
        <is>
          <t>2024A</t>
        </is>
      </c>
      <c r="E4" s="6" t="inlineStr">
        <is>
          <t>2025E</t>
        </is>
      </c>
      <c r="F4" s="6" t="inlineStr">
        <is>
          <t>2026E</t>
        </is>
      </c>
      <c r="G4" s="6" t="inlineStr">
        <is>
          <t>2027E</t>
        </is>
      </c>
      <c r="H4" s="6" t="inlineStr">
        <is>
          <t>2028E</t>
        </is>
      </c>
      <c r="I4" s="6" t="inlineStr">
        <is>
          <t>YoY assump.</t>
        </is>
      </c>
      <c r="J4" s="6" t="inlineStr">
        <is>
          <t>Notes</t>
        </is>
      </c>
    </row>
    <row r="5">
      <c r="A5" s="3" t="inlineStr">
        <is>
          <t>1. AI / DATACOM OPTICAL TRANSCEIVER DEMAND</t>
        </is>
      </c>
    </row>
    <row r="6">
      <c r="A6" s="15" t="inlineStr">
        <is>
          <t>AI accelerator shipments (GPU + custom XPU)</t>
        </is>
      </c>
      <c r="B6" s="14" t="inlineStr">
        <is>
          <t>M units</t>
        </is>
      </c>
      <c r="C6" s="16" t="n">
        <v>3.9</v>
      </c>
      <c r="D6" s="16" t="n">
        <v>6.5</v>
      </c>
      <c r="E6" s="16" t="n">
        <v>9.5</v>
      </c>
      <c r="F6" s="16" t="n">
        <v>12.5</v>
      </c>
      <c r="G6" s="16" t="n">
        <v>15.5</v>
      </c>
      <c r="H6" s="16" t="n">
        <v>18</v>
      </c>
      <c r="J6" s="17" t="inlineStr">
        <is>
          <t>Nvidia + AMD + hyperscaler ASICs; the primary demand driver.</t>
        </is>
      </c>
    </row>
    <row r="7">
      <c r="A7" s="15" t="inlineStr">
        <is>
          <t xml:space="preserve">   YoY growth</t>
        </is>
      </c>
      <c r="B7" s="14" t="inlineStr">
        <is>
          <t>%</t>
        </is>
      </c>
      <c r="C7" s="14" t="inlineStr"/>
      <c r="D7" s="18">
        <f>IFERROR(D6/C6-1,"")</f>
        <v/>
      </c>
      <c r="E7" s="18">
        <f>IFERROR(E6/D6-1,"")</f>
        <v/>
      </c>
      <c r="F7" s="18">
        <f>IFERROR(F6/E6-1,"")</f>
        <v/>
      </c>
      <c r="G7" s="18">
        <f>IFERROR(G6/F6-1,"")</f>
        <v/>
      </c>
      <c r="H7" s="18">
        <f>IFERROR(H6/G6-1,"")</f>
        <v/>
      </c>
      <c r="J7" s="17" t="inlineStr"/>
    </row>
    <row r="8">
      <c r="A8" s="15" t="inlineStr">
        <is>
          <t>Optical ports per accelerator (attach ratio)</t>
        </is>
      </c>
      <c r="B8" s="14" t="inlineStr">
        <is>
          <t>ports/unit</t>
        </is>
      </c>
      <c r="C8" s="16" t="n">
        <v>2</v>
      </c>
      <c r="D8" s="16" t="n">
        <v>2.4</v>
      </c>
      <c r="E8" s="16" t="n">
        <v>2.8</v>
      </c>
      <c r="F8" s="16" t="n">
        <v>3</v>
      </c>
      <c r="G8" s="16" t="n">
        <v>3.3</v>
      </c>
      <c r="H8" s="16" t="n">
        <v>3.5</v>
      </c>
      <c r="J8" s="17" t="inlineStr">
        <is>
          <t>Scale-out today; rises as scale-up fabrics go optical. Key swing input.</t>
        </is>
      </c>
    </row>
    <row r="9">
      <c r="A9" s="19" t="inlineStr">
        <is>
          <t>AI-driven optical ports</t>
        </is>
      </c>
      <c r="B9" s="14" t="inlineStr">
        <is>
          <t>M units</t>
        </is>
      </c>
      <c r="C9" s="20">
        <f>(C6*C8)</f>
        <v/>
      </c>
      <c r="D9" s="20">
        <f>(D6*D8)</f>
        <v/>
      </c>
      <c r="E9" s="20">
        <f>(E6*E8)</f>
        <v/>
      </c>
      <c r="F9" s="20">
        <f>(F6*F8)</f>
        <v/>
      </c>
      <c r="G9" s="20">
        <f>(G6*G8)</f>
        <v/>
      </c>
      <c r="H9" s="20">
        <f>(H6*H8)</f>
        <v/>
      </c>
      <c r="J9" s="17" t="inlineStr">
        <is>
          <t>Formula: accelerators x attach ratio</t>
        </is>
      </c>
    </row>
    <row r="10">
      <c r="A10" s="15" t="inlineStr">
        <is>
          <t>Non-AI datacom ports (classic cloud/enterprise)</t>
        </is>
      </c>
      <c r="B10" s="14" t="inlineStr">
        <is>
          <t>M units</t>
        </is>
      </c>
      <c r="C10" s="16" t="n">
        <v>10</v>
      </c>
      <c r="D10" s="21">
        <f>C10*(1+$I$10)</f>
        <v/>
      </c>
      <c r="E10" s="21">
        <f>D10*(1+$I$10)</f>
        <v/>
      </c>
      <c r="F10" s="21">
        <f>E10*(1+$I$10)</f>
        <v/>
      </c>
      <c r="G10" s="21">
        <f>F10*(1+$I$10)</f>
        <v/>
      </c>
      <c r="H10" s="21">
        <f>G10*(1+$I$10)</f>
        <v/>
      </c>
      <c r="I10" s="22" t="n">
        <v>0.08</v>
      </c>
      <c r="J10" s="17" t="inlineStr">
        <is>
          <t>2023 base is input; grows at rate in col I.</t>
        </is>
      </c>
    </row>
    <row r="11">
      <c r="A11" s="19" t="inlineStr">
        <is>
          <t>Total datacom optical ports</t>
        </is>
      </c>
      <c r="B11" s="14" t="inlineStr">
        <is>
          <t>M units</t>
        </is>
      </c>
      <c r="C11" s="23">
        <f>C9+C10</f>
        <v/>
      </c>
      <c r="D11" s="23">
        <f>D9+D10</f>
        <v/>
      </c>
      <c r="E11" s="23">
        <f>E9+E10</f>
        <v/>
      </c>
      <c r="F11" s="23">
        <f>F9+F10</f>
        <v/>
      </c>
      <c r="G11" s="23">
        <f>G9+G10</f>
        <v/>
      </c>
      <c r="H11" s="23">
        <f>H9+H10</f>
        <v/>
      </c>
      <c r="J11" s="17" t="inlineStr"/>
    </row>
    <row r="13">
      <c r="A13" s="3" t="inlineStr">
        <is>
          <t>2. PORT SPEED MIX (% of total ports)</t>
        </is>
      </c>
    </row>
    <row r="14">
      <c r="A14" s="15" t="inlineStr">
        <is>
          <t>&lt;= 400G</t>
        </is>
      </c>
      <c r="B14" s="14" t="inlineStr">
        <is>
          <t>% mix</t>
        </is>
      </c>
      <c r="C14" s="22" t="n">
        <v>0.7</v>
      </c>
      <c r="D14" s="22" t="n">
        <v>0.45</v>
      </c>
      <c r="E14" s="22" t="n">
        <v>0.3</v>
      </c>
      <c r="F14" s="22" t="n">
        <v>0.2</v>
      </c>
      <c r="G14" s="22" t="n">
        <v>0.12</v>
      </c>
      <c r="H14" s="22" t="n">
        <v>0.08</v>
      </c>
      <c r="J14" s="17" t="inlineStr">
        <is>
          <t>Legacy speeds fade but never fully disappear.</t>
        </is>
      </c>
    </row>
    <row r="15">
      <c r="A15" s="15" t="inlineStr">
        <is>
          <t>800G</t>
        </is>
      </c>
      <c r="B15" s="14" t="inlineStr">
        <is>
          <t>% mix</t>
        </is>
      </c>
      <c r="C15" s="22" t="n">
        <v>0.3</v>
      </c>
      <c r="D15" s="22" t="n">
        <v>0.55</v>
      </c>
      <c r="E15" s="22" t="n">
        <v>0.6</v>
      </c>
      <c r="F15" s="22" t="n">
        <v>0.55</v>
      </c>
      <c r="G15" s="22" t="n">
        <v>0.48</v>
      </c>
      <c r="H15" s="22" t="n">
        <v>0.4</v>
      </c>
      <c r="J15" s="17" t="inlineStr">
        <is>
          <t>Workhorse speed of the 2024-2027 build.</t>
        </is>
      </c>
    </row>
    <row r="16">
      <c r="A16" s="15" t="inlineStr">
        <is>
          <t>1.6T</t>
        </is>
      </c>
      <c r="B16" s="14" t="inlineStr">
        <is>
          <t>% mix</t>
        </is>
      </c>
      <c r="C16" s="22" t="n">
        <v>0</v>
      </c>
      <c r="D16" s="22" t="n">
        <v>0</v>
      </c>
      <c r="E16" s="22" t="n">
        <v>0.1</v>
      </c>
      <c r="F16" s="22" t="n">
        <v>0.25</v>
      </c>
      <c r="G16" s="22" t="n">
        <v>0.4</v>
      </c>
      <c r="H16" s="22" t="n">
        <v>0.52</v>
      </c>
      <c r="J16" s="17" t="inlineStr">
        <is>
          <t>Ramps with GB300/Rubin-class systems and 102.4T switching.</t>
        </is>
      </c>
    </row>
    <row r="17">
      <c r="A17" s="15" t="inlineStr">
        <is>
          <t xml:space="preserve">   Mix check (must = 100%)</t>
        </is>
      </c>
      <c r="B17" s="14" t="inlineStr">
        <is>
          <t>%</t>
        </is>
      </c>
      <c r="C17" s="24">
        <f>SUM(C14:C16)</f>
        <v/>
      </c>
      <c r="D17" s="24">
        <f>SUM(D14:D16)</f>
        <v/>
      </c>
      <c r="E17" s="24">
        <f>SUM(E14:E16)</f>
        <v/>
      </c>
      <c r="F17" s="24">
        <f>SUM(F14:F16)</f>
        <v/>
      </c>
      <c r="G17" s="24">
        <f>SUM(G14:G16)</f>
        <v/>
      </c>
      <c r="H17" s="24">
        <f>SUM(H14:H16)</f>
        <v/>
      </c>
      <c r="J17" s="17" t="inlineStr"/>
    </row>
    <row r="19">
      <c r="A19" s="3" t="inlineStr">
        <is>
          <t>3. ASPs ($ per port; first year input, then declines at rate in col I)</t>
        </is>
      </c>
    </row>
    <row r="20">
      <c r="A20" s="15" t="inlineStr">
        <is>
          <t>&lt;= 400G ASP</t>
        </is>
      </c>
      <c r="B20" s="14" t="inlineStr">
        <is>
          <t>$/port</t>
        </is>
      </c>
      <c r="C20" s="25" t="n">
        <v>350</v>
      </c>
      <c r="D20" s="26">
        <f>C20*(1+$I$20)</f>
        <v/>
      </c>
      <c r="E20" s="26">
        <f>D20*(1+$I$20)</f>
        <v/>
      </c>
      <c r="F20" s="26">
        <f>E20*(1+$I$20)</f>
        <v/>
      </c>
      <c r="G20" s="26">
        <f>F20*(1+$I$20)</f>
        <v/>
      </c>
      <c r="H20" s="26">
        <f>G20*(1+$I$20)</f>
        <v/>
      </c>
      <c r="I20" s="22" t="n">
        <v>-0.15</v>
      </c>
      <c r="J20" s="17" t="inlineStr">
        <is>
          <t>Mature product; steady price erosion.</t>
        </is>
      </c>
    </row>
    <row r="21">
      <c r="A21" s="15" t="inlineStr">
        <is>
          <t>800G ASP</t>
        </is>
      </c>
      <c r="B21" s="14" t="inlineStr">
        <is>
          <t>$/port</t>
        </is>
      </c>
      <c r="C21" s="25" t="n">
        <v>950</v>
      </c>
      <c r="D21" s="26">
        <f>C21*(1+$I$21)</f>
        <v/>
      </c>
      <c r="E21" s="26">
        <f>D21*(1+$I$21)</f>
        <v/>
      </c>
      <c r="F21" s="26">
        <f>E21*(1+$I$21)</f>
        <v/>
      </c>
      <c r="G21" s="26">
        <f>F21*(1+$I$21)</f>
        <v/>
      </c>
      <c r="H21" s="26">
        <f>G21*(1+$I$21)</f>
        <v/>
      </c>
      <c r="I21" s="22" t="n">
        <v>-0.12</v>
      </c>
      <c r="J21" s="17" t="inlineStr">
        <is>
          <t>EML-based OSFP; SiPh variants cheaper.</t>
        </is>
      </c>
    </row>
    <row r="22">
      <c r="A22" s="15" t="inlineStr">
        <is>
          <t>1.6T ASP</t>
        </is>
      </c>
      <c r="B22" s="14" t="inlineStr">
        <is>
          <t>$/port</t>
        </is>
      </c>
      <c r="C22" s="14" t="inlineStr"/>
      <c r="D22" s="14" t="inlineStr"/>
      <c r="E22" s="25" t="n">
        <v>1700</v>
      </c>
      <c r="F22" s="26">
        <f>E22*(1+$I$22)</f>
        <v/>
      </c>
      <c r="G22" s="26">
        <f>F22*(1+$I$22)</f>
        <v/>
      </c>
      <c r="H22" s="26">
        <f>G22*(1+$I$22)</f>
        <v/>
      </c>
      <c r="I22" s="22" t="n">
        <v>-0.18</v>
      </c>
      <c r="J22" s="17" t="inlineStr">
        <is>
          <t>Enters 2025; fastest erosion as SiPh scales.</t>
        </is>
      </c>
    </row>
    <row r="24">
      <c r="A24" s="3" t="inlineStr">
        <is>
          <t>4. DATACOM OPTICAL TRANSCEIVER MARKET ($M)</t>
        </is>
      </c>
    </row>
    <row r="25">
      <c r="A25" s="15" t="inlineStr">
        <is>
          <t>&lt;= 400G revenue</t>
        </is>
      </c>
      <c r="B25" s="14" t="inlineStr">
        <is>
          <t>$M</t>
        </is>
      </c>
      <c r="C25" s="27">
        <f>C11*C14*N(C20)</f>
        <v/>
      </c>
      <c r="D25" s="27">
        <f>D11*D14*N(D20)</f>
        <v/>
      </c>
      <c r="E25" s="27">
        <f>E11*E14*N(E20)</f>
        <v/>
      </c>
      <c r="F25" s="27">
        <f>F11*F14*N(F20)</f>
        <v/>
      </c>
      <c r="G25" s="27">
        <f>G11*G14*N(G20)</f>
        <v/>
      </c>
      <c r="H25" s="27">
        <f>H11*H14*N(H20)</f>
        <v/>
      </c>
      <c r="J25" s="17" t="inlineStr">
        <is>
          <t>Formula: total ports x mix x ASP  (M units x $ = $M)</t>
        </is>
      </c>
    </row>
    <row r="26">
      <c r="A26" s="15" t="inlineStr">
        <is>
          <t>800G revenue</t>
        </is>
      </c>
      <c r="B26" s="14" t="inlineStr">
        <is>
          <t>$M</t>
        </is>
      </c>
      <c r="C26" s="27">
        <f>C11*C15*N(C21)</f>
        <v/>
      </c>
      <c r="D26" s="27">
        <f>D11*D15*N(D21)</f>
        <v/>
      </c>
      <c r="E26" s="27">
        <f>E11*E15*N(E21)</f>
        <v/>
      </c>
      <c r="F26" s="27">
        <f>F11*F15*N(F21)</f>
        <v/>
      </c>
      <c r="G26" s="27">
        <f>G11*G15*N(G21)</f>
        <v/>
      </c>
      <c r="H26" s="27">
        <f>H11*H15*N(H21)</f>
        <v/>
      </c>
      <c r="J26" s="17" t="inlineStr">
        <is>
          <t>Formula: total ports x mix x ASP  (M units x $ = $M)</t>
        </is>
      </c>
    </row>
    <row r="27">
      <c r="A27" s="15" t="inlineStr">
        <is>
          <t>1.6T revenue</t>
        </is>
      </c>
      <c r="B27" s="14" t="inlineStr">
        <is>
          <t>$M</t>
        </is>
      </c>
      <c r="C27" s="27">
        <f>C11*C16*N(C22)</f>
        <v/>
      </c>
      <c r="D27" s="27">
        <f>D11*D16*N(D22)</f>
        <v/>
      </c>
      <c r="E27" s="27">
        <f>E11*E16*N(E22)</f>
        <v/>
      </c>
      <c r="F27" s="27">
        <f>F11*F16*N(F22)</f>
        <v/>
      </c>
      <c r="G27" s="27">
        <f>G11*G16*N(G22)</f>
        <v/>
      </c>
      <c r="H27" s="27">
        <f>H11*H16*N(H22)</f>
        <v/>
      </c>
      <c r="J27" s="17" t="inlineStr">
        <is>
          <t>Formula: total ports x mix x ASP  (M units x $ = $M)</t>
        </is>
      </c>
    </row>
    <row r="28">
      <c r="A28" s="19" t="inlineStr">
        <is>
          <t>Total datacom transceiver market</t>
        </is>
      </c>
      <c r="B28" s="14" t="inlineStr">
        <is>
          <t>$M</t>
        </is>
      </c>
      <c r="C28" s="28">
        <f>SUM(C25:C27)</f>
        <v/>
      </c>
      <c r="D28" s="28">
        <f>SUM(D25:D27)</f>
        <v/>
      </c>
      <c r="E28" s="28">
        <f>SUM(E25:E27)</f>
        <v/>
      </c>
      <c r="F28" s="28">
        <f>SUM(F25:F27)</f>
        <v/>
      </c>
      <c r="G28" s="28">
        <f>SUM(G25:G27)</f>
        <v/>
      </c>
      <c r="H28" s="28">
        <f>SUM(H25:H27)</f>
        <v/>
      </c>
      <c r="J28" s="17" t="inlineStr"/>
    </row>
    <row r="29">
      <c r="A29" s="15" t="inlineStr">
        <is>
          <t xml:space="preserve">   YoY growth</t>
        </is>
      </c>
      <c r="B29" s="14" t="inlineStr">
        <is>
          <t>%</t>
        </is>
      </c>
      <c r="C29" s="14" t="inlineStr"/>
      <c r="D29" s="18">
        <f>IFERROR(D28/C28-1,"")</f>
        <v/>
      </c>
      <c r="E29" s="18">
        <f>IFERROR(E28/D28-1,"")</f>
        <v/>
      </c>
      <c r="F29" s="18">
        <f>IFERROR(F28/E28-1,"")</f>
        <v/>
      </c>
      <c r="G29" s="18">
        <f>IFERROR(G28/F28-1,"")</f>
        <v/>
      </c>
      <c r="H29" s="18">
        <f>IFERROR(H28/G28-1,"")</f>
        <v/>
      </c>
      <c r="J29" s="17" t="inlineStr"/>
    </row>
    <row r="31">
      <c r="A31" s="3" t="inlineStr">
        <is>
          <t>5. CO-PACKAGED OPTICS (CPO) DISPLACEMENT</t>
        </is>
      </c>
    </row>
    <row r="32">
      <c r="A32" s="15" t="inlineStr">
        <is>
          <t>CPO share of 1.6T ports</t>
        </is>
      </c>
      <c r="B32" s="14" t="inlineStr">
        <is>
          <t>% of 1.6T</t>
        </is>
      </c>
      <c r="C32" s="22" t="n">
        <v>0</v>
      </c>
      <c r="D32" s="22" t="n">
        <v>0</v>
      </c>
      <c r="E32" s="22" t="n">
        <v>0</v>
      </c>
      <c r="F32" s="22" t="n">
        <v>0.02</v>
      </c>
      <c r="G32" s="22" t="n">
        <v>0.06</v>
      </c>
      <c r="H32" s="22" t="n">
        <v>0.12</v>
      </c>
      <c r="J32" s="17" t="inlineStr">
        <is>
          <t>Nvidia Quantum-X/Spectrum-X photonics + Broadcom Bailly ramp.</t>
        </is>
      </c>
    </row>
    <row r="33">
      <c r="A33" s="15" t="inlineStr">
        <is>
          <t>Pluggable revenue displaced by CPO</t>
        </is>
      </c>
      <c r="B33" s="14" t="inlineStr">
        <is>
          <t>$M</t>
        </is>
      </c>
      <c r="C33" s="27">
        <f>C27*C32</f>
        <v/>
      </c>
      <c r="D33" s="27">
        <f>D27*D32</f>
        <v/>
      </c>
      <c r="E33" s="27">
        <f>E27*E32</f>
        <v/>
      </c>
      <c r="F33" s="27">
        <f>F27*F32</f>
        <v/>
      </c>
      <c r="G33" s="27">
        <f>G27*G32</f>
        <v/>
      </c>
      <c r="H33" s="27">
        <f>H27*H32</f>
        <v/>
      </c>
      <c r="J33" s="17" t="inlineStr">
        <is>
          <t>Formula: 1.6T revenue x CPO share</t>
        </is>
      </c>
    </row>
    <row r="34">
      <c r="A34" s="19" t="inlineStr">
        <is>
          <t>Net pluggable transceiver market</t>
        </is>
      </c>
      <c r="B34" s="14" t="inlineStr">
        <is>
          <t>$M</t>
        </is>
      </c>
      <c r="C34" s="28">
        <f>C28-C33</f>
        <v/>
      </c>
      <c r="D34" s="28">
        <f>D28-D33</f>
        <v/>
      </c>
      <c r="E34" s="28">
        <f>E28-E33</f>
        <v/>
      </c>
      <c r="F34" s="28">
        <f>F28-F33</f>
        <v/>
      </c>
      <c r="G34" s="28">
        <f>G28-G33</f>
        <v/>
      </c>
      <c r="H34" s="28">
        <f>H28-H33</f>
        <v/>
      </c>
      <c r="J34" s="17" t="inlineStr">
        <is>
          <t>What the module makers (Comps: Transceivers segment) actually ship.</t>
        </is>
      </c>
    </row>
    <row r="36">
      <c r="A36" s="3" t="inlineStr">
        <is>
          <t>6. TELECOM OPTICS (components + modules)</t>
        </is>
      </c>
    </row>
    <row r="37">
      <c r="A37" s="15" t="inlineStr">
        <is>
          <t>Telecom optics growth</t>
        </is>
      </c>
      <c r="B37" s="14" t="inlineStr">
        <is>
          <t>% YoY</t>
        </is>
      </c>
      <c r="C37" s="14" t="inlineStr"/>
      <c r="D37" s="22" t="n">
        <v>-0.08</v>
      </c>
      <c r="E37" s="22" t="n">
        <v>0.04</v>
      </c>
      <c r="F37" s="22" t="n">
        <v>0.07000000000000001</v>
      </c>
      <c r="G37" s="22" t="n">
        <v>0.06</v>
      </c>
      <c r="H37" s="22" t="n">
        <v>0.05</v>
      </c>
      <c r="J37" s="17" t="inlineStr">
        <is>
          <t>2024 inventory digestion, then 400ZR/800ZR-led recovery.</t>
        </is>
      </c>
    </row>
    <row r="38">
      <c r="A38" s="19" t="inlineStr">
        <is>
          <t>Telecom optics market</t>
        </is>
      </c>
      <c r="B38" s="14" t="inlineStr">
        <is>
          <t>$M</t>
        </is>
      </c>
      <c r="C38" s="29" t="n">
        <v>14000</v>
      </c>
      <c r="D38" s="30">
        <f>C38*(1+D37)</f>
        <v/>
      </c>
      <c r="E38" s="30">
        <f>D38*(1+E37)</f>
        <v/>
      </c>
      <c r="F38" s="30">
        <f>E38*(1+F37)</f>
        <v/>
      </c>
      <c r="G38" s="30">
        <f>F38*(1+G37)</f>
        <v/>
      </c>
      <c r="H38" s="30">
        <f>G38*(1+H37)</f>
        <v/>
      </c>
      <c r="J38" s="17" t="inlineStr">
        <is>
          <t>2023 base input.</t>
        </is>
      </c>
    </row>
    <row r="40">
      <c r="A40" s="3" t="inlineStr">
        <is>
          <t>7. SEMICONDUCTOR FAB OPTICS (equipment chain, $B)</t>
        </is>
      </c>
    </row>
    <row r="41">
      <c r="A41" s="15" t="inlineStr">
        <is>
          <t>Wafer fab equipment (WFE) spend</t>
        </is>
      </c>
      <c r="B41" s="14" t="inlineStr">
        <is>
          <t>$B</t>
        </is>
      </c>
      <c r="C41" s="16" t="n">
        <v>95</v>
      </c>
      <c r="D41" s="16" t="n">
        <v>105</v>
      </c>
      <c r="E41" s="16" t="n">
        <v>118</v>
      </c>
      <c r="F41" s="16" t="n">
        <v>130</v>
      </c>
      <c r="G41" s="16" t="n">
        <v>140</v>
      </c>
      <c r="H41" s="16" t="n">
        <v>150</v>
      </c>
      <c r="J41" s="17" t="inlineStr">
        <is>
          <t>AI/leading-edge logic + HBM led cycle.</t>
        </is>
      </c>
    </row>
    <row r="42">
      <c r="A42" s="15" t="inlineStr">
        <is>
          <t>Lithography share of WFE</t>
        </is>
      </c>
      <c r="B42" s="14" t="inlineStr">
        <is>
          <t>%</t>
        </is>
      </c>
      <c r="C42" s="22" t="n">
        <v>0.22</v>
      </c>
      <c r="D42" s="22" t="n">
        <v>0.23</v>
      </c>
      <c r="E42" s="22" t="n">
        <v>0.23</v>
      </c>
      <c r="F42" s="22" t="n">
        <v>0.24</v>
      </c>
      <c r="G42" s="22" t="n">
        <v>0.24</v>
      </c>
      <c r="H42" s="22" t="n">
        <v>0.24</v>
      </c>
      <c r="J42" s="17" t="inlineStr">
        <is>
          <t>EUV mix pushes litho share up over time.</t>
        </is>
      </c>
    </row>
    <row r="43">
      <c r="A43" s="15" t="inlineStr">
        <is>
          <t>Lithography systems market</t>
        </is>
      </c>
      <c r="B43" s="14" t="inlineStr">
        <is>
          <t>$B</t>
        </is>
      </c>
      <c r="C43" s="21">
        <f>C41*C42</f>
        <v/>
      </c>
      <c r="D43" s="21">
        <f>D41*D42</f>
        <v/>
      </c>
      <c r="E43" s="21">
        <f>E41*E42</f>
        <v/>
      </c>
      <c r="F43" s="21">
        <f>F41*F42</f>
        <v/>
      </c>
      <c r="G43" s="21">
        <f>G41*G42</f>
        <v/>
      </c>
      <c r="H43" s="21">
        <f>H41*H42</f>
        <v/>
      </c>
      <c r="J43" s="17" t="inlineStr"/>
    </row>
    <row r="44">
      <c r="A44" s="15" t="inlineStr">
        <is>
          <t>Optics + light-source content of litho tools</t>
        </is>
      </c>
      <c r="B44" s="14" t="inlineStr">
        <is>
          <t>%</t>
        </is>
      </c>
      <c r="C44" s="22" t="n">
        <v>0.33</v>
      </c>
      <c r="D44" s="22" t="n">
        <v>0.34</v>
      </c>
      <c r="E44" s="22" t="n">
        <v>0.34</v>
      </c>
      <c r="F44" s="22" t="n">
        <v>0.35</v>
      </c>
      <c r="G44" s="22" t="n">
        <v>0.35</v>
      </c>
      <c r="H44" s="22" t="n">
        <v>0.35</v>
      </c>
      <c r="J44" s="17" t="inlineStr">
        <is>
          <t>Zeiss optics + Cymer source ~1/3 of an EUV tool's value.</t>
        </is>
      </c>
    </row>
    <row r="45">
      <c r="A45" s="19" t="inlineStr">
        <is>
          <t>Litho optics &amp; source content</t>
        </is>
      </c>
      <c r="B45" s="14" t="inlineStr">
        <is>
          <t>$B</t>
        </is>
      </c>
      <c r="C45" s="20">
        <f>C43*C44</f>
        <v/>
      </c>
      <c r="D45" s="20">
        <f>D43*D44</f>
        <v/>
      </c>
      <c r="E45" s="20">
        <f>E43*E44</f>
        <v/>
      </c>
      <c r="F45" s="20">
        <f>F43*F44</f>
        <v/>
      </c>
      <c r="G45" s="20">
        <f>G43*G44</f>
        <v/>
      </c>
      <c r="H45" s="20">
        <f>H43*H44</f>
        <v/>
      </c>
      <c r="J45" s="17" t="inlineStr"/>
    </row>
    <row r="46">
      <c r="A46" s="15" t="inlineStr">
        <is>
          <t>Process control share of WFE</t>
        </is>
      </c>
      <c r="B46" s="14" t="inlineStr">
        <is>
          <t>%</t>
        </is>
      </c>
      <c r="C46" s="31" t="n">
        <v>0.105</v>
      </c>
      <c r="D46" s="31" t="n">
        <v>0.11</v>
      </c>
      <c r="E46" s="31" t="n">
        <v>0.11</v>
      </c>
      <c r="F46" s="31" t="n">
        <v>0.115</v>
      </c>
      <c r="G46" s="31" t="n">
        <v>0.115</v>
      </c>
      <c r="H46" s="31" t="n">
        <v>0.12</v>
      </c>
      <c r="J46" s="17" t="inlineStr">
        <is>
          <t>Rises with EUV layers &amp; advanced packaging.</t>
        </is>
      </c>
    </row>
    <row r="47">
      <c r="A47" s="15" t="inlineStr">
        <is>
          <t>Process control market</t>
        </is>
      </c>
      <c r="B47" s="14" t="inlineStr">
        <is>
          <t>$B</t>
        </is>
      </c>
      <c r="C47" s="21">
        <f>C41*C46</f>
        <v/>
      </c>
      <c r="D47" s="21">
        <f>D41*D46</f>
        <v/>
      </c>
      <c r="E47" s="21">
        <f>E41*E46</f>
        <v/>
      </c>
      <c r="F47" s="21">
        <f>F41*F46</f>
        <v/>
      </c>
      <c r="G47" s="21">
        <f>G41*G46</f>
        <v/>
      </c>
      <c r="H47" s="21">
        <f>H41*H46</f>
        <v/>
      </c>
      <c r="J47" s="17" t="inlineStr"/>
    </row>
    <row r="48">
      <c r="A48" s="15" t="inlineStr">
        <is>
          <t>Optical share of process control</t>
        </is>
      </c>
      <c r="B48" s="14" t="inlineStr">
        <is>
          <t>%</t>
        </is>
      </c>
      <c r="C48" s="22" t="n">
        <v>0.75</v>
      </c>
      <c r="D48" s="22" t="n">
        <v>0.75</v>
      </c>
      <c r="E48" s="22" t="n">
        <v>0.75</v>
      </c>
      <c r="F48" s="22" t="n">
        <v>0.75</v>
      </c>
      <c r="G48" s="22" t="n">
        <v>0.75</v>
      </c>
      <c r="H48" s="22" t="n">
        <v>0.75</v>
      </c>
      <c r="J48" s="17" t="inlineStr">
        <is>
          <t>Optical inspection/OCD vs e-beam &amp; X-ray.</t>
        </is>
      </c>
    </row>
    <row r="49">
      <c r="A49" s="19" t="inlineStr">
        <is>
          <t>Optical inspection &amp; metrology market</t>
        </is>
      </c>
      <c r="B49" s="14" t="inlineStr">
        <is>
          <t>$B</t>
        </is>
      </c>
      <c r="C49" s="20">
        <f>C47*C48</f>
        <v/>
      </c>
      <c r="D49" s="20">
        <f>D47*D48</f>
        <v/>
      </c>
      <c r="E49" s="20">
        <f>E47*E48</f>
        <v/>
      </c>
      <c r="F49" s="20">
        <f>F47*F48</f>
        <v/>
      </c>
      <c r="G49" s="20">
        <f>G47*G48</f>
        <v/>
      </c>
      <c r="H49" s="20">
        <f>H47*H48</f>
        <v/>
      </c>
      <c r="J49" s="17" t="inlineStr"/>
    </row>
    <row r="50">
      <c r="A50" s="19" t="inlineStr">
        <is>
          <t>Total fab optics TAM</t>
        </is>
      </c>
      <c r="B50" s="14" t="inlineStr">
        <is>
          <t>$B</t>
        </is>
      </c>
      <c r="C50" s="23">
        <f>C45+C49</f>
        <v/>
      </c>
      <c r="D50" s="23">
        <f>D45+D49</f>
        <v/>
      </c>
      <c r="E50" s="23">
        <f>E45+E49</f>
        <v/>
      </c>
      <c r="F50" s="23">
        <f>F45+F49</f>
        <v/>
      </c>
      <c r="G50" s="23">
        <f>G45+G49</f>
        <v/>
      </c>
      <c r="H50" s="23">
        <f>H45+H49</f>
        <v/>
      </c>
      <c r="J50" s="17" t="inlineStr"/>
    </row>
    <row r="52">
      <c r="A52" s="3" t="inlineStr">
        <is>
          <t>8. TOTAL OPTICAL x SEMICONDUCTOR TAM</t>
        </is>
      </c>
    </row>
    <row r="53">
      <c r="A53" s="19" t="inlineStr">
        <is>
          <t>Total TAM (pluggables + telecom + fab optics)</t>
        </is>
      </c>
      <c r="B53" s="14" t="inlineStr">
        <is>
          <t>$M</t>
        </is>
      </c>
      <c r="C53" s="28">
        <f>C34+C38+C50*1000</f>
        <v/>
      </c>
      <c r="D53" s="28">
        <f>D34+D38+D50*1000</f>
        <v/>
      </c>
      <c r="E53" s="28">
        <f>E34+E38+E50*1000</f>
        <v/>
      </c>
      <c r="F53" s="28">
        <f>F34+F38+F50*1000</f>
        <v/>
      </c>
      <c r="G53" s="28">
        <f>G34+G38+G50*1000</f>
        <v/>
      </c>
      <c r="H53" s="28">
        <f>H34+H38+H50*1000</f>
        <v/>
      </c>
      <c r="J53" s="17" t="inlineStr"/>
    </row>
    <row r="54">
      <c r="A54" s="15" t="inlineStr">
        <is>
          <t xml:space="preserve">   YoY growth</t>
        </is>
      </c>
      <c r="B54" s="14" t="inlineStr">
        <is>
          <t>%</t>
        </is>
      </c>
      <c r="C54" s="14" t="inlineStr"/>
      <c r="D54" s="18">
        <f>IFERROR(D53/C53-1,"")</f>
        <v/>
      </c>
      <c r="E54" s="18">
        <f>IFERROR(E53/D53-1,"")</f>
        <v/>
      </c>
      <c r="F54" s="18">
        <f>IFERROR(F53/E53-1,"")</f>
        <v/>
      </c>
      <c r="G54" s="18">
        <f>IFERROR(G53/F53-1,"")</f>
        <v/>
      </c>
      <c r="H54" s="18">
        <f>IFERROR(H53/G53-1,"")</f>
        <v/>
      </c>
      <c r="J54" s="17" t="inlineStr"/>
    </row>
    <row r="56">
      <c r="A56" s="3" t="inlineStr">
        <is>
          <t>MARKET CAGRs (2025E -&gt; 2028E) - feed the Company Exposure tab</t>
        </is>
      </c>
    </row>
    <row r="57">
      <c r="A57" s="15" t="inlineStr">
        <is>
          <t>AI/datacom pluggables CAGR '25-'28</t>
        </is>
      </c>
      <c r="B57" s="14" t="inlineStr">
        <is>
          <t>%</t>
        </is>
      </c>
      <c r="C57" s="32">
        <f>(H34/E34)^(1/3)-1</f>
        <v/>
      </c>
      <c r="J57" s="17" t="inlineStr"/>
    </row>
    <row r="58">
      <c r="A58" s="15" t="inlineStr">
        <is>
          <t>Fab optics CAGR '25-'28</t>
        </is>
      </c>
      <c r="B58" s="14" t="inlineStr">
        <is>
          <t>%</t>
        </is>
      </c>
      <c r="C58" s="32">
        <f>(H50/E50)^(1/3)-1</f>
        <v/>
      </c>
      <c r="J58" s="17" t="inlineStr"/>
    </row>
    <row r="59">
      <c r="A59" s="15" t="inlineStr">
        <is>
          <t>Telecom optics CAGR '25-'28</t>
        </is>
      </c>
      <c r="B59" s="14" t="inlineStr">
        <is>
          <t>%</t>
        </is>
      </c>
      <c r="C59" s="32">
        <f>(H38/E38)^(1/3)-1</f>
        <v/>
      </c>
      <c r="J59" s="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V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6" customWidth="1" min="4" max="4"/>
    <col width="11" customWidth="1" min="5" max="5"/>
    <col width="11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7" customWidth="1" min="22" max="22"/>
  </cols>
  <sheetData>
    <row r="1">
      <c r="A1" s="1" t="inlineStr">
        <is>
          <t>Valuation &amp; Financial Comps (USD, converted at spot FX)</t>
        </is>
      </c>
    </row>
    <row r="2">
      <c r="A2" s="2" t="inlineStr">
        <is>
          <t>Values pulled from Yahoo Finance; EV, multiples, yields and medians are live formulas.</t>
        </is>
      </c>
    </row>
    <row r="4">
      <c r="A4" s="6" t="inlineStr">
        <is>
          <t>Ticker</t>
        </is>
      </c>
      <c r="B4" s="6" t="inlineStr">
        <is>
          <t>Company</t>
        </is>
      </c>
      <c r="C4" s="6" t="inlineStr">
        <is>
          <t>Segment</t>
        </is>
      </c>
      <c r="D4" s="6" t="inlineStr">
        <is>
          <t>Ccy</t>
        </is>
      </c>
      <c r="E4" s="6" t="inlineStr">
        <is>
          <t>Price (local)</t>
        </is>
      </c>
      <c r="F4" s="6" t="inlineStr">
        <is>
          <t>Mkt Cap $M</t>
        </is>
      </c>
      <c r="G4" s="6" t="inlineStr">
        <is>
          <t>Net Debt $M</t>
        </is>
      </c>
      <c r="H4" s="6" t="inlineStr">
        <is>
          <t>EV $M</t>
        </is>
      </c>
      <c r="I4" s="6" t="inlineStr">
        <is>
          <t>Rev TTM $M</t>
        </is>
      </c>
      <c r="J4" s="6" t="inlineStr">
        <is>
          <t>Rev Grw YoY</t>
        </is>
      </c>
      <c r="K4" s="6" t="inlineStr">
        <is>
          <t>Gross Mgn</t>
        </is>
      </c>
      <c r="L4" s="6" t="inlineStr">
        <is>
          <t>EBITDA Mgn</t>
        </is>
      </c>
      <c r="M4" s="6" t="inlineStr">
        <is>
          <t>Op Mgn</t>
        </is>
      </c>
      <c r="N4" s="6" t="inlineStr">
        <is>
          <t>EBITDA $M</t>
        </is>
      </c>
      <c r="O4" s="6" t="inlineStr">
        <is>
          <t>EV / Sales</t>
        </is>
      </c>
      <c r="P4" s="6" t="inlineStr">
        <is>
          <t>EV / EBITDA</t>
        </is>
      </c>
      <c r="Q4" s="6" t="inlineStr">
        <is>
          <t>P/E (fwd)</t>
        </is>
      </c>
      <c r="R4" s="6" t="inlineStr">
        <is>
          <t>FCF $M</t>
        </is>
      </c>
      <c r="S4" s="6" t="inlineStr">
        <is>
          <t>FCF Yield</t>
        </is>
      </c>
      <c r="T4" s="6" t="inlineStr">
        <is>
          <t>1Y Return</t>
        </is>
      </c>
      <c r="U4" s="6" t="inlineStr">
        <is>
          <t>% off 52w High</t>
        </is>
      </c>
      <c r="V4" s="6" t="inlineStr">
        <is>
          <t>Beta</t>
        </is>
      </c>
    </row>
    <row r="5">
      <c r="A5" s="11" t="inlineStr">
        <is>
          <t>Datacom Transceivers &amp; Optical Components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</row>
    <row r="6">
      <c r="A6" s="7" t="inlineStr">
        <is>
          <t>COHR</t>
        </is>
      </c>
      <c r="B6" s="33" t="inlineStr">
        <is>
          <t>Coherent Corp.</t>
        </is>
      </c>
      <c r="C6" s="33" t="inlineStr">
        <is>
          <t>Transceivers</t>
        </is>
      </c>
      <c r="D6" s="14" t="inlineStr">
        <is>
          <t>USD</t>
        </is>
      </c>
      <c r="E6" s="34" t="n">
        <v>246.29</v>
      </c>
      <c r="F6" s="35" t="n">
        <v>48142.925824</v>
      </c>
      <c r="G6" s="35" t="n">
        <v>1001.38496</v>
      </c>
      <c r="H6" s="35">
        <f>IF(F6="","",F6+N(G6))</f>
        <v/>
      </c>
      <c r="I6" s="35" t="n">
        <v>6602.08384</v>
      </c>
      <c r="J6" s="36" t="n">
        <v>0.205</v>
      </c>
      <c r="K6" s="36" t="n">
        <v>0.36990002</v>
      </c>
      <c r="L6" s="36" t="n">
        <v>0.19899</v>
      </c>
      <c r="M6" s="36" t="n">
        <v>0.13572</v>
      </c>
      <c r="N6" s="35" t="n">
        <v>1313.731968</v>
      </c>
      <c r="O6" s="37">
        <f>IFERROR(IF(I6&gt;0,H6/I6,"NM"),"NM")</f>
        <v/>
      </c>
      <c r="P6" s="37">
        <f>IFERROR(IF(N6&gt;0,H6/N6,"NM"),"NM")</f>
        <v/>
      </c>
      <c r="Q6" s="37" t="n">
        <v>29.683062</v>
      </c>
      <c r="R6" s="35" t="n">
        <v>-197.631744</v>
      </c>
      <c r="S6" s="36">
        <f>IFERROR(IF(AND(R6&lt;&gt;"",F6&gt;0),R6/F6,""),"")</f>
        <v/>
      </c>
      <c r="T6" s="36" t="n">
        <v>1.294880109365798</v>
      </c>
      <c r="U6" s="36" t="n">
        <v>-0.44025</v>
      </c>
      <c r="V6" s="38" t="n">
        <v>2.037</v>
      </c>
    </row>
    <row r="7">
      <c r="A7" s="7" t="inlineStr">
        <is>
          <t>LITE</t>
        </is>
      </c>
      <c r="B7" s="33" t="inlineStr">
        <is>
          <t>Lumentum Holdings</t>
        </is>
      </c>
      <c r="C7" s="33" t="inlineStr">
        <is>
          <t>Transceivers</t>
        </is>
      </c>
      <c r="D7" s="14" t="inlineStr">
        <is>
          <t>USD</t>
        </is>
      </c>
      <c r="E7" s="34" t="n">
        <v>682</v>
      </c>
      <c r="F7" s="35" t="n">
        <v>53059.600384</v>
      </c>
      <c r="G7" s="35" t="n">
        <v>141.400064</v>
      </c>
      <c r="H7" s="35">
        <f>IF(F7="","",F7+N(G7))</f>
        <v/>
      </c>
      <c r="I7" s="35" t="n">
        <v>2488.399872</v>
      </c>
      <c r="J7" s="36" t="n">
        <v>0.901</v>
      </c>
      <c r="K7" s="36" t="n">
        <v>0.40837002</v>
      </c>
      <c r="L7" s="36" t="n">
        <v>0.20447001</v>
      </c>
      <c r="M7" s="36" t="n">
        <v>0.21771</v>
      </c>
      <c r="N7" s="35" t="n">
        <v>508.8</v>
      </c>
      <c r="O7" s="37">
        <f>IFERROR(IF(I7&gt;0,H7/I7,"NM"),"NM")</f>
        <v/>
      </c>
      <c r="P7" s="37">
        <f>IFERROR(IF(N7&gt;0,H7/N7,"NM"),"NM")</f>
        <v/>
      </c>
      <c r="Q7" s="37" t="n">
        <v>37.156635</v>
      </c>
      <c r="R7" s="35" t="n">
        <v>93.34999999999999</v>
      </c>
      <c r="S7" s="36">
        <f>IFERROR(IF(AND(R7&lt;&gt;"",F7&gt;0),R7/F7,""),"")</f>
        <v/>
      </c>
      <c r="T7" s="36" t="n">
        <v>5.208238371041944</v>
      </c>
      <c r="U7" s="36" t="n">
        <v>-0.3718222680716233</v>
      </c>
      <c r="V7" s="38" t="n">
        <v>1.482</v>
      </c>
    </row>
    <row r="8">
      <c r="A8" s="7" t="inlineStr">
        <is>
          <t>AAOI</t>
        </is>
      </c>
      <c r="B8" s="33" t="inlineStr">
        <is>
          <t>Applied Optoelectronics</t>
        </is>
      </c>
      <c r="C8" s="33" t="inlineStr">
        <is>
          <t>Transceivers</t>
        </is>
      </c>
      <c r="D8" s="14" t="inlineStr">
        <is>
          <t>USD</t>
        </is>
      </c>
      <c r="E8" s="34" t="n">
        <v>89.52</v>
      </c>
      <c r="F8" s="35" t="n">
        <v>7183.332352</v>
      </c>
      <c r="G8" s="35" t="n">
        <v>-159.282976</v>
      </c>
      <c r="H8" s="35">
        <f>IF(F8="","",F8+N(G8))</f>
        <v/>
      </c>
      <c r="I8" s="35" t="n">
        <v>507</v>
      </c>
      <c r="J8" s="36" t="n">
        <v>0.514</v>
      </c>
      <c r="K8" s="36" t="n">
        <v>0.29642</v>
      </c>
      <c r="L8" s="36" t="n">
        <v>-0.05415</v>
      </c>
      <c r="M8" s="36" t="n">
        <v>-0.08595</v>
      </c>
      <c r="N8" s="35" t="n">
        <v>-27.456</v>
      </c>
      <c r="O8" s="37">
        <f>IFERROR(IF(I8&gt;0,H8/I8,"NM"),"NM")</f>
        <v/>
      </c>
      <c r="P8" s="37">
        <f>IFERROR(IF(N8&gt;0,H8/N8,"NM"),"NM")</f>
        <v/>
      </c>
      <c r="Q8" s="37" t="n">
        <v>18.75943</v>
      </c>
      <c r="R8" s="35" t="n">
        <v>-445.583264</v>
      </c>
      <c r="S8" s="36">
        <f>IFERROR(IF(AND(R8&lt;&gt;"",F8&gt;0),R8/F8,""),"")</f>
        <v/>
      </c>
      <c r="T8" s="36" t="n">
        <v>2.882046778677496</v>
      </c>
      <c r="U8" s="36" t="n">
        <v>-0.6168956220310695</v>
      </c>
      <c r="V8" s="38" t="n">
        <v>3.687</v>
      </c>
    </row>
    <row r="9">
      <c r="A9" s="7" t="inlineStr">
        <is>
          <t>FN</t>
        </is>
      </c>
      <c r="B9" s="33" t="inlineStr">
        <is>
          <t>Fabrinet</t>
        </is>
      </c>
      <c r="C9" s="33" t="inlineStr">
        <is>
          <t>Transceivers</t>
        </is>
      </c>
      <c r="D9" s="14" t="inlineStr">
        <is>
          <t>USD</t>
        </is>
      </c>
      <c r="E9" s="34" t="n">
        <v>437.08</v>
      </c>
      <c r="F9" s="35" t="n">
        <v>15660.46208</v>
      </c>
      <c r="G9" s="35" t="n">
        <v>-940.810968</v>
      </c>
      <c r="H9" s="35">
        <f>IF(F9="","",F9+N(G9))</f>
        <v/>
      </c>
      <c r="I9" s="35" t="n">
        <v>4235.001088</v>
      </c>
      <c r="J9" s="36" t="n">
        <v>0.393</v>
      </c>
      <c r="K9" s="36" t="n">
        <v>0.12037</v>
      </c>
      <c r="L9" s="36" t="n">
        <v>0.11327</v>
      </c>
      <c r="M9" s="36" t="n">
        <v>0.09885999600000001</v>
      </c>
      <c r="N9" s="35" t="n">
        <v>479.712</v>
      </c>
      <c r="O9" s="37">
        <f>IFERROR(IF(I9&gt;0,H9/I9,"NM"),"NM")</f>
        <v/>
      </c>
      <c r="P9" s="37">
        <f>IFERROR(IF(N9&gt;0,H9/N9,"NM"),"NM")</f>
        <v/>
      </c>
      <c r="Q9" s="37" t="n">
        <v>25.234793</v>
      </c>
      <c r="R9" s="35" t="n">
        <v>-79.178376</v>
      </c>
      <c r="S9" s="36">
        <f>IFERROR(IF(AND(R9&lt;&gt;"",F9&gt;0),R9/F9,""),"")</f>
        <v/>
      </c>
      <c r="T9" s="36" t="n">
        <v>0.3630636237153919</v>
      </c>
      <c r="U9" s="36" t="n">
        <v>-0.4163628837345938</v>
      </c>
      <c r="V9" s="38" t="n">
        <v>1.198</v>
      </c>
    </row>
    <row r="10">
      <c r="A10" s="7" t="inlineStr">
        <is>
          <t>300308.SZ</t>
        </is>
      </c>
      <c r="B10" s="33" t="inlineStr">
        <is>
          <t>Zhongji Innolight</t>
        </is>
      </c>
      <c r="C10" s="33" t="inlineStr">
        <is>
          <t>Transceivers</t>
        </is>
      </c>
      <c r="D10" s="14" t="inlineStr">
        <is>
          <t>CNY</t>
        </is>
      </c>
      <c r="E10" s="34" t="n">
        <v>864</v>
      </c>
      <c r="F10" s="35" t="n">
        <v>142654.9380194336</v>
      </c>
      <c r="G10" s="35" t="n">
        <v>-1554.583149070409</v>
      </c>
      <c r="H10" s="35">
        <f>IF(F10="","",F10+N(G10))</f>
        <v/>
      </c>
      <c r="I10" s="35" t="n">
        <v>7559.724328266397</v>
      </c>
      <c r="J10" s="36" t="n">
        <v>1.921</v>
      </c>
      <c r="K10" s="36" t="n">
        <v>0.44032001</v>
      </c>
      <c r="L10" s="36" t="n">
        <v>0.39240003</v>
      </c>
      <c r="M10" s="36" t="n">
        <v>0.39813</v>
      </c>
      <c r="N10" s="35" t="n">
        <v>2966.40334536478</v>
      </c>
      <c r="O10" s="37">
        <f>IFERROR(IF(I10&gt;0,H10/I10,"NM"),"NM")</f>
        <v/>
      </c>
      <c r="P10" s="37">
        <f>IFERROR(IF(N10&gt;0,H10/N10,"NM"),"NM")</f>
        <v/>
      </c>
      <c r="Q10" s="37" t="n">
        <v>13.819136</v>
      </c>
      <c r="R10" s="35" t="n">
        <v>616.2156390651493</v>
      </c>
      <c r="S10" s="36">
        <f>IFERROR(IF(AND(R10&lt;&gt;"",F10&gt;0),R10/F10,""),"")</f>
        <v/>
      </c>
      <c r="T10" s="36" t="n">
        <v>3.525654634268191</v>
      </c>
      <c r="U10" s="36" t="n">
        <v>-0.3902094743379821</v>
      </c>
      <c r="V10" s="38" t="n">
        <v>1.38</v>
      </c>
    </row>
    <row r="11">
      <c r="A11" s="7" t="inlineStr">
        <is>
          <t>300502.SZ</t>
        </is>
      </c>
      <c r="B11" s="33" t="inlineStr">
        <is>
          <t>Eoptolink</t>
        </is>
      </c>
      <c r="C11" s="33" t="inlineStr">
        <is>
          <t>Transceivers</t>
        </is>
      </c>
      <c r="D11" s="14" t="inlineStr">
        <is>
          <t>CNY</t>
        </is>
      </c>
      <c r="E11" s="34" t="n">
        <v>371.1</v>
      </c>
      <c r="F11" s="35" t="n">
        <v>76602.06677517433</v>
      </c>
      <c r="G11" s="35" t="n">
        <v>-1170.06998929005</v>
      </c>
      <c r="H11" s="35">
        <f>IF(F11="","",F11+N(G11))</f>
        <v/>
      </c>
      <c r="I11" s="35" t="n">
        <v>4312.310334496061</v>
      </c>
      <c r="J11" s="36" t="n">
        <v>1.058</v>
      </c>
      <c r="K11" s="36" t="n">
        <v>0.47421002</v>
      </c>
      <c r="L11" s="36" t="n">
        <v>0.44657</v>
      </c>
      <c r="M11" s="36" t="n">
        <v>0.46001</v>
      </c>
      <c r="N11" s="35" t="n">
        <v>1925.767216664896</v>
      </c>
      <c r="O11" s="37">
        <f>IFERROR(IF(I11&gt;0,H11/I11,"NM"),"NM")</f>
        <v/>
      </c>
      <c r="P11" s="37">
        <f>IFERROR(IF(N11&gt;0,H11/N11,"NM"),"NM")</f>
        <v/>
      </c>
      <c r="Q11" s="37" t="n">
        <v>8.861243</v>
      </c>
      <c r="R11" s="35" t="n">
        <v>481.6949047691118</v>
      </c>
      <c r="S11" s="36">
        <f>IFERROR(IF(AND(R11&lt;&gt;"",F11&gt;0),R11/F11,""),"")</f>
        <v/>
      </c>
      <c r="T11" s="36" t="n">
        <v>2.103496837956707</v>
      </c>
      <c r="U11" s="36" t="n">
        <v>-0.4003587183091764</v>
      </c>
      <c r="V11" s="38" t="n">
        <v>0.8110000000000001</v>
      </c>
    </row>
    <row r="12">
      <c r="A12" s="7" t="inlineStr">
        <is>
          <t>300394.SZ</t>
        </is>
      </c>
      <c r="B12" s="33" t="inlineStr">
        <is>
          <t>Suzhou TFC Optical</t>
        </is>
      </c>
      <c r="C12" s="33" t="inlineStr">
        <is>
          <t>Transceivers</t>
        </is>
      </c>
      <c r="D12" s="14" t="inlineStr">
        <is>
          <t>CNY</t>
        </is>
      </c>
      <c r="E12" s="34" t="n">
        <v>160.1</v>
      </c>
      <c r="F12" s="35" t="n">
        <v>25855.51930069028</v>
      </c>
      <c r="G12" s="35" t="n">
        <v>-477.2643515988212</v>
      </c>
      <c r="H12" s="35">
        <f>IF(F12="","",F12+N(G12))</f>
        <v/>
      </c>
      <c r="I12" s="35" t="n">
        <v>821.5369652942543</v>
      </c>
      <c r="J12" s="36" t="n">
        <v>0.408</v>
      </c>
      <c r="K12" s="36" t="n">
        <v>0.5416800000000001</v>
      </c>
      <c r="L12" s="36" t="n">
        <v>0.48042</v>
      </c>
      <c r="M12" s="36" t="n">
        <v>0.45503</v>
      </c>
      <c r="N12" s="35" t="n">
        <v>394.6838976428737</v>
      </c>
      <c r="O12" s="37">
        <f>IFERROR(IF(I12&gt;0,H12/I12,"NM"),"NM")</f>
        <v/>
      </c>
      <c r="P12" s="37">
        <f>IFERROR(IF(N12&gt;0,H12/N12,"NM"),"NM")</f>
        <v/>
      </c>
      <c r="Q12" s="37" t="n">
        <v>22.774021</v>
      </c>
      <c r="R12" s="35" t="n">
        <v>131.7564402339258</v>
      </c>
      <c r="S12" s="36">
        <f>IFERROR(IF(AND(R12&lt;&gt;"",F12&gt;0),R12/F12,""),"")</f>
        <v/>
      </c>
      <c r="T12" s="36" t="n">
        <v>1.519870710780303</v>
      </c>
      <c r="U12" s="36" t="n">
        <v>-0.5730666666666666</v>
      </c>
      <c r="V12" s="38" t="n">
        <v>0.954</v>
      </c>
    </row>
    <row r="13">
      <c r="A13" s="7" t="inlineStr">
        <is>
          <t>002281.SZ</t>
        </is>
      </c>
      <c r="B13" s="33" t="inlineStr">
        <is>
          <t>Accelink Technologies</t>
        </is>
      </c>
      <c r="C13" s="33" t="inlineStr">
        <is>
          <t>Transceivers</t>
        </is>
      </c>
      <c r="D13" s="14" t="inlineStr">
        <is>
          <t>CNY</t>
        </is>
      </c>
      <c r="E13" s="34" t="n">
        <v>152.33</v>
      </c>
      <c r="F13" s="35" t="n">
        <v>18669.95573885044</v>
      </c>
      <c r="G13" s="35" t="n">
        <v>-575.7226930953852</v>
      </c>
      <c r="H13" s="35">
        <f>IF(F13="","",F13+N(G13))</f>
        <v/>
      </c>
      <c r="I13" s="35" t="n">
        <v>1847.615905560174</v>
      </c>
      <c r="J13" s="36" t="n">
        <v>0.248</v>
      </c>
      <c r="K13" s="36" t="n">
        <v>0.21248</v>
      </c>
      <c r="L13" s="36" t="n">
        <v>0.124639995</v>
      </c>
      <c r="M13" s="36" t="n">
        <v>0.13071999</v>
      </c>
      <c r="N13" s="35" t="n">
        <v>230.294260153315</v>
      </c>
      <c r="O13" s="37">
        <f>IFERROR(IF(I13&gt;0,H13/I13,"NM"),"NM")</f>
        <v/>
      </c>
      <c r="P13" s="37">
        <f>IFERROR(IF(N13&gt;0,H13/N13,"NM"),"NM")</f>
        <v/>
      </c>
      <c r="Q13" s="37" t="n">
        <v>49.944263</v>
      </c>
      <c r="R13" s="35" t="n">
        <v>172.7085100530173</v>
      </c>
      <c r="S13" s="36">
        <f>IFERROR(IF(AND(R13&lt;&gt;"",F13&gt;0),R13/F13,""),"")</f>
        <v/>
      </c>
      <c r="T13" s="36" t="n">
        <v>2.273887659749669</v>
      </c>
      <c r="U13" s="36" t="n">
        <v>-0.4540143369175627</v>
      </c>
      <c r="V13" s="38" t="n">
        <v>1.003</v>
      </c>
    </row>
    <row r="14">
      <c r="A14" s="39" t="inlineStr"/>
      <c r="B14" s="40" t="inlineStr">
        <is>
          <t>Median - Transceivers</t>
        </is>
      </c>
      <c r="C14" s="39" t="inlineStr"/>
      <c r="D14" s="39" t="inlineStr"/>
      <c r="E14" s="39" t="inlineStr"/>
      <c r="F14" s="39" t="inlineStr"/>
      <c r="G14" s="39" t="inlineStr"/>
      <c r="H14" s="39" t="inlineStr"/>
      <c r="I14" s="39" t="inlineStr"/>
      <c r="J14" s="41">
        <f>IFERROR(MEDIAN(J6:J13),"")</f>
        <v/>
      </c>
      <c r="K14" s="41">
        <f>IFERROR(MEDIAN(K6:K13),"")</f>
        <v/>
      </c>
      <c r="L14" s="41">
        <f>IFERROR(MEDIAN(L6:L13),"")</f>
        <v/>
      </c>
      <c r="M14" s="41">
        <f>IFERROR(MEDIAN(M6:M13),"")</f>
        <v/>
      </c>
      <c r="N14" s="39" t="inlineStr"/>
      <c r="O14" s="42">
        <f>IFERROR(MEDIAN(O6:O13),"")</f>
        <v/>
      </c>
      <c r="P14" s="42">
        <f>IFERROR(MEDIAN(P6:P13),"")</f>
        <v/>
      </c>
      <c r="Q14" s="42">
        <f>IFERROR(MEDIAN(Q6:Q13),"")</f>
        <v/>
      </c>
      <c r="R14" s="39" t="inlineStr"/>
      <c r="S14" s="41">
        <f>IFERROR(MEDIAN(S6:S13),"")</f>
        <v/>
      </c>
      <c r="T14" s="41">
        <f>IFERROR(MEDIAN(T6:T13),"")</f>
        <v/>
      </c>
      <c r="U14" s="39" t="inlineStr"/>
      <c r="V14" s="39" t="inlineStr"/>
    </row>
    <row r="15">
      <c r="A15" s="11" t="inlineStr">
        <is>
          <t>Optical Semiconductors (DSP / PHY / TIA / PIC)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</row>
    <row r="16">
      <c r="A16" s="7" t="inlineStr">
        <is>
          <t>MRVL</t>
        </is>
      </c>
      <c r="B16" s="33" t="inlineStr">
        <is>
          <t>Marvell Technology</t>
        </is>
      </c>
      <c r="C16" s="33" t="inlineStr">
        <is>
          <t>Optical Semis</t>
        </is>
      </c>
      <c r="D16" s="14" t="inlineStr">
        <is>
          <t>USD</t>
        </is>
      </c>
      <c r="E16" s="34" t="n">
        <v>180.945</v>
      </c>
      <c r="F16" s="35" t="n">
        <v>162406.187008</v>
      </c>
      <c r="G16" s="35" t="n">
        <v>1433.6</v>
      </c>
      <c r="H16" s="35">
        <f>IF(F16="","",F16+N(G16))</f>
        <v/>
      </c>
      <c r="I16" s="35" t="n">
        <v>8717.100032</v>
      </c>
      <c r="J16" s="36" t="n">
        <v>0.276</v>
      </c>
      <c r="K16" s="36" t="n">
        <v>0.5150299699999999</v>
      </c>
      <c r="L16" s="36" t="n">
        <v>0.31111</v>
      </c>
      <c r="M16" s="36" t="n">
        <v>0.14479999</v>
      </c>
      <c r="N16" s="35" t="n">
        <v>2712</v>
      </c>
      <c r="O16" s="37">
        <f>IFERROR(IF(I16&gt;0,H16/I16,"NM"),"NM")</f>
        <v/>
      </c>
      <c r="P16" s="37">
        <f>IFERROR(IF(N16&gt;0,H16/N16,"NM"),"NM")</f>
        <v/>
      </c>
      <c r="Q16" s="37" t="n">
        <v>28.993229</v>
      </c>
      <c r="R16" s="35" t="n">
        <v>2269.700096</v>
      </c>
      <c r="S16" s="36">
        <f>IFERROR(IF(AND(R16&lt;&gt;"",F16&gt;0),R16/F16,""),"")</f>
        <v/>
      </c>
      <c r="T16" s="36" t="n">
        <v>1.218381791792703</v>
      </c>
      <c r="U16" s="36" t="n">
        <v>-0.4514823572208075</v>
      </c>
      <c r="V16" s="38" t="n">
        <v>2.197</v>
      </c>
    </row>
    <row r="17">
      <c r="A17" s="7" t="inlineStr">
        <is>
          <t>AVGO</t>
        </is>
      </c>
      <c r="B17" s="33" t="inlineStr">
        <is>
          <t>Broadcom</t>
        </is>
      </c>
      <c r="C17" s="33" t="inlineStr">
        <is>
          <t>Optical Semis</t>
        </is>
      </c>
      <c r="D17" s="14" t="inlineStr">
        <is>
          <t>USD</t>
        </is>
      </c>
      <c r="E17" s="34" t="n">
        <v>385.22</v>
      </c>
      <c r="F17" s="35" t="n">
        <v>1832715.026432</v>
      </c>
      <c r="G17" s="35" t="n">
        <v>45279.002624</v>
      </c>
      <c r="H17" s="35">
        <f>IF(F17="","",F17+N(G17))</f>
        <v/>
      </c>
      <c r="I17" s="35" t="n">
        <v>75464.998912</v>
      </c>
      <c r="J17" s="36" t="n">
        <v>0.479</v>
      </c>
      <c r="K17" s="36" t="n">
        <v>0.76284</v>
      </c>
      <c r="L17" s="36" t="n">
        <v>0.55766</v>
      </c>
      <c r="M17" s="36" t="n">
        <v>0.48988</v>
      </c>
      <c r="N17" s="35" t="n">
        <v>42083.999744</v>
      </c>
      <c r="O17" s="37">
        <f>IFERROR(IF(I17&gt;0,H17/I17,"NM"),"NM")</f>
        <v/>
      </c>
      <c r="P17" s="37">
        <f>IFERROR(IF(N17&gt;0,H17/N17,"NM"),"NM")</f>
        <v/>
      </c>
      <c r="Q17" s="37" t="n">
        <v>19.7317</v>
      </c>
      <c r="R17" s="35" t="n">
        <v>27212.249088</v>
      </c>
      <c r="S17" s="36">
        <f>IFERROR(IF(AND(R17&lt;&gt;"",F17&gt;0),R17/F17,""),"")</f>
        <v/>
      </c>
      <c r="T17" s="36" t="n">
        <v>0.2822766436380366</v>
      </c>
      <c r="U17" s="36" t="n">
        <v>-0.2217777777777777</v>
      </c>
      <c r="V17" s="38" t="n">
        <v>1.462</v>
      </c>
    </row>
    <row r="18">
      <c r="A18" s="7" t="inlineStr">
        <is>
          <t>CRDO</t>
        </is>
      </c>
      <c r="B18" s="33" t="inlineStr">
        <is>
          <t>Credo Technology</t>
        </is>
      </c>
      <c r="C18" s="33" t="inlineStr">
        <is>
          <t>Optical Semis</t>
        </is>
      </c>
      <c r="D18" s="14" t="inlineStr">
        <is>
          <t>USD</t>
        </is>
      </c>
      <c r="E18" s="34" t="n">
        <v>197.7</v>
      </c>
      <c r="F18" s="35" t="n">
        <v>36866.68288</v>
      </c>
      <c r="G18" s="35" t="n">
        <v>-1417.838016</v>
      </c>
      <c r="H18" s="35">
        <f>IF(F18="","",F18+N(G18))</f>
        <v/>
      </c>
      <c r="I18" s="35" t="n">
        <v>1335.116032</v>
      </c>
      <c r="J18" s="36" t="n">
        <v>1.57</v>
      </c>
      <c r="K18" s="36" t="n">
        <v>0.68035007</v>
      </c>
      <c r="L18" s="36" t="n">
        <v>0.35924998</v>
      </c>
      <c r="M18" s="36" t="n">
        <v>0.35661998</v>
      </c>
      <c r="N18" s="35" t="n">
        <v>479.641984</v>
      </c>
      <c r="O18" s="37">
        <f>IFERROR(IF(I18&gt;0,H18/I18,"NM"),"NM")</f>
        <v/>
      </c>
      <c r="P18" s="37">
        <f>IFERROR(IF(N18&gt;0,H18/N18,"NM"),"NM")</f>
        <v/>
      </c>
      <c r="Q18" s="37" t="n">
        <v>21.783037</v>
      </c>
      <c r="R18" s="35" t="n">
        <v>250.810128</v>
      </c>
      <c r="S18" s="36">
        <f>IFERROR(IF(AND(R18&lt;&gt;"",F18&gt;0),R18/F18,""),"")</f>
        <v/>
      </c>
      <c r="T18" s="36" t="n">
        <v>0.7041633764999264</v>
      </c>
      <c r="U18" s="36" t="n">
        <v>-0.3595101564777918</v>
      </c>
      <c r="V18" s="38" t="n">
        <v>3.202</v>
      </c>
    </row>
    <row r="19">
      <c r="A19" s="7" t="inlineStr">
        <is>
          <t>MTSI</t>
        </is>
      </c>
      <c r="B19" s="33" t="inlineStr">
        <is>
          <t>MACOM Technology</t>
        </is>
      </c>
      <c r="C19" s="33" t="inlineStr">
        <is>
          <t>Optical Semis</t>
        </is>
      </c>
      <c r="D19" s="14" t="inlineStr">
        <is>
          <t>USD</t>
        </is>
      </c>
      <c r="E19" s="34" t="n">
        <v>250.405</v>
      </c>
      <c r="F19" s="35" t="n">
        <v>19104.843776</v>
      </c>
      <c r="G19" s="35" t="n">
        <v>-250.833984</v>
      </c>
      <c r="H19" s="35">
        <f>IF(F19="","",F19+N(G19))</f>
        <v/>
      </c>
      <c r="I19" s="35" t="n">
        <v>1073.816064</v>
      </c>
      <c r="J19" s="36" t="n">
        <v>0.225</v>
      </c>
      <c r="K19" s="36" t="n">
        <v>0.55684</v>
      </c>
      <c r="L19" s="36" t="n">
        <v>0.21884</v>
      </c>
      <c r="M19" s="36" t="n">
        <v>0.17591</v>
      </c>
      <c r="N19" s="35" t="n">
        <v>234.995008</v>
      </c>
      <c r="O19" s="37">
        <f>IFERROR(IF(I19&gt;0,H19/I19,"NM"),"NM")</f>
        <v/>
      </c>
      <c r="P19" s="37">
        <f>IFERROR(IF(N19&gt;0,H19/N19,"NM"),"NM")</f>
        <v/>
      </c>
      <c r="Q19" s="37" t="n">
        <v>36.114246</v>
      </c>
      <c r="R19" s="35" t="n">
        <v>81.527872</v>
      </c>
      <c r="S19" s="36">
        <f>IFERROR(IF(AND(R19&lt;&gt;"",F19&gt;0),R19/F19,""),"")</f>
        <v/>
      </c>
      <c r="T19" s="36" t="n">
        <v>0.7883516007615663</v>
      </c>
      <c r="U19" s="36" t="n">
        <v>-0.4022320362855096</v>
      </c>
      <c r="V19" s="38" t="n">
        <v>1.655</v>
      </c>
    </row>
    <row r="20">
      <c r="A20" s="7" t="inlineStr">
        <is>
          <t>SMTC</t>
        </is>
      </c>
      <c r="B20" s="33" t="inlineStr">
        <is>
          <t>Semtech</t>
        </is>
      </c>
      <c r="C20" s="33" t="inlineStr">
        <is>
          <t>Optical Semis</t>
        </is>
      </c>
      <c r="D20" s="14" t="inlineStr">
        <is>
          <t>USD</t>
        </is>
      </c>
      <c r="E20" s="34" t="n">
        <v>115.5025</v>
      </c>
      <c r="F20" s="35" t="n">
        <v>10759.192576</v>
      </c>
      <c r="G20" s="35" t="n">
        <v>354.306992</v>
      </c>
      <c r="H20" s="35">
        <f>IF(F20="","",F20+N(G20))</f>
        <v/>
      </c>
      <c r="I20" s="35" t="n">
        <v>1089.933056</v>
      </c>
      <c r="J20" s="36" t="n">
        <v>0.159</v>
      </c>
      <c r="K20" s="36" t="n">
        <v>0.52394</v>
      </c>
      <c r="L20" s="36" t="n">
        <v>0.13919</v>
      </c>
      <c r="M20" s="36" t="n">
        <v>0.09267</v>
      </c>
      <c r="N20" s="35" t="n">
        <v>151.711008</v>
      </c>
      <c r="O20" s="37">
        <f>IFERROR(IF(I20&gt;0,H20/I20,"NM"),"NM")</f>
        <v/>
      </c>
      <c r="P20" s="37">
        <f>IFERROR(IF(N20&gt;0,H20/N20,"NM"),"NM")</f>
        <v/>
      </c>
      <c r="Q20" s="37" t="n">
        <v>29.4517</v>
      </c>
      <c r="R20" s="35" t="n">
        <v>132.511376</v>
      </c>
      <c r="S20" s="36">
        <f>IFERROR(IF(AND(R20&lt;&gt;"",F20&gt;0),R20/F20,""),"")</f>
        <v/>
      </c>
      <c r="T20" s="36" t="n">
        <v>1.150484163288648</v>
      </c>
      <c r="U20" s="36" t="n">
        <v>-0.3487313222441499</v>
      </c>
      <c r="V20" s="38" t="n">
        <v>2.31</v>
      </c>
    </row>
    <row r="21">
      <c r="A21" s="7" t="inlineStr">
        <is>
          <t>ALAB</t>
        </is>
      </c>
      <c r="B21" s="33" t="inlineStr">
        <is>
          <t>Astera Labs</t>
        </is>
      </c>
      <c r="C21" s="33" t="inlineStr">
        <is>
          <t>Optical Semis</t>
        </is>
      </c>
      <c r="D21" s="14" t="inlineStr">
        <is>
          <t>USD</t>
        </is>
      </c>
      <c r="E21" s="34" t="n">
        <v>290.89</v>
      </c>
      <c r="F21" s="35" t="n">
        <v>49860.857856</v>
      </c>
      <c r="G21" s="35" t="n">
        <v>-1142.623984</v>
      </c>
      <c r="H21" s="35">
        <f>IF(F21="","",F21+N(G21))</f>
        <v/>
      </c>
      <c r="I21" s="35" t="n">
        <v>1001.443968</v>
      </c>
      <c r="J21" s="36" t="n">
        <v>0.9340000000000001</v>
      </c>
      <c r="K21" s="36" t="n">
        <v>0.75988996</v>
      </c>
      <c r="L21" s="36" t="n">
        <v>0.23305</v>
      </c>
      <c r="M21" s="36" t="n">
        <v>0.20052</v>
      </c>
      <c r="N21" s="35" t="n">
        <v>233.384992</v>
      </c>
      <c r="O21" s="37">
        <f>IFERROR(IF(I21&gt;0,H21/I21,"NM"),"NM")</f>
        <v/>
      </c>
      <c r="P21" s="37">
        <f>IFERROR(IF(N21&gt;0,H21/N21,"NM"),"NM")</f>
        <v/>
      </c>
      <c r="Q21" s="37" t="n">
        <v>63.741066</v>
      </c>
      <c r="R21" s="35" t="n">
        <v>240.00488</v>
      </c>
      <c r="S21" s="36">
        <f>IFERROR(IF(AND(R21&lt;&gt;"",F21&gt;0),R21/F21,""),"")</f>
        <v/>
      </c>
      <c r="T21" s="36" t="n">
        <v>1.257236173431354</v>
      </c>
      <c r="U21" s="36" t="n">
        <v>-0.4176096549183544</v>
      </c>
      <c r="V21" s="38" t="n">
        <v>3.671</v>
      </c>
    </row>
    <row r="22">
      <c r="A22" s="7" t="inlineStr">
        <is>
          <t>POET</t>
        </is>
      </c>
      <c r="B22" s="33" t="inlineStr">
        <is>
          <t>POET Technologies</t>
        </is>
      </c>
      <c r="C22" s="33" t="inlineStr">
        <is>
          <t>Optical Semis</t>
        </is>
      </c>
      <c r="D22" s="14" t="inlineStr">
        <is>
          <t>USD</t>
        </is>
      </c>
      <c r="E22" s="34" t="n">
        <v>7.1074</v>
      </c>
      <c r="F22" s="35" t="n">
        <v>1226.666112</v>
      </c>
      <c r="G22" s="35" t="n">
        <v>-422.115848</v>
      </c>
      <c r="H22" s="35">
        <f>IF(F22="","",F22+N(G22))</f>
        <v/>
      </c>
      <c r="I22" s="35" t="n">
        <v>1.411494</v>
      </c>
      <c r="J22" s="36" t="n">
        <v>2.019</v>
      </c>
      <c r="K22" s="36" t="n">
        <v>1</v>
      </c>
      <c r="L22" s="36" t="n">
        <v>0</v>
      </c>
      <c r="M22" s="36" t="n">
        <v>-35.4997</v>
      </c>
      <c r="N22" s="35" t="n">
        <v>-47.118212</v>
      </c>
      <c r="O22" s="37">
        <f>IFERROR(IF(I22&gt;0,H22/I22,"NM"),"NM")</f>
        <v/>
      </c>
      <c r="P22" s="37">
        <f>IFERROR(IF(N22&gt;0,H22/N22,"NM"),"NM")</f>
        <v/>
      </c>
      <c r="Q22" s="37" t="inlineStr">
        <is>
          <t>NM</t>
        </is>
      </c>
      <c r="R22" s="35" t="n">
        <v>-42.376272</v>
      </c>
      <c r="S22" s="36">
        <f>IFERROR(IF(AND(R22&lt;&gt;"",F22&gt;0),R22/F22,""),"")</f>
        <v/>
      </c>
      <c r="T22" s="36" t="n">
        <v>0.2360695548679517</v>
      </c>
      <c r="U22" s="36" t="n">
        <v>-0.6584622777510811</v>
      </c>
      <c r="V22" s="38" t="n">
        <v>0.764</v>
      </c>
    </row>
    <row r="23">
      <c r="A23" s="39" t="inlineStr"/>
      <c r="B23" s="40" t="inlineStr">
        <is>
          <t>Median - Optical Semis</t>
        </is>
      </c>
      <c r="C23" s="39" t="inlineStr"/>
      <c r="D23" s="39" t="inlineStr"/>
      <c r="E23" s="39" t="inlineStr"/>
      <c r="F23" s="39" t="inlineStr"/>
      <c r="G23" s="39" t="inlineStr"/>
      <c r="H23" s="39" t="inlineStr"/>
      <c r="I23" s="39" t="inlineStr"/>
      <c r="J23" s="41">
        <f>IFERROR(MEDIAN(J16:J22),"")</f>
        <v/>
      </c>
      <c r="K23" s="41">
        <f>IFERROR(MEDIAN(K16:K22),"")</f>
        <v/>
      </c>
      <c r="L23" s="41">
        <f>IFERROR(MEDIAN(L16:L22),"")</f>
        <v/>
      </c>
      <c r="M23" s="41">
        <f>IFERROR(MEDIAN(M16:M22),"")</f>
        <v/>
      </c>
      <c r="N23" s="39" t="inlineStr"/>
      <c r="O23" s="42">
        <f>IFERROR(MEDIAN(O16:O22),"")</f>
        <v/>
      </c>
      <c r="P23" s="42">
        <f>IFERROR(MEDIAN(P16:P22),"")</f>
        <v/>
      </c>
      <c r="Q23" s="42">
        <f>IFERROR(MEDIAN(Q16:Q22),"")</f>
        <v/>
      </c>
      <c r="R23" s="39" t="inlineStr"/>
      <c r="S23" s="41">
        <f>IFERROR(MEDIAN(S16:S22),"")</f>
        <v/>
      </c>
      <c r="T23" s="41">
        <f>IFERROR(MEDIAN(T16:T22),"")</f>
        <v/>
      </c>
      <c r="U23" s="39" t="inlineStr"/>
      <c r="V23" s="39" t="inlineStr"/>
    </row>
    <row r="24">
      <c r="A24" s="11" t="inlineStr">
        <is>
          <t>Lithography &amp; Light-Source Optics</t>
        </is>
      </c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</row>
    <row r="25">
      <c r="A25" s="7" t="inlineStr">
        <is>
          <t>ASML</t>
        </is>
      </c>
      <c r="B25" s="33" t="inlineStr">
        <is>
          <t>ASML Holding</t>
        </is>
      </c>
      <c r="C25" s="33" t="inlineStr">
        <is>
          <t>Litho Optics</t>
        </is>
      </c>
      <c r="D25" s="14" t="inlineStr">
        <is>
          <t>USD</t>
        </is>
      </c>
      <c r="E25" s="34" t="n">
        <v>1651.24</v>
      </c>
      <c r="F25" s="35" t="n">
        <v>634241.286144</v>
      </c>
      <c r="G25" s="35" t="n">
        <v>-6453.476190087662</v>
      </c>
      <c r="H25" s="35">
        <f>IF(F25="","",F25+N(G25))</f>
        <v/>
      </c>
      <c r="I25" s="35" t="n">
        <v>40732.73407197754</v>
      </c>
      <c r="J25" s="36" t="n">
        <v>0.213</v>
      </c>
      <c r="K25" s="36" t="n">
        <v>0.5273300400000001</v>
      </c>
      <c r="L25" s="36" t="n">
        <v>0.38181</v>
      </c>
      <c r="M25" s="36" t="n">
        <v>0.37057</v>
      </c>
      <c r="N25" s="35" t="n">
        <v>15552.17384244018</v>
      </c>
      <c r="O25" s="37">
        <f>IFERROR(IF(I25&gt;0,H25/I25,"NM"),"NM")</f>
        <v/>
      </c>
      <c r="P25" s="37">
        <f>IFERROR(IF(N25&gt;0,H25/N25,"NM"),"NM")</f>
        <v/>
      </c>
      <c r="Q25" s="37" t="n">
        <v>28.387125</v>
      </c>
      <c r="R25" s="35" t="n">
        <v>9728.669435560912</v>
      </c>
      <c r="S25" s="36">
        <f>IFERROR(IF(AND(R25&lt;&gt;"",F25&gt;0),R25/F25,""),"")</f>
        <v/>
      </c>
      <c r="T25" s="36" t="n">
        <v>1.303873063302289</v>
      </c>
      <c r="U25" s="36" t="n">
        <v>-0.1743634872697454</v>
      </c>
      <c r="V25" s="38" t="n">
        <v>1.394</v>
      </c>
    </row>
    <row r="26">
      <c r="A26" s="7" t="inlineStr">
        <is>
          <t>7731.T</t>
        </is>
      </c>
      <c r="B26" s="33" t="inlineStr">
        <is>
          <t>Nikon</t>
        </is>
      </c>
      <c r="C26" s="33" t="inlineStr">
        <is>
          <t>Litho Optics</t>
        </is>
      </c>
      <c r="D26" s="14" t="inlineStr">
        <is>
          <t>JPY</t>
        </is>
      </c>
      <c r="E26" s="34" t="n">
        <v>1840</v>
      </c>
      <c r="F26" s="35" t="n">
        <v>3810.273529461352</v>
      </c>
      <c r="G26" s="35" t="n">
        <v>389.2517654189285</v>
      </c>
      <c r="H26" s="35">
        <f>IF(F26="","",F26+N(G26))</f>
        <v/>
      </c>
      <c r="I26" s="35" t="n">
        <v>4256.825266377212</v>
      </c>
      <c r="J26" s="36" t="n">
        <v>-0.046</v>
      </c>
      <c r="K26" s="36" t="n">
        <v>0.40944</v>
      </c>
      <c r="L26" s="36" t="n">
        <v>0.04097</v>
      </c>
      <c r="M26" s="36" t="n">
        <v>-0.00773</v>
      </c>
      <c r="N26" s="35" t="n">
        <v>174.4061097698189</v>
      </c>
      <c r="O26" s="37">
        <f>IFERROR(IF(I26&gt;0,H26/I26,"NM"),"NM")</f>
        <v/>
      </c>
      <c r="P26" s="37">
        <f>IFERROR(IF(N26&gt;0,H26/N26,"NM"),"NM")</f>
        <v/>
      </c>
      <c r="Q26" s="37" t="n">
        <v>17.376522</v>
      </c>
      <c r="R26" s="35" t="n">
        <v>-376.1543340720998</v>
      </c>
      <c r="S26" s="36">
        <f>IFERROR(IF(AND(R26&lt;&gt;"",F26&gt;0),R26/F26,""),"")</f>
        <v/>
      </c>
      <c r="T26" s="36" t="n">
        <v>0.3615600620955008</v>
      </c>
      <c r="U26" s="36" t="n">
        <v>-0.2301255230125523</v>
      </c>
      <c r="V26" s="38" t="n">
        <v>0.153</v>
      </c>
    </row>
    <row r="27">
      <c r="A27" s="7" t="inlineStr">
        <is>
          <t>7751.T</t>
        </is>
      </c>
      <c r="B27" s="33" t="inlineStr">
        <is>
          <t>Canon</t>
        </is>
      </c>
      <c r="C27" s="33" t="inlineStr">
        <is>
          <t>Litho Optics</t>
        </is>
      </c>
      <c r="D27" s="14" t="inlineStr">
        <is>
          <t>JPY</t>
        </is>
      </c>
      <c r="E27" s="34" t="n">
        <v>4554</v>
      </c>
      <c r="F27" s="35" t="n">
        <v>24314.56894190209</v>
      </c>
      <c r="G27" s="35" t="n">
        <v>3305.864622696113</v>
      </c>
      <c r="H27" s="35">
        <f>IF(F27="","",F27+N(G27))</f>
        <v/>
      </c>
      <c r="I27" s="35" t="n">
        <v>29549.85552598706</v>
      </c>
      <c r="J27" s="36" t="n">
        <v>0.036</v>
      </c>
      <c r="K27" s="36" t="n">
        <v>0.47847998</v>
      </c>
      <c r="L27" s="36" t="n">
        <v>0.1545</v>
      </c>
      <c r="M27" s="36" t="n">
        <v>0.13483</v>
      </c>
      <c r="N27" s="35" t="n">
        <v>4565.399448092377</v>
      </c>
      <c r="O27" s="37">
        <f>IFERROR(IF(I27&gt;0,H27/I27,"NM"),"NM")</f>
        <v/>
      </c>
      <c r="P27" s="37">
        <f>IFERROR(IF(N27&gt;0,H27/N27,"NM"),"NM")</f>
        <v/>
      </c>
      <c r="Q27" s="37" t="n">
        <v>12.563106</v>
      </c>
      <c r="R27" s="35" t="n">
        <v>1055.436982671761</v>
      </c>
      <c r="S27" s="36">
        <f>IFERROR(IF(AND(R27&lt;&gt;"",F27&gt;0),R27/F27,""),"")</f>
        <v/>
      </c>
      <c r="T27" s="36" t="n">
        <v>0.1201507430476756</v>
      </c>
      <c r="U27" s="36" t="n">
        <v>-0.09517186568646929</v>
      </c>
      <c r="V27" s="38" t="n">
        <v>0.248</v>
      </c>
    </row>
    <row r="28">
      <c r="A28" s="7" t="inlineStr">
        <is>
          <t>6925.T</t>
        </is>
      </c>
      <c r="B28" s="33" t="inlineStr">
        <is>
          <t>Ushio</t>
        </is>
      </c>
      <c r="C28" s="33" t="inlineStr">
        <is>
          <t>Litho Optics</t>
        </is>
      </c>
      <c r="D28" s="14" t="inlineStr">
        <is>
          <t>JPY</t>
        </is>
      </c>
      <c r="E28" s="34" t="n">
        <v>3604</v>
      </c>
      <c r="F28" s="35" t="n">
        <v>1797.684409770693</v>
      </c>
      <c r="G28" s="35" t="n">
        <v>-21.20356018785278</v>
      </c>
      <c r="H28" s="35">
        <f>IF(F28="","",F28+N(G28))</f>
        <v/>
      </c>
      <c r="I28" s="35" t="n">
        <v>1126.567626619158</v>
      </c>
      <c r="J28" s="36" t="n">
        <v>0.055</v>
      </c>
      <c r="K28" s="36" t="n">
        <v>0.36558998</v>
      </c>
      <c r="L28" s="36" t="n">
        <v>0.115609996</v>
      </c>
      <c r="M28" s="36" t="n">
        <v>0.08081999400000001</v>
      </c>
      <c r="N28" s="35" t="n">
        <v>130.245102010775</v>
      </c>
      <c r="O28" s="37">
        <f>IFERROR(IF(I28&gt;0,H28/I28,"NM"),"NM")</f>
        <v/>
      </c>
      <c r="P28" s="37">
        <f>IFERROR(IF(N28&gt;0,H28/N28,"NM"),"NM")</f>
        <v/>
      </c>
      <c r="Q28" s="37" t="n">
        <v>33.192116</v>
      </c>
      <c r="R28" s="35" t="n">
        <v>-0.1060807058234463</v>
      </c>
      <c r="S28" s="36">
        <f>IFERROR(IF(AND(R28&lt;&gt;"",F28&gt;0),R28/F28,""),"")</f>
        <v/>
      </c>
      <c r="T28" s="36" t="n">
        <v>1.005900038943949</v>
      </c>
      <c r="U28" s="36" t="n">
        <v>-0.3020914020139427</v>
      </c>
      <c r="V28" s="38" t="n">
        <v>0.792</v>
      </c>
    </row>
    <row r="29">
      <c r="A29" s="7" t="inlineStr">
        <is>
          <t>7741.T</t>
        </is>
      </c>
      <c r="B29" s="33" t="inlineStr">
        <is>
          <t>Hoya</t>
        </is>
      </c>
      <c r="C29" s="33" t="inlineStr">
        <is>
          <t>Litho Optics</t>
        </is>
      </c>
      <c r="D29" s="14" t="inlineStr">
        <is>
          <t>JPY</t>
        </is>
      </c>
      <c r="E29" s="34" t="n">
        <v>23840</v>
      </c>
      <c r="F29" s="35" t="n">
        <v>50132.46027464243</v>
      </c>
      <c r="G29" s="35" t="n">
        <v>-3343.355935278093</v>
      </c>
      <c r="H29" s="35">
        <f>IF(F29="","",F29+N(G29))</f>
        <v/>
      </c>
      <c r="I29" s="35" t="n">
        <v>5957.800435004426</v>
      </c>
      <c r="J29" s="36" t="n">
        <v>0.151</v>
      </c>
      <c r="K29" s="36" t="n">
        <v>0.5497300000000001</v>
      </c>
      <c r="L29" s="36" t="n">
        <v>0.38562</v>
      </c>
      <c r="M29" s="36" t="n">
        <v>0.27271</v>
      </c>
      <c r="N29" s="35" t="n">
        <v>2297.440864784206</v>
      </c>
      <c r="O29" s="37">
        <f>IFERROR(IF(I29&gt;0,H29/I29,"NM"),"NM")</f>
        <v/>
      </c>
      <c r="P29" s="37">
        <f>IFERROR(IF(N29&gt;0,H29/N29,"NM"),"NM")</f>
        <v/>
      </c>
      <c r="Q29" s="37" t="n">
        <v>34.895123</v>
      </c>
      <c r="R29" s="35" t="n">
        <v>1070.224676765657</v>
      </c>
      <c r="S29" s="36">
        <f>IFERROR(IF(AND(R29&lt;&gt;"",F29&gt;0),R29/F29,""),"")</f>
        <v/>
      </c>
      <c r="T29" s="36" t="n">
        <v>0.271075461748481</v>
      </c>
      <c r="U29" s="36" t="n">
        <v>-0.2157894736842105</v>
      </c>
      <c r="V29" s="38" t="n">
        <v>0.603</v>
      </c>
    </row>
    <row r="30">
      <c r="A30" s="39" t="inlineStr"/>
      <c r="B30" s="40" t="inlineStr">
        <is>
          <t>Median - Litho Optics</t>
        </is>
      </c>
      <c r="C30" s="39" t="inlineStr"/>
      <c r="D30" s="39" t="inlineStr"/>
      <c r="E30" s="39" t="inlineStr"/>
      <c r="F30" s="39" t="inlineStr"/>
      <c r="G30" s="39" t="inlineStr"/>
      <c r="H30" s="39" t="inlineStr"/>
      <c r="I30" s="39" t="inlineStr"/>
      <c r="J30" s="41">
        <f>IFERROR(MEDIAN(J25:J29),"")</f>
        <v/>
      </c>
      <c r="K30" s="41">
        <f>IFERROR(MEDIAN(K25:K29),"")</f>
        <v/>
      </c>
      <c r="L30" s="41">
        <f>IFERROR(MEDIAN(L25:L29),"")</f>
        <v/>
      </c>
      <c r="M30" s="41">
        <f>IFERROR(MEDIAN(M25:M29),"")</f>
        <v/>
      </c>
      <c r="N30" s="39" t="inlineStr"/>
      <c r="O30" s="42">
        <f>IFERROR(MEDIAN(O25:O29),"")</f>
        <v/>
      </c>
      <c r="P30" s="42">
        <f>IFERROR(MEDIAN(P25:P29),"")</f>
        <v/>
      </c>
      <c r="Q30" s="42">
        <f>IFERROR(MEDIAN(Q25:Q29),"")</f>
        <v/>
      </c>
      <c r="R30" s="39" t="inlineStr"/>
      <c r="S30" s="41">
        <f>IFERROR(MEDIAN(S25:S29),"")</f>
        <v/>
      </c>
      <c r="T30" s="41">
        <f>IFERROR(MEDIAN(T25:T29),"")</f>
        <v/>
      </c>
      <c r="U30" s="39" t="inlineStr"/>
      <c r="V30" s="39" t="inlineStr"/>
    </row>
    <row r="31">
      <c r="A31" s="11" t="inlineStr">
        <is>
          <t>Optical Inspection &amp; Metrology</t>
        </is>
      </c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</row>
    <row r="32">
      <c r="A32" s="7" t="inlineStr">
        <is>
          <t>KLAC</t>
        </is>
      </c>
      <c r="B32" s="33" t="inlineStr">
        <is>
          <t>KLA Corp.</t>
        </is>
      </c>
      <c r="C32" s="33" t="inlineStr">
        <is>
          <t>Inspection</t>
        </is>
      </c>
      <c r="D32" s="14" t="inlineStr">
        <is>
          <t>USD</t>
        </is>
      </c>
      <c r="E32" s="34" t="n">
        <v>181.265</v>
      </c>
      <c r="F32" s="35" t="n">
        <v>236781.9776</v>
      </c>
      <c r="G32" s="35" t="n">
        <v>985.006592</v>
      </c>
      <c r="H32" s="35">
        <f>IF(F32="","",F32+N(G32))</f>
        <v/>
      </c>
      <c r="I32" s="35" t="n">
        <v>13579.475968</v>
      </c>
      <c r="J32" s="36" t="n">
        <v>0.152</v>
      </c>
      <c r="K32" s="36" t="n">
        <v>0.6130100000000001</v>
      </c>
      <c r="L32" s="36" t="n">
        <v>0.44586</v>
      </c>
      <c r="M32" s="36" t="n">
        <v>0.42486</v>
      </c>
      <c r="N32" s="35" t="n">
        <v>6054.609408</v>
      </c>
      <c r="O32" s="37">
        <f>IFERROR(IF(I32&gt;0,H32/I32,"NM"),"NM")</f>
        <v/>
      </c>
      <c r="P32" s="37">
        <f>IFERROR(IF(N32&gt;0,H32/N32,"NM"),"NM")</f>
        <v/>
      </c>
      <c r="Q32" s="37" t="n">
        <v>27.577126</v>
      </c>
      <c r="R32" s="35" t="n"/>
      <c r="S32" s="36">
        <f>IFERROR(IF(AND(R32&lt;&gt;"",F32&gt;0),R32/F32,""),"")</f>
        <v/>
      </c>
      <c r="T32" s="36" t="n">
        <v>0.9722730166087958</v>
      </c>
      <c r="U32" s="36" t="n">
        <v>-0.4102710088818038</v>
      </c>
      <c r="V32" s="38" t="n"/>
    </row>
    <row r="33">
      <c r="A33" s="7" t="inlineStr">
        <is>
          <t>6920.T</t>
        </is>
      </c>
      <c r="B33" s="33" t="inlineStr">
        <is>
          <t>Lasertec</t>
        </is>
      </c>
      <c r="C33" s="33" t="inlineStr">
        <is>
          <t>Inspection</t>
        </is>
      </c>
      <c r="D33" s="14" t="inlineStr">
        <is>
          <t>JPY</t>
        </is>
      </c>
      <c r="E33" s="34" t="n">
        <v>33620</v>
      </c>
      <c r="F33" s="35" t="n">
        <v>18942.92304670399</v>
      </c>
      <c r="G33" s="35" t="n">
        <v>-503.0708582632346</v>
      </c>
      <c r="H33" s="35">
        <f>IF(F33="","",F33+N(G33))</f>
        <v/>
      </c>
      <c r="I33" s="35" t="n">
        <v>1585.27638104513</v>
      </c>
      <c r="J33" s="36" t="n">
        <v>0.035</v>
      </c>
      <c r="K33" s="36" t="n">
        <v>0.59827</v>
      </c>
      <c r="L33" s="36" t="n">
        <v>0.50181997</v>
      </c>
      <c r="M33" s="36" t="n">
        <v>0.36821</v>
      </c>
      <c r="N33" s="35" t="n">
        <v>795.5204303181513</v>
      </c>
      <c r="O33" s="37">
        <f>IFERROR(IF(I33&gt;0,H33/I33,"NM"),"NM")</f>
        <v/>
      </c>
      <c r="P33" s="37">
        <f>IFERROR(IF(N33&gt;0,H33/N33,"NM"),"NM")</f>
        <v/>
      </c>
      <c r="Q33" s="37" t="n">
        <v>30.782753</v>
      </c>
      <c r="R33" s="35" t="n">
        <v>348.0264256708739</v>
      </c>
      <c r="S33" s="36">
        <f>IFERROR(IF(AND(R33&lt;&gt;"",F33&gt;0),R33/F33,""),"")</f>
        <v/>
      </c>
      <c r="T33" s="36" t="n">
        <v>1.315592972711985</v>
      </c>
      <c r="U33" s="36" t="n">
        <v>-0.4260839877091157</v>
      </c>
      <c r="V33" s="38" t="n">
        <v>1.714</v>
      </c>
    </row>
    <row r="34">
      <c r="A34" s="7" t="inlineStr">
        <is>
          <t>ONTO</t>
        </is>
      </c>
      <c r="B34" s="33" t="inlineStr">
        <is>
          <t>Onto Innovation</t>
        </is>
      </c>
      <c r="C34" s="33" t="inlineStr">
        <is>
          <t>Inspection</t>
        </is>
      </c>
      <c r="D34" s="14" t="inlineStr">
        <is>
          <t>USD</t>
        </is>
      </c>
      <c r="E34" s="34" t="n">
        <v>248.7875</v>
      </c>
      <c r="F34" s="35" t="n">
        <v>12375.578624</v>
      </c>
      <c r="G34" s="35" t="n">
        <v>-654.163968</v>
      </c>
      <c r="H34" s="35">
        <f>IF(F34="","",F34+N(G34))</f>
        <v/>
      </c>
      <c r="I34" s="35" t="n">
        <v>1030.604992</v>
      </c>
      <c r="J34" s="36" t="n">
        <v>0.095</v>
      </c>
      <c r="K34" s="36" t="n">
        <v>0.54186</v>
      </c>
      <c r="L34" s="36" t="n">
        <v>0.25899</v>
      </c>
      <c r="M34" s="36" t="n">
        <v>0.16753</v>
      </c>
      <c r="N34" s="35" t="n">
        <v>266.916992</v>
      </c>
      <c r="O34" s="37">
        <f>IFERROR(IF(I34&gt;0,H34/I34,"NM"),"NM")</f>
        <v/>
      </c>
      <c r="P34" s="37">
        <f>IFERROR(IF(N34&gt;0,H34/N34,"NM"),"NM")</f>
        <v/>
      </c>
      <c r="Q34" s="37" t="n">
        <v>25.015762</v>
      </c>
      <c r="R34" s="35" t="n">
        <v>197.242256</v>
      </c>
      <c r="S34" s="36">
        <f>IFERROR(IF(AND(R34&lt;&gt;"",F34&gt;0),R34/F34,""),"")</f>
        <v/>
      </c>
      <c r="T34" s="36" t="n">
        <v>1.431702786045255</v>
      </c>
      <c r="U34" s="36" t="n">
        <v>-0.3562399730890649</v>
      </c>
      <c r="V34" s="38" t="n">
        <v>1.545</v>
      </c>
    </row>
    <row r="35">
      <c r="A35" s="7" t="inlineStr">
        <is>
          <t>CAMT</t>
        </is>
      </c>
      <c r="B35" s="33" t="inlineStr">
        <is>
          <t>Camtek</t>
        </is>
      </c>
      <c r="C35" s="33" t="inlineStr">
        <is>
          <t>Inspection</t>
        </is>
      </c>
      <c r="D35" s="14" t="inlineStr">
        <is>
          <t>USD</t>
        </is>
      </c>
      <c r="E35" s="34" t="n">
        <v>137.155</v>
      </c>
      <c r="F35" s="35" t="n">
        <v>6399.175168</v>
      </c>
      <c r="G35" s="35" t="n">
        <v>-182.449984</v>
      </c>
      <c r="H35" s="35">
        <f>IF(F35="","",F35+N(G35))</f>
        <v/>
      </c>
      <c r="I35" s="35" t="n">
        <v>499.092992</v>
      </c>
      <c r="J35" s="36" t="n">
        <v>0.025</v>
      </c>
      <c r="K35" s="36" t="n">
        <v>0.50969005</v>
      </c>
      <c r="L35" s="36" t="n">
        <v>0.27756</v>
      </c>
      <c r="M35" s="36" t="n">
        <v>0.22412</v>
      </c>
      <c r="N35" s="35" t="n">
        <v>138.529248</v>
      </c>
      <c r="O35" s="37">
        <f>IFERROR(IF(I35&gt;0,H35/I35,"NM"),"NM")</f>
        <v/>
      </c>
      <c r="P35" s="37">
        <f>IFERROR(IF(N35&gt;0,H35/N35,"NM"),"NM")</f>
        <v/>
      </c>
      <c r="Q35" s="37" t="n">
        <v>30.311636</v>
      </c>
      <c r="R35" s="35" t="n"/>
      <c r="S35" s="36">
        <f>IFERROR(IF(AND(R35&lt;&gt;"",F35&gt;0),R35/F35,""),"")</f>
        <v/>
      </c>
      <c r="T35" s="36" t="n">
        <v>0.3945602532509096</v>
      </c>
      <c r="U35" s="36" t="n">
        <v>-0.3649937497106348</v>
      </c>
      <c r="V35" s="38" t="n">
        <v>1.567</v>
      </c>
    </row>
    <row r="36">
      <c r="A36" s="7" t="inlineStr">
        <is>
          <t>NVMI</t>
        </is>
      </c>
      <c r="B36" s="33" t="inlineStr">
        <is>
          <t>Nova Ltd.</t>
        </is>
      </c>
      <c r="C36" s="33" t="inlineStr">
        <is>
          <t>Inspection</t>
        </is>
      </c>
      <c r="D36" s="14" t="inlineStr">
        <is>
          <t>USD</t>
        </is>
      </c>
      <c r="E36" s="34" t="n">
        <v>395.04</v>
      </c>
      <c r="F36" s="35" t="n">
        <v>12564.70528</v>
      </c>
      <c r="G36" s="35" t="n">
        <v>-298.372992</v>
      </c>
      <c r="H36" s="35">
        <f>IF(F36="","",F36+N(G36))</f>
        <v/>
      </c>
      <c r="I36" s="35" t="n">
        <v>902.529024</v>
      </c>
      <c r="J36" s="36" t="n">
        <v>0.103</v>
      </c>
      <c r="K36" s="36" t="n">
        <v>0.57310003</v>
      </c>
      <c r="L36" s="36" t="n">
        <v>0.31451</v>
      </c>
      <c r="M36" s="36" t="n">
        <v>0.30104</v>
      </c>
      <c r="N36" s="35" t="n">
        <v>283.857984</v>
      </c>
      <c r="O36" s="37">
        <f>IFERROR(IF(I36&gt;0,H36/I36,"NM"),"NM")</f>
        <v/>
      </c>
      <c r="P36" s="37">
        <f>IFERROR(IF(N36&gt;0,H36/N36,"NM"),"NM")</f>
        <v/>
      </c>
      <c r="Q36" s="37" t="n">
        <v>30.468763</v>
      </c>
      <c r="R36" s="35" t="n">
        <v>122.415872</v>
      </c>
      <c r="S36" s="36">
        <f>IFERROR(IF(AND(R36&lt;&gt;"",F36&gt;0),R36/F36,""),"")</f>
        <v/>
      </c>
      <c r="T36" s="36" t="n">
        <v>0.4425942660964792</v>
      </c>
      <c r="U36" s="36" t="n">
        <v>-0.3586908878390883</v>
      </c>
      <c r="V36" s="38" t="n">
        <v>1.735</v>
      </c>
    </row>
    <row r="37">
      <c r="A37" s="39" t="inlineStr"/>
      <c r="B37" s="40" t="inlineStr">
        <is>
          <t>Median - Inspection</t>
        </is>
      </c>
      <c r="C37" s="39" t="inlineStr"/>
      <c r="D37" s="39" t="inlineStr"/>
      <c r="E37" s="39" t="inlineStr"/>
      <c r="F37" s="39" t="inlineStr"/>
      <c r="G37" s="39" t="inlineStr"/>
      <c r="H37" s="39" t="inlineStr"/>
      <c r="I37" s="39" t="inlineStr"/>
      <c r="J37" s="41">
        <f>IFERROR(MEDIAN(J32:J36),"")</f>
        <v/>
      </c>
      <c r="K37" s="41">
        <f>IFERROR(MEDIAN(K32:K36),"")</f>
        <v/>
      </c>
      <c r="L37" s="41">
        <f>IFERROR(MEDIAN(L32:L36),"")</f>
        <v/>
      </c>
      <c r="M37" s="41">
        <f>IFERROR(MEDIAN(M32:M36),"")</f>
        <v/>
      </c>
      <c r="N37" s="39" t="inlineStr"/>
      <c r="O37" s="42">
        <f>IFERROR(MEDIAN(O32:O36),"")</f>
        <v/>
      </c>
      <c r="P37" s="42">
        <f>IFERROR(MEDIAN(P32:P36),"")</f>
        <v/>
      </c>
      <c r="Q37" s="42">
        <f>IFERROR(MEDIAN(Q32:Q36),"")</f>
        <v/>
      </c>
      <c r="R37" s="39" t="inlineStr"/>
      <c r="S37" s="41">
        <f>IFERROR(MEDIAN(S32:S36),"")</f>
        <v/>
      </c>
      <c r="T37" s="41">
        <f>IFERROR(MEDIAN(T32:T36),"")</f>
        <v/>
      </c>
      <c r="U37" s="39" t="inlineStr"/>
      <c r="V37" s="39" t="inlineStr"/>
    </row>
    <row r="38">
      <c r="A38" s="11" t="inlineStr">
        <is>
          <t>Substrates, Materials &amp; Lasers</t>
        </is>
      </c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</row>
    <row r="39">
      <c r="A39" s="7" t="inlineStr">
        <is>
          <t>AXTI</t>
        </is>
      </c>
      <c r="B39" s="33" t="inlineStr">
        <is>
          <t>AXT Inc.</t>
        </is>
      </c>
      <c r="C39" s="33" t="inlineStr">
        <is>
          <t>Materials</t>
        </is>
      </c>
      <c r="D39" s="14" t="inlineStr">
        <is>
          <t>USD</t>
        </is>
      </c>
      <c r="E39" s="34" t="n">
        <v>47.335</v>
      </c>
      <c r="F39" s="35" t="n">
        <v>3096.8064</v>
      </c>
      <c r="G39" s="35" t="n">
        <v>-29.571</v>
      </c>
      <c r="H39" s="35">
        <f>IF(F39="","",F39+N(G39))</f>
        <v/>
      </c>
      <c r="I39" s="35" t="n">
        <v>95.89400000000001</v>
      </c>
      <c r="J39" s="36" t="n">
        <v>0.391</v>
      </c>
      <c r="K39" s="36" t="n">
        <v>0.21337</v>
      </c>
      <c r="L39" s="36" t="n">
        <v>-0.041360002</v>
      </c>
      <c r="M39" s="36" t="n">
        <v>-0.058870003</v>
      </c>
      <c r="N39" s="35" t="n">
        <v>-3.966</v>
      </c>
      <c r="O39" s="37">
        <f>IFERROR(IF(I39&gt;0,H39/I39,"NM"),"NM")</f>
        <v/>
      </c>
      <c r="P39" s="37">
        <f>IFERROR(IF(N39&gt;0,H39/N39,"NM"),"NM")</f>
        <v/>
      </c>
      <c r="Q39" s="37" t="n">
        <v>60.8419</v>
      </c>
      <c r="R39" s="35" t="n">
        <v>-25.25325</v>
      </c>
      <c r="S39" s="36">
        <f>IFERROR(IF(AND(R39&lt;&gt;"",F39&gt;0),R39/F39,""),"")</f>
        <v/>
      </c>
      <c r="T39" s="36" t="n">
        <v>21.32783096211799</v>
      </c>
      <c r="U39" s="36" t="n">
        <v>-0.6693559653534507</v>
      </c>
      <c r="V39" s="38" t="n">
        <v>1.867</v>
      </c>
    </row>
    <row r="40">
      <c r="A40" s="7" t="inlineStr">
        <is>
          <t>GLW</t>
        </is>
      </c>
      <c r="B40" s="33" t="inlineStr">
        <is>
          <t>Corning</t>
        </is>
      </c>
      <c r="C40" s="33" t="inlineStr">
        <is>
          <t>Materials</t>
        </is>
      </c>
      <c r="D40" s="14" t="inlineStr">
        <is>
          <t>USD</t>
        </is>
      </c>
      <c r="E40" s="34" t="n">
        <v>133.42</v>
      </c>
      <c r="F40" s="35" t="n">
        <v>114692.87424</v>
      </c>
      <c r="G40" s="35" t="n">
        <v>5920</v>
      </c>
      <c r="H40" s="35">
        <f>IF(F40="","",F40+N(G40))</f>
        <v/>
      </c>
      <c r="I40" s="35" t="n">
        <v>16963.999744</v>
      </c>
      <c r="J40" s="36" t="n">
        <v>0.166</v>
      </c>
      <c r="K40" s="36" t="n">
        <v>0.36707002</v>
      </c>
      <c r="L40" s="36" t="n">
        <v>0.24622999</v>
      </c>
      <c r="M40" s="36" t="n">
        <v>0.16382</v>
      </c>
      <c r="N40" s="35" t="n">
        <v>4176.999936</v>
      </c>
      <c r="O40" s="37">
        <f>IFERROR(IF(I40&gt;0,H40/I40,"NM"),"NM")</f>
        <v/>
      </c>
      <c r="P40" s="37">
        <f>IFERROR(IF(N40&gt;0,H40/N40,"NM"),"NM")</f>
        <v/>
      </c>
      <c r="Q40" s="37" t="n">
        <v>30.992876</v>
      </c>
      <c r="R40" s="35" t="n">
        <v>882</v>
      </c>
      <c r="S40" s="36">
        <f>IFERROR(IF(AND(R40&lt;&gt;"",F40&gt;0),R40/F40,""),"")</f>
        <v/>
      </c>
      <c r="T40" s="36" t="n">
        <v>1.154263760795725</v>
      </c>
      <c r="U40" s="36" t="n">
        <v>-0.5090882331297373</v>
      </c>
      <c r="V40" s="38" t="n">
        <v>1.086</v>
      </c>
    </row>
    <row r="41">
      <c r="A41" s="7" t="inlineStr">
        <is>
          <t>IPGP</t>
        </is>
      </c>
      <c r="B41" s="33" t="inlineStr">
        <is>
          <t>IPG Photonics</t>
        </is>
      </c>
      <c r="C41" s="33" t="inlineStr">
        <is>
          <t>Materials</t>
        </is>
      </c>
      <c r="D41" s="14" t="inlineStr">
        <is>
          <t>USD</t>
        </is>
      </c>
      <c r="E41" s="34" t="n">
        <v>83.62</v>
      </c>
      <c r="F41" s="35" t="n">
        <v>3549.13536</v>
      </c>
      <c r="G41" s="35" t="n">
        <v>-796.593024</v>
      </c>
      <c r="H41" s="35">
        <f>IF(F41="","",F41+N(G41))</f>
        <v/>
      </c>
      <c r="I41" s="35" t="n">
        <v>1041.481024</v>
      </c>
      <c r="J41" s="36" t="n">
        <v>0.166</v>
      </c>
      <c r="K41" s="36" t="n">
        <v>0.37557</v>
      </c>
      <c r="L41" s="36" t="n">
        <v>0.08813</v>
      </c>
      <c r="M41" s="36" t="n">
        <v>0.02096</v>
      </c>
      <c r="N41" s="35" t="n">
        <v>91.79000000000001</v>
      </c>
      <c r="O41" s="37">
        <f>IFERROR(IF(I41&gt;0,H41/I41,"NM"),"NM")</f>
        <v/>
      </c>
      <c r="P41" s="37">
        <f>IFERROR(IF(N41&gt;0,H41/N41,"NM"),"NM")</f>
        <v/>
      </c>
      <c r="Q41" s="37" t="n">
        <v>36.17674</v>
      </c>
      <c r="R41" s="35" t="n">
        <v>0.603625</v>
      </c>
      <c r="S41" s="36">
        <f>IFERROR(IF(AND(R41&lt;&gt;"",F41&gt;0),R41/F41,""),"")</f>
        <v/>
      </c>
      <c r="T41" s="36" t="n">
        <v>0.08541019928425908</v>
      </c>
      <c r="U41" s="36" t="n">
        <v>-0.4633551533821075</v>
      </c>
      <c r="V41" s="38" t="n">
        <v>0.9409999999999999</v>
      </c>
    </row>
    <row r="42">
      <c r="A42" s="39" t="inlineStr"/>
      <c r="B42" s="40" t="inlineStr">
        <is>
          <t>Median - Materials</t>
        </is>
      </c>
      <c r="C42" s="39" t="inlineStr"/>
      <c r="D42" s="39" t="inlineStr"/>
      <c r="E42" s="39" t="inlineStr"/>
      <c r="F42" s="39" t="inlineStr"/>
      <c r="G42" s="39" t="inlineStr"/>
      <c r="H42" s="39" t="inlineStr"/>
      <c r="I42" s="39" t="inlineStr"/>
      <c r="J42" s="41">
        <f>IFERROR(MEDIAN(J39:J41),"")</f>
        <v/>
      </c>
      <c r="K42" s="41">
        <f>IFERROR(MEDIAN(K39:K41),"")</f>
        <v/>
      </c>
      <c r="L42" s="41">
        <f>IFERROR(MEDIAN(L39:L41),"")</f>
        <v/>
      </c>
      <c r="M42" s="41">
        <f>IFERROR(MEDIAN(M39:M41),"")</f>
        <v/>
      </c>
      <c r="N42" s="39" t="inlineStr"/>
      <c r="O42" s="42">
        <f>IFERROR(MEDIAN(O39:O41),"")</f>
        <v/>
      </c>
      <c r="P42" s="42">
        <f>IFERROR(MEDIAN(P39:P41),"")</f>
        <v/>
      </c>
      <c r="Q42" s="42">
        <f>IFERROR(MEDIAN(Q39:Q41),"")</f>
        <v/>
      </c>
      <c r="R42" s="39" t="inlineStr"/>
      <c r="S42" s="41">
        <f>IFERROR(MEDIAN(S39:S41),"")</f>
        <v/>
      </c>
      <c r="T42" s="41">
        <f>IFERROR(MEDIAN(T39:T41),"")</f>
        <v/>
      </c>
      <c r="U42" s="39" t="inlineStr"/>
      <c r="V42" s="39" t="inlineStr"/>
    </row>
    <row r="43">
      <c r="A43" s="11" t="inlineStr">
        <is>
          <t>Optical Systems &amp; EMS</t>
        </is>
      </c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</row>
    <row r="44">
      <c r="A44" s="7" t="inlineStr">
        <is>
          <t>CIEN</t>
        </is>
      </c>
      <c r="B44" s="33" t="inlineStr">
        <is>
          <t>Ciena</t>
        </is>
      </c>
      <c r="C44" s="33" t="inlineStr">
        <is>
          <t>Systems/EMS</t>
        </is>
      </c>
      <c r="D44" s="14" t="inlineStr">
        <is>
          <t>USD</t>
        </is>
      </c>
      <c r="E44" s="34" t="n">
        <v>364.49</v>
      </c>
      <c r="F44" s="35" t="n">
        <v>51594.625024</v>
      </c>
      <c r="G44" s="35" t="n">
        <v>377.74592</v>
      </c>
      <c r="H44" s="35">
        <f>IF(F44="","",F44+N(G44))</f>
        <v/>
      </c>
      <c r="I44" s="35" t="n">
        <v>5569.149952</v>
      </c>
      <c r="J44" s="36" t="n">
        <v>0.395</v>
      </c>
      <c r="K44" s="36" t="n">
        <v>0.43047002</v>
      </c>
      <c r="L44" s="36" t="n">
        <v>0.14109</v>
      </c>
      <c r="M44" s="36" t="n">
        <v>0.15195</v>
      </c>
      <c r="N44" s="35" t="n">
        <v>785.740032</v>
      </c>
      <c r="O44" s="37">
        <f>IFERROR(IF(I44&gt;0,H44/I44,"NM"),"NM")</f>
        <v/>
      </c>
      <c r="P44" s="37">
        <f>IFERROR(IF(N44&gt;0,H44/N44,"NM"),"NM")</f>
        <v/>
      </c>
      <c r="Q44" s="37" t="n">
        <v>37.817383</v>
      </c>
      <c r="R44" s="35" t="n">
        <v>700.927872</v>
      </c>
      <c r="S44" s="36">
        <f>IFERROR(IF(AND(R44&lt;&gt;"",F44&gt;0),R44/F44,""),"")</f>
        <v/>
      </c>
      <c r="T44" s="36" t="n">
        <v>2.921355591193142</v>
      </c>
      <c r="U44" s="36" t="n">
        <v>-0.4282599488635472</v>
      </c>
      <c r="V44" s="38" t="n">
        <v>1.274</v>
      </c>
    </row>
    <row r="45">
      <c r="A45" s="7" t="inlineStr">
        <is>
          <t>CLS</t>
        </is>
      </c>
      <c r="B45" s="33" t="inlineStr">
        <is>
          <t>Celestica</t>
        </is>
      </c>
      <c r="C45" s="33" t="inlineStr">
        <is>
          <t>Systems/EMS</t>
        </is>
      </c>
      <c r="D45" s="14" t="inlineStr">
        <is>
          <t>USD</t>
        </is>
      </c>
      <c r="E45" s="34" t="n">
        <v>348.115</v>
      </c>
      <c r="F45" s="35" t="n">
        <v>40026.988544</v>
      </c>
      <c r="G45" s="35" t="n">
        <v>444.2</v>
      </c>
      <c r="H45" s="35">
        <f>IF(F45="","",F45+N(G45))</f>
        <v/>
      </c>
      <c r="I45" s="35" t="n">
        <v>15594.500096</v>
      </c>
      <c r="J45" s="36" t="n">
        <v>0.624</v>
      </c>
      <c r="K45" s="36" t="n">
        <v>0.11951999</v>
      </c>
      <c r="L45" s="36" t="n">
        <v>0.10014</v>
      </c>
      <c r="M45" s="36" t="n">
        <v>0.09817999600000001</v>
      </c>
      <c r="N45" s="35" t="n">
        <v>1561.699968</v>
      </c>
      <c r="O45" s="37">
        <f>IFERROR(IF(I45&gt;0,H45/I45,"NM"),"NM")</f>
        <v/>
      </c>
      <c r="P45" s="37">
        <f>IFERROR(IF(N45&gt;0,H45/N45,"NM"),"NM")</f>
        <v/>
      </c>
      <c r="Q45" s="37" t="n">
        <v>17.889904</v>
      </c>
      <c r="R45" s="35" t="n">
        <v>729.075008</v>
      </c>
      <c r="S45" s="36">
        <f>IFERROR(IF(AND(R45&lt;&gt;"",F45&gt;0),R45/F45,""),"")</f>
        <v/>
      </c>
      <c r="T45" s="36" t="n">
        <v>0.7198507185222744</v>
      </c>
      <c r="U45" s="36" t="n">
        <v>-0.2656266481024407</v>
      </c>
      <c r="V45" s="38" t="n">
        <v>1.515</v>
      </c>
    </row>
    <row r="46">
      <c r="A46" s="39" t="inlineStr"/>
      <c r="B46" s="40" t="inlineStr">
        <is>
          <t>Median - Systems/EMS</t>
        </is>
      </c>
      <c r="C46" s="39" t="inlineStr"/>
      <c r="D46" s="39" t="inlineStr"/>
      <c r="E46" s="39" t="inlineStr"/>
      <c r="F46" s="39" t="inlineStr"/>
      <c r="G46" s="39" t="inlineStr"/>
      <c r="H46" s="39" t="inlineStr"/>
      <c r="I46" s="39" t="inlineStr"/>
      <c r="J46" s="41">
        <f>IFERROR(MEDIAN(J44:J45),"")</f>
        <v/>
      </c>
      <c r="K46" s="41">
        <f>IFERROR(MEDIAN(K44:K45),"")</f>
        <v/>
      </c>
      <c r="L46" s="41">
        <f>IFERROR(MEDIAN(L44:L45),"")</f>
        <v/>
      </c>
      <c r="M46" s="41">
        <f>IFERROR(MEDIAN(M44:M45),"")</f>
        <v/>
      </c>
      <c r="N46" s="39" t="inlineStr"/>
      <c r="O46" s="42">
        <f>IFERROR(MEDIAN(O44:O45),"")</f>
        <v/>
      </c>
      <c r="P46" s="42">
        <f>IFERROR(MEDIAN(P44:P45),"")</f>
        <v/>
      </c>
      <c r="Q46" s="42">
        <f>IFERROR(MEDIAN(Q44:Q45),"")</f>
        <v/>
      </c>
      <c r="R46" s="39" t="inlineStr"/>
      <c r="S46" s="41">
        <f>IFERROR(MEDIAN(S44:S45),"")</f>
        <v/>
      </c>
      <c r="T46" s="41">
        <f>IFERROR(MEDIAN(T44:T45),"")</f>
        <v/>
      </c>
      <c r="U46" s="39" t="inlineStr"/>
      <c r="V46" s="39" t="inlineStr"/>
    </row>
    <row r="47">
      <c r="A47" s="43" t="inlineStr"/>
      <c r="B47" s="44" t="inlineStr">
        <is>
          <t>Median - Universe</t>
        </is>
      </c>
      <c r="C47" s="43" t="inlineStr"/>
      <c r="D47" s="43" t="inlineStr"/>
      <c r="E47" s="43" t="inlineStr"/>
      <c r="F47" s="43" t="inlineStr"/>
      <c r="G47" s="43" t="inlineStr"/>
      <c r="H47" s="43" t="inlineStr"/>
      <c r="I47" s="43" t="inlineStr"/>
      <c r="J47" s="45">
        <f>IFERROR(MEDIAN(J5:J46),"")</f>
        <v/>
      </c>
      <c r="K47" s="45">
        <f>IFERROR(MEDIAN(K5:K46),"")</f>
        <v/>
      </c>
      <c r="L47" s="45">
        <f>IFERROR(MEDIAN(L5:L46),"")</f>
        <v/>
      </c>
      <c r="M47" s="45">
        <f>IFERROR(MEDIAN(M5:M46),"")</f>
        <v/>
      </c>
      <c r="N47" s="43" t="inlineStr"/>
      <c r="O47" s="46">
        <f>IFERROR(MEDIAN(O5:O46),"")</f>
        <v/>
      </c>
      <c r="P47" s="46">
        <f>IFERROR(MEDIAN(P5:P46),"")</f>
        <v/>
      </c>
      <c r="Q47" s="46">
        <f>IFERROR(MEDIAN(Q5:Q46),"")</f>
        <v/>
      </c>
      <c r="R47" s="43" t="inlineStr"/>
      <c r="S47" s="45">
        <f>IFERROR(MEDIAN(S5:S46),"")</f>
        <v/>
      </c>
      <c r="T47" s="45">
        <f>IFERROR(MEDIAN(T5:T46),"")</f>
        <v/>
      </c>
      <c r="U47" s="43" t="inlineStr"/>
      <c r="V47" s="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38135"/>
    <outlinePr summaryBelow="1" summaryRight="1"/>
    <pageSetUpPr/>
  </sheetPr>
  <dimension ref="A1:Q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11" customWidth="1" min="16" max="16"/>
    <col width="10" customWidth="1" min="17" max="17"/>
  </cols>
  <sheetData>
    <row r="1">
      <c r="A1" s="1" t="inlineStr">
        <is>
          <t>Revenue Exposure Model - who actually monetizes each optical TAM</t>
        </is>
      </c>
    </row>
    <row r="2">
      <c r="A2" s="2" t="inlineStr">
        <is>
          <t>Exposure %s are analyst estimates (blue - flex them). Each bucket grows at the Market Model '25-'28 CAGR, +/- a company share-shift adjustment, compounded over the horizon below.</t>
        </is>
      </c>
    </row>
    <row r="3">
      <c r="A3" s="47" t="inlineStr">
        <is>
          <t>Years TTM -&gt; CY2028E:</t>
        </is>
      </c>
      <c r="B3" s="48" t="n">
        <v>2.5</v>
      </c>
      <c r="D3" s="47" t="inlineStr">
        <is>
          <t>Other-bucket growth:</t>
        </is>
      </c>
      <c r="F3" s="49" t="n">
        <v>0.03</v>
      </c>
    </row>
    <row r="5">
      <c r="A5" s="6" t="inlineStr">
        <is>
          <t>Ticker</t>
        </is>
      </c>
      <c r="B5" s="6" t="inlineStr">
        <is>
          <t>Company</t>
        </is>
      </c>
      <c r="C5" s="6" t="inlineStr">
        <is>
          <t>Segment</t>
        </is>
      </c>
      <c r="D5" s="6" t="inlineStr">
        <is>
          <t>Rev TTM $M</t>
        </is>
      </c>
      <c r="E5" s="6" t="inlineStr">
        <is>
          <t>% AI/ DC opt</t>
        </is>
      </c>
      <c r="F5" s="6" t="inlineStr">
        <is>
          <t>% Fab optics</t>
        </is>
      </c>
      <c r="G5" s="6" t="inlineStr">
        <is>
          <t>% Telecom</t>
        </is>
      </c>
      <c r="H5" s="6" t="inlineStr">
        <is>
          <t>% Other</t>
        </is>
      </c>
      <c r="I5" s="6" t="inlineStr">
        <is>
          <t>AI/DC Rev $M</t>
        </is>
      </c>
      <c r="J5" s="6" t="inlineStr">
        <is>
          <t>Fab Rev $M</t>
        </is>
      </c>
      <c r="K5" s="6" t="inlineStr">
        <is>
          <t>Telecom Rev $M</t>
        </is>
      </c>
      <c r="L5" s="6" t="inlineStr">
        <is>
          <t>Other Rev $M</t>
        </is>
      </c>
      <c r="M5" s="6" t="inlineStr">
        <is>
          <t>Share adj (pts)</t>
        </is>
      </c>
      <c r="N5" s="6" t="inlineStr">
        <is>
          <t>2028E Rev $M</t>
        </is>
      </c>
      <c r="O5" s="6" t="inlineStr">
        <is>
          <t>Implied CAGR</t>
        </is>
      </c>
      <c r="P5" s="6" t="inlineStr">
        <is>
          <t>EV $M</t>
        </is>
      </c>
      <c r="Q5" s="6" t="inlineStr">
        <is>
          <t>EV / 28E Rev</t>
        </is>
      </c>
    </row>
    <row r="6">
      <c r="A6" s="7" t="inlineStr">
        <is>
          <t>COHR</t>
        </is>
      </c>
      <c r="B6" s="33" t="inlineStr">
        <is>
          <t>Coherent Corp.</t>
        </is>
      </c>
      <c r="C6" s="33" t="inlineStr">
        <is>
          <t>Transceivers</t>
        </is>
      </c>
      <c r="D6" s="35">
        <f>Comps!I6</f>
        <v/>
      </c>
      <c r="E6" s="22" t="n">
        <v>0.45</v>
      </c>
      <c r="F6" s="22" t="n">
        <v>0.05</v>
      </c>
      <c r="G6" s="22" t="n">
        <v>0.15</v>
      </c>
      <c r="H6" s="24">
        <f>1-E6-F6-G6</f>
        <v/>
      </c>
      <c r="I6" s="35">
        <f>IFERROR($D6*E6,"")</f>
        <v/>
      </c>
      <c r="J6" s="35">
        <f>IFERROR($D6*F6,"")</f>
        <v/>
      </c>
      <c r="K6" s="35">
        <f>IFERROR($D6*G6,"")</f>
        <v/>
      </c>
      <c r="L6" s="35">
        <f>IFERROR($D6*H6,"")</f>
        <v/>
      </c>
      <c r="M6" s="31" t="n">
        <v>0</v>
      </c>
      <c r="N6" s="50">
        <f>IFERROR(I6*(1+'Market Model'!$C$57+M6)^$B$3+J6*(1+'Market Model'!$C$58)^$B$3+K6*(1+'Market Model'!$C$59)^$B$3+L6*(1+$F$3)^$B$3,"")</f>
        <v/>
      </c>
      <c r="O6" s="36">
        <f>IFERROR((N6/D6)^(1/$B$3)-1,"")</f>
        <v/>
      </c>
      <c r="P6" s="35">
        <f>Comps!H6</f>
        <v/>
      </c>
      <c r="Q6" s="51">
        <f>IFERROR(IF(N6&gt;0,P6/N6,"NM"),"NM")</f>
        <v/>
      </c>
    </row>
    <row r="7">
      <c r="A7" s="7" t="inlineStr">
        <is>
          <t>LITE</t>
        </is>
      </c>
      <c r="B7" s="33" t="inlineStr">
        <is>
          <t>Lumentum Holdings</t>
        </is>
      </c>
      <c r="C7" s="33" t="inlineStr">
        <is>
          <t>Transceivers</t>
        </is>
      </c>
      <c r="D7" s="35">
        <f>Comps!I7</f>
        <v/>
      </c>
      <c r="E7" s="22" t="n">
        <v>0.55</v>
      </c>
      <c r="F7" s="22" t="n">
        <v>0.05</v>
      </c>
      <c r="G7" s="22" t="n">
        <v>0.25</v>
      </c>
      <c r="H7" s="24">
        <f>1-E7-F7-G7</f>
        <v/>
      </c>
      <c r="I7" s="35">
        <f>IFERROR($D7*E7,"")</f>
        <v/>
      </c>
      <c r="J7" s="35">
        <f>IFERROR($D7*F7,"")</f>
        <v/>
      </c>
      <c r="K7" s="35">
        <f>IFERROR($D7*G7,"")</f>
        <v/>
      </c>
      <c r="L7" s="35">
        <f>IFERROR($D7*H7,"")</f>
        <v/>
      </c>
      <c r="M7" s="31" t="n">
        <v>0.01</v>
      </c>
      <c r="N7" s="50">
        <f>IFERROR(I7*(1+'Market Model'!$C$57+M7)^$B$3+J7*(1+'Market Model'!$C$58)^$B$3+K7*(1+'Market Model'!$C$59)^$B$3+L7*(1+$F$3)^$B$3,"")</f>
        <v/>
      </c>
      <c r="O7" s="36">
        <f>IFERROR((N7/D7)^(1/$B$3)-1,"")</f>
        <v/>
      </c>
      <c r="P7" s="35">
        <f>Comps!H7</f>
        <v/>
      </c>
      <c r="Q7" s="51">
        <f>IFERROR(IF(N7&gt;0,P7/N7,"NM"),"NM")</f>
        <v/>
      </c>
    </row>
    <row r="8">
      <c r="A8" s="7" t="inlineStr">
        <is>
          <t>AAOI</t>
        </is>
      </c>
      <c r="B8" s="33" t="inlineStr">
        <is>
          <t>Applied Optoelectronics</t>
        </is>
      </c>
      <c r="C8" s="33" t="inlineStr">
        <is>
          <t>Transceivers</t>
        </is>
      </c>
      <c r="D8" s="35">
        <f>Comps!I8</f>
        <v/>
      </c>
      <c r="E8" s="22" t="n">
        <v>0.85</v>
      </c>
      <c r="F8" s="22" t="n">
        <v>0</v>
      </c>
      <c r="G8" s="22" t="n">
        <v>0.05</v>
      </c>
      <c r="H8" s="24">
        <f>1-E8-F8-G8</f>
        <v/>
      </c>
      <c r="I8" s="35">
        <f>IFERROR($D8*E8,"")</f>
        <v/>
      </c>
      <c r="J8" s="35">
        <f>IFERROR($D8*F8,"")</f>
        <v/>
      </c>
      <c r="K8" s="35">
        <f>IFERROR($D8*G8,"")</f>
        <v/>
      </c>
      <c r="L8" s="35">
        <f>IFERROR($D8*H8,"")</f>
        <v/>
      </c>
      <c r="M8" s="31" t="n">
        <v>-0.02</v>
      </c>
      <c r="N8" s="50">
        <f>IFERROR(I8*(1+'Market Model'!$C$57+M8)^$B$3+J8*(1+'Market Model'!$C$58)^$B$3+K8*(1+'Market Model'!$C$59)^$B$3+L8*(1+$F$3)^$B$3,"")</f>
        <v/>
      </c>
      <c r="O8" s="36">
        <f>IFERROR((N8/D8)^(1/$B$3)-1,"")</f>
        <v/>
      </c>
      <c r="P8" s="35">
        <f>Comps!H8</f>
        <v/>
      </c>
      <c r="Q8" s="51">
        <f>IFERROR(IF(N8&gt;0,P8/N8,"NM"),"NM")</f>
        <v/>
      </c>
    </row>
    <row r="9">
      <c r="A9" s="7" t="inlineStr">
        <is>
          <t>FN</t>
        </is>
      </c>
      <c r="B9" s="33" t="inlineStr">
        <is>
          <t>Fabrinet</t>
        </is>
      </c>
      <c r="C9" s="33" t="inlineStr">
        <is>
          <t>Transceivers</t>
        </is>
      </c>
      <c r="D9" s="35">
        <f>Comps!I9</f>
        <v/>
      </c>
      <c r="E9" s="22" t="n">
        <v>0.65</v>
      </c>
      <c r="F9" s="22" t="n">
        <v>0</v>
      </c>
      <c r="G9" s="22" t="n">
        <v>0.25</v>
      </c>
      <c r="H9" s="24">
        <f>1-E9-F9-G9</f>
        <v/>
      </c>
      <c r="I9" s="35">
        <f>IFERROR($D9*E9,"")</f>
        <v/>
      </c>
      <c r="J9" s="35">
        <f>IFERROR($D9*F9,"")</f>
        <v/>
      </c>
      <c r="K9" s="35">
        <f>IFERROR($D9*G9,"")</f>
        <v/>
      </c>
      <c r="L9" s="35">
        <f>IFERROR($D9*H9,"")</f>
        <v/>
      </c>
      <c r="M9" s="31" t="n">
        <v>0</v>
      </c>
      <c r="N9" s="50">
        <f>IFERROR(I9*(1+'Market Model'!$C$57+M9)^$B$3+J9*(1+'Market Model'!$C$58)^$B$3+K9*(1+'Market Model'!$C$59)^$B$3+L9*(1+$F$3)^$B$3,"")</f>
        <v/>
      </c>
      <c r="O9" s="36">
        <f>IFERROR((N9/D9)^(1/$B$3)-1,"")</f>
        <v/>
      </c>
      <c r="P9" s="35">
        <f>Comps!H9</f>
        <v/>
      </c>
      <c r="Q9" s="51">
        <f>IFERROR(IF(N9&gt;0,P9/N9,"NM"),"NM")</f>
        <v/>
      </c>
    </row>
    <row r="10">
      <c r="A10" s="7" t="inlineStr">
        <is>
          <t>300308.SZ</t>
        </is>
      </c>
      <c r="B10" s="33" t="inlineStr">
        <is>
          <t>Zhongji Innolight</t>
        </is>
      </c>
      <c r="C10" s="33" t="inlineStr">
        <is>
          <t>Transceivers</t>
        </is>
      </c>
      <c r="D10" s="35">
        <f>Comps!I10</f>
        <v/>
      </c>
      <c r="E10" s="22" t="n">
        <v>0.9</v>
      </c>
      <c r="F10" s="22" t="n">
        <v>0</v>
      </c>
      <c r="G10" s="22" t="n">
        <v>0.05</v>
      </c>
      <c r="H10" s="24">
        <f>1-E10-F10-G10</f>
        <v/>
      </c>
      <c r="I10" s="35">
        <f>IFERROR($D10*E10,"")</f>
        <v/>
      </c>
      <c r="J10" s="35">
        <f>IFERROR($D10*F10,"")</f>
        <v/>
      </c>
      <c r="K10" s="35">
        <f>IFERROR($D10*G10,"")</f>
        <v/>
      </c>
      <c r="L10" s="35">
        <f>IFERROR($D10*H10,"")</f>
        <v/>
      </c>
      <c r="M10" s="31" t="n">
        <v>0.01</v>
      </c>
      <c r="N10" s="50">
        <f>IFERROR(I10*(1+'Market Model'!$C$57+M10)^$B$3+J10*(1+'Market Model'!$C$58)^$B$3+K10*(1+'Market Model'!$C$59)^$B$3+L10*(1+$F$3)^$B$3,"")</f>
        <v/>
      </c>
      <c r="O10" s="36">
        <f>IFERROR((N10/D10)^(1/$B$3)-1,"")</f>
        <v/>
      </c>
      <c r="P10" s="35">
        <f>Comps!H10</f>
        <v/>
      </c>
      <c r="Q10" s="51">
        <f>IFERROR(IF(N10&gt;0,P10/N10,"NM"),"NM")</f>
        <v/>
      </c>
    </row>
    <row r="11">
      <c r="A11" s="7" t="inlineStr">
        <is>
          <t>300502.SZ</t>
        </is>
      </c>
      <c r="B11" s="33" t="inlineStr">
        <is>
          <t>Eoptolink</t>
        </is>
      </c>
      <c r="C11" s="33" t="inlineStr">
        <is>
          <t>Transceivers</t>
        </is>
      </c>
      <c r="D11" s="35">
        <f>Comps!I11</f>
        <v/>
      </c>
      <c r="E11" s="22" t="n">
        <v>0.92</v>
      </c>
      <c r="F11" s="22" t="n">
        <v>0</v>
      </c>
      <c r="G11" s="22" t="n">
        <v>0.04</v>
      </c>
      <c r="H11" s="24">
        <f>1-E11-F11-G11</f>
        <v/>
      </c>
      <c r="I11" s="35">
        <f>IFERROR($D11*E11,"")</f>
        <v/>
      </c>
      <c r="J11" s="35">
        <f>IFERROR($D11*F11,"")</f>
        <v/>
      </c>
      <c r="K11" s="35">
        <f>IFERROR($D11*G11,"")</f>
        <v/>
      </c>
      <c r="L11" s="35">
        <f>IFERROR($D11*H11,"")</f>
        <v/>
      </c>
      <c r="M11" s="31" t="n">
        <v>0.02</v>
      </c>
      <c r="N11" s="50">
        <f>IFERROR(I11*(1+'Market Model'!$C$57+M11)^$B$3+J11*(1+'Market Model'!$C$58)^$B$3+K11*(1+'Market Model'!$C$59)^$B$3+L11*(1+$F$3)^$B$3,"")</f>
        <v/>
      </c>
      <c r="O11" s="36">
        <f>IFERROR((N11/D11)^(1/$B$3)-1,"")</f>
        <v/>
      </c>
      <c r="P11" s="35">
        <f>Comps!H11</f>
        <v/>
      </c>
      <c r="Q11" s="51">
        <f>IFERROR(IF(N11&gt;0,P11/N11,"NM"),"NM")</f>
        <v/>
      </c>
    </row>
    <row r="12">
      <c r="A12" s="7" t="inlineStr">
        <is>
          <t>300394.SZ</t>
        </is>
      </c>
      <c r="B12" s="33" t="inlineStr">
        <is>
          <t>Suzhou TFC Optical</t>
        </is>
      </c>
      <c r="C12" s="33" t="inlineStr">
        <is>
          <t>Transceivers</t>
        </is>
      </c>
      <c r="D12" s="35">
        <f>Comps!I12</f>
        <v/>
      </c>
      <c r="E12" s="22" t="n">
        <v>0.8</v>
      </c>
      <c r="F12" s="22" t="n">
        <v>0</v>
      </c>
      <c r="G12" s="22" t="n">
        <v>0.12</v>
      </c>
      <c r="H12" s="24">
        <f>1-E12-F12-G12</f>
        <v/>
      </c>
      <c r="I12" s="35">
        <f>IFERROR($D12*E12,"")</f>
        <v/>
      </c>
      <c r="J12" s="35">
        <f>IFERROR($D12*F12,"")</f>
        <v/>
      </c>
      <c r="K12" s="35">
        <f>IFERROR($D12*G12,"")</f>
        <v/>
      </c>
      <c r="L12" s="35">
        <f>IFERROR($D12*H12,"")</f>
        <v/>
      </c>
      <c r="M12" s="31" t="n">
        <v>0.01</v>
      </c>
      <c r="N12" s="50">
        <f>IFERROR(I12*(1+'Market Model'!$C$57+M12)^$B$3+J12*(1+'Market Model'!$C$58)^$B$3+K12*(1+'Market Model'!$C$59)^$B$3+L12*(1+$F$3)^$B$3,"")</f>
        <v/>
      </c>
      <c r="O12" s="36">
        <f>IFERROR((N12/D12)^(1/$B$3)-1,"")</f>
        <v/>
      </c>
      <c r="P12" s="35">
        <f>Comps!H12</f>
        <v/>
      </c>
      <c r="Q12" s="51">
        <f>IFERROR(IF(N12&gt;0,P12/N12,"NM"),"NM")</f>
        <v/>
      </c>
    </row>
    <row r="13">
      <c r="A13" s="7" t="inlineStr">
        <is>
          <t>002281.SZ</t>
        </is>
      </c>
      <c r="B13" s="33" t="inlineStr">
        <is>
          <t>Accelink Technologies</t>
        </is>
      </c>
      <c r="C13" s="33" t="inlineStr">
        <is>
          <t>Transceivers</t>
        </is>
      </c>
      <c r="D13" s="35">
        <f>Comps!I13</f>
        <v/>
      </c>
      <c r="E13" s="22" t="n">
        <v>0.45</v>
      </c>
      <c r="F13" s="22" t="n">
        <v>0</v>
      </c>
      <c r="G13" s="22" t="n">
        <v>0.45</v>
      </c>
      <c r="H13" s="24">
        <f>1-E13-F13-G13</f>
        <v/>
      </c>
      <c r="I13" s="35">
        <f>IFERROR($D13*E13,"")</f>
        <v/>
      </c>
      <c r="J13" s="35">
        <f>IFERROR($D13*F13,"")</f>
        <v/>
      </c>
      <c r="K13" s="35">
        <f>IFERROR($D13*G13,"")</f>
        <v/>
      </c>
      <c r="L13" s="35">
        <f>IFERROR($D13*H13,"")</f>
        <v/>
      </c>
      <c r="M13" s="31" t="n">
        <v>-0.01</v>
      </c>
      <c r="N13" s="50">
        <f>IFERROR(I13*(1+'Market Model'!$C$57+M13)^$B$3+J13*(1+'Market Model'!$C$58)^$B$3+K13*(1+'Market Model'!$C$59)^$B$3+L13*(1+$F$3)^$B$3,"")</f>
        <v/>
      </c>
      <c r="O13" s="36">
        <f>IFERROR((N13/D13)^(1/$B$3)-1,"")</f>
        <v/>
      </c>
      <c r="P13" s="35">
        <f>Comps!H13</f>
        <v/>
      </c>
      <c r="Q13" s="51">
        <f>IFERROR(IF(N13&gt;0,P13/N13,"NM"),"NM")</f>
        <v/>
      </c>
    </row>
    <row r="14">
      <c r="A14" s="7" t="inlineStr">
        <is>
          <t>MRVL</t>
        </is>
      </c>
      <c r="B14" s="33" t="inlineStr">
        <is>
          <t>Marvell Technology</t>
        </is>
      </c>
      <c r="C14" s="33" t="inlineStr">
        <is>
          <t>Optical Semis</t>
        </is>
      </c>
      <c r="D14" s="35">
        <f>Comps!I16</f>
        <v/>
      </c>
      <c r="E14" s="22" t="n">
        <v>0.2</v>
      </c>
      <c r="F14" s="22" t="n">
        <v>0</v>
      </c>
      <c r="G14" s="22" t="n">
        <v>0.05</v>
      </c>
      <c r="H14" s="24">
        <f>1-E14-F14-G14</f>
        <v/>
      </c>
      <c r="I14" s="35">
        <f>IFERROR($D14*E14,"")</f>
        <v/>
      </c>
      <c r="J14" s="35">
        <f>IFERROR($D14*F14,"")</f>
        <v/>
      </c>
      <c r="K14" s="35">
        <f>IFERROR($D14*G14,"")</f>
        <v/>
      </c>
      <c r="L14" s="35">
        <f>IFERROR($D14*H14,"")</f>
        <v/>
      </c>
      <c r="M14" s="31" t="n">
        <v>0</v>
      </c>
      <c r="N14" s="50">
        <f>IFERROR(I14*(1+'Market Model'!$C$57+M14)^$B$3+J14*(1+'Market Model'!$C$58)^$B$3+K14*(1+'Market Model'!$C$59)^$B$3+L14*(1+$F$3)^$B$3,"")</f>
        <v/>
      </c>
      <c r="O14" s="36">
        <f>IFERROR((N14/D14)^(1/$B$3)-1,"")</f>
        <v/>
      </c>
      <c r="P14" s="35">
        <f>Comps!H16</f>
        <v/>
      </c>
      <c r="Q14" s="51">
        <f>IFERROR(IF(N14&gt;0,P14/N14,"NM"),"NM")</f>
        <v/>
      </c>
    </row>
    <row r="15">
      <c r="A15" s="7" t="inlineStr">
        <is>
          <t>AVGO</t>
        </is>
      </c>
      <c r="B15" s="33" t="inlineStr">
        <is>
          <t>Broadcom</t>
        </is>
      </c>
      <c r="C15" s="33" t="inlineStr">
        <is>
          <t>Optical Semis</t>
        </is>
      </c>
      <c r="D15" s="35">
        <f>Comps!I17</f>
        <v/>
      </c>
      <c r="E15" s="22" t="n">
        <v>0.05</v>
      </c>
      <c r="F15" s="22" t="n">
        <v>0</v>
      </c>
      <c r="G15" s="22" t="n">
        <v>0.01</v>
      </c>
      <c r="H15" s="24">
        <f>1-E15-F15-G15</f>
        <v/>
      </c>
      <c r="I15" s="35">
        <f>IFERROR($D15*E15,"")</f>
        <v/>
      </c>
      <c r="J15" s="35">
        <f>IFERROR($D15*F15,"")</f>
        <v/>
      </c>
      <c r="K15" s="35">
        <f>IFERROR($D15*G15,"")</f>
        <v/>
      </c>
      <c r="L15" s="35">
        <f>IFERROR($D15*H15,"")</f>
        <v/>
      </c>
      <c r="M15" s="31" t="n">
        <v>0</v>
      </c>
      <c r="N15" s="50">
        <f>IFERROR(I15*(1+'Market Model'!$C$57+M15)^$B$3+J15*(1+'Market Model'!$C$58)^$B$3+K15*(1+'Market Model'!$C$59)^$B$3+L15*(1+$F$3)^$B$3,"")</f>
        <v/>
      </c>
      <c r="O15" s="36">
        <f>IFERROR((N15/D15)^(1/$B$3)-1,"")</f>
        <v/>
      </c>
      <c r="P15" s="35">
        <f>Comps!H17</f>
        <v/>
      </c>
      <c r="Q15" s="51">
        <f>IFERROR(IF(N15&gt;0,P15/N15,"NM"),"NM")</f>
        <v/>
      </c>
    </row>
    <row r="16">
      <c r="A16" s="7" t="inlineStr">
        <is>
          <t>CRDO</t>
        </is>
      </c>
      <c r="B16" s="33" t="inlineStr">
        <is>
          <t>Credo Technology</t>
        </is>
      </c>
      <c r="C16" s="33" t="inlineStr">
        <is>
          <t>Optical Semis</t>
        </is>
      </c>
      <c r="D16" s="35">
        <f>Comps!I18</f>
        <v/>
      </c>
      <c r="E16" s="22" t="n">
        <v>0.25</v>
      </c>
      <c r="F16" s="22" t="n">
        <v>0</v>
      </c>
      <c r="G16" s="22" t="n">
        <v>0</v>
      </c>
      <c r="H16" s="24">
        <f>1-E16-F16-G16</f>
        <v/>
      </c>
      <c r="I16" s="35">
        <f>IFERROR($D16*E16,"")</f>
        <v/>
      </c>
      <c r="J16" s="35">
        <f>IFERROR($D16*F16,"")</f>
        <v/>
      </c>
      <c r="K16" s="35">
        <f>IFERROR($D16*G16,"")</f>
        <v/>
      </c>
      <c r="L16" s="35">
        <f>IFERROR($D16*H16,"")</f>
        <v/>
      </c>
      <c r="M16" s="31" t="n">
        <v>0.02</v>
      </c>
      <c r="N16" s="50">
        <f>IFERROR(I16*(1+'Market Model'!$C$57+M16)^$B$3+J16*(1+'Market Model'!$C$58)^$B$3+K16*(1+'Market Model'!$C$59)^$B$3+L16*(1+$F$3)^$B$3,"")</f>
        <v/>
      </c>
      <c r="O16" s="36">
        <f>IFERROR((N16/D16)^(1/$B$3)-1,"")</f>
        <v/>
      </c>
      <c r="P16" s="35">
        <f>Comps!H18</f>
        <v/>
      </c>
      <c r="Q16" s="51">
        <f>IFERROR(IF(N16&gt;0,P16/N16,"NM"),"NM")</f>
        <v/>
      </c>
    </row>
    <row r="17">
      <c r="A17" s="7" t="inlineStr">
        <is>
          <t>MTSI</t>
        </is>
      </c>
      <c r="B17" s="33" t="inlineStr">
        <is>
          <t>MACOM Technology</t>
        </is>
      </c>
      <c r="C17" s="33" t="inlineStr">
        <is>
          <t>Optical Semis</t>
        </is>
      </c>
      <c r="D17" s="35">
        <f>Comps!I19</f>
        <v/>
      </c>
      <c r="E17" s="22" t="n">
        <v>0.35</v>
      </c>
      <c r="F17" s="22" t="n">
        <v>0.05</v>
      </c>
      <c r="G17" s="22" t="n">
        <v>0.1</v>
      </c>
      <c r="H17" s="24">
        <f>1-E17-F17-G17</f>
        <v/>
      </c>
      <c r="I17" s="35">
        <f>IFERROR($D17*E17,"")</f>
        <v/>
      </c>
      <c r="J17" s="35">
        <f>IFERROR($D17*F17,"")</f>
        <v/>
      </c>
      <c r="K17" s="35">
        <f>IFERROR($D17*G17,"")</f>
        <v/>
      </c>
      <c r="L17" s="35">
        <f>IFERROR($D17*H17,"")</f>
        <v/>
      </c>
      <c r="M17" s="31" t="n">
        <v>0.005</v>
      </c>
      <c r="N17" s="50">
        <f>IFERROR(I17*(1+'Market Model'!$C$57+M17)^$B$3+J17*(1+'Market Model'!$C$58)^$B$3+K17*(1+'Market Model'!$C$59)^$B$3+L17*(1+$F$3)^$B$3,"")</f>
        <v/>
      </c>
      <c r="O17" s="36">
        <f>IFERROR((N17/D17)^(1/$B$3)-1,"")</f>
        <v/>
      </c>
      <c r="P17" s="35">
        <f>Comps!H19</f>
        <v/>
      </c>
      <c r="Q17" s="51">
        <f>IFERROR(IF(N17&gt;0,P17/N17,"NM"),"NM")</f>
        <v/>
      </c>
    </row>
    <row r="18">
      <c r="A18" s="7" t="inlineStr">
        <is>
          <t>SMTC</t>
        </is>
      </c>
      <c r="B18" s="33" t="inlineStr">
        <is>
          <t>Semtech</t>
        </is>
      </c>
      <c r="C18" s="33" t="inlineStr">
        <is>
          <t>Optical Semis</t>
        </is>
      </c>
      <c r="D18" s="35">
        <f>Comps!I20</f>
        <v/>
      </c>
      <c r="E18" s="22" t="n">
        <v>0.25</v>
      </c>
      <c r="F18" s="22" t="n">
        <v>0</v>
      </c>
      <c r="G18" s="22" t="n">
        <v>0.05</v>
      </c>
      <c r="H18" s="24">
        <f>1-E18-F18-G18</f>
        <v/>
      </c>
      <c r="I18" s="35">
        <f>IFERROR($D18*E18,"")</f>
        <v/>
      </c>
      <c r="J18" s="35">
        <f>IFERROR($D18*F18,"")</f>
        <v/>
      </c>
      <c r="K18" s="35">
        <f>IFERROR($D18*G18,"")</f>
        <v/>
      </c>
      <c r="L18" s="35">
        <f>IFERROR($D18*H18,"")</f>
        <v/>
      </c>
      <c r="M18" s="31" t="n">
        <v>0.005</v>
      </c>
      <c r="N18" s="50">
        <f>IFERROR(I18*(1+'Market Model'!$C$57+M18)^$B$3+J18*(1+'Market Model'!$C$58)^$B$3+K18*(1+'Market Model'!$C$59)^$B$3+L18*(1+$F$3)^$B$3,"")</f>
        <v/>
      </c>
      <c r="O18" s="36">
        <f>IFERROR((N18/D18)^(1/$B$3)-1,"")</f>
        <v/>
      </c>
      <c r="P18" s="35">
        <f>Comps!H20</f>
        <v/>
      </c>
      <c r="Q18" s="51">
        <f>IFERROR(IF(N18&gt;0,P18/N18,"NM"),"NM")</f>
        <v/>
      </c>
    </row>
    <row r="19">
      <c r="A19" s="7" t="inlineStr">
        <is>
          <t>ALAB</t>
        </is>
      </c>
      <c r="B19" s="33" t="inlineStr">
        <is>
          <t>Astera Labs</t>
        </is>
      </c>
      <c r="C19" s="33" t="inlineStr">
        <is>
          <t>Optical Semis</t>
        </is>
      </c>
      <c r="D19" s="35">
        <f>Comps!I21</f>
        <v/>
      </c>
      <c r="E19" s="22" t="n">
        <v>0.05</v>
      </c>
      <c r="F19" s="22" t="n">
        <v>0</v>
      </c>
      <c r="G19" s="22" t="n">
        <v>0</v>
      </c>
      <c r="H19" s="24">
        <f>1-E19-F19-G19</f>
        <v/>
      </c>
      <c r="I19" s="35">
        <f>IFERROR($D19*E19,"")</f>
        <v/>
      </c>
      <c r="J19" s="35">
        <f>IFERROR($D19*F19,"")</f>
        <v/>
      </c>
      <c r="K19" s="35">
        <f>IFERROR($D19*G19,"")</f>
        <v/>
      </c>
      <c r="L19" s="35">
        <f>IFERROR($D19*H19,"")</f>
        <v/>
      </c>
      <c r="M19" s="31" t="n">
        <v>0.03</v>
      </c>
      <c r="N19" s="50">
        <f>IFERROR(I19*(1+'Market Model'!$C$57+M19)^$B$3+J19*(1+'Market Model'!$C$58)^$B$3+K19*(1+'Market Model'!$C$59)^$B$3+L19*(1+$F$3)^$B$3,"")</f>
        <v/>
      </c>
      <c r="O19" s="36">
        <f>IFERROR((N19/D19)^(1/$B$3)-1,"")</f>
        <v/>
      </c>
      <c r="P19" s="35">
        <f>Comps!H21</f>
        <v/>
      </c>
      <c r="Q19" s="51">
        <f>IFERROR(IF(N19&gt;0,P19/N19,"NM"),"NM")</f>
        <v/>
      </c>
    </row>
    <row r="20">
      <c r="A20" s="7" t="inlineStr">
        <is>
          <t>POET</t>
        </is>
      </c>
      <c r="B20" s="33" t="inlineStr">
        <is>
          <t>POET Technologies</t>
        </is>
      </c>
      <c r="C20" s="33" t="inlineStr">
        <is>
          <t>Optical Semis</t>
        </is>
      </c>
      <c r="D20" s="35">
        <f>Comps!I22</f>
        <v/>
      </c>
      <c r="E20" s="22" t="n">
        <v>0.9</v>
      </c>
      <c r="F20" s="22" t="n">
        <v>0</v>
      </c>
      <c r="G20" s="22" t="n">
        <v>0.05</v>
      </c>
      <c r="H20" s="24">
        <f>1-E20-F20-G20</f>
        <v/>
      </c>
      <c r="I20" s="35">
        <f>IFERROR($D20*E20,"")</f>
        <v/>
      </c>
      <c r="J20" s="35">
        <f>IFERROR($D20*F20,"")</f>
        <v/>
      </c>
      <c r="K20" s="35">
        <f>IFERROR($D20*G20,"")</f>
        <v/>
      </c>
      <c r="L20" s="35">
        <f>IFERROR($D20*H20,"")</f>
        <v/>
      </c>
      <c r="M20" s="31" t="n">
        <v>0.05</v>
      </c>
      <c r="N20" s="50">
        <f>IFERROR(I20*(1+'Market Model'!$C$57+M20)^$B$3+J20*(1+'Market Model'!$C$58)^$B$3+K20*(1+'Market Model'!$C$59)^$B$3+L20*(1+$F$3)^$B$3,"")</f>
        <v/>
      </c>
      <c r="O20" s="36">
        <f>IFERROR((N20/D20)^(1/$B$3)-1,"")</f>
        <v/>
      </c>
      <c r="P20" s="35">
        <f>Comps!H22</f>
        <v/>
      </c>
      <c r="Q20" s="51">
        <f>IFERROR(IF(N20&gt;0,P20/N20,"NM"),"NM")</f>
        <v/>
      </c>
    </row>
    <row r="21">
      <c r="A21" s="7" t="inlineStr">
        <is>
          <t>ASML</t>
        </is>
      </c>
      <c r="B21" s="33" t="inlineStr">
        <is>
          <t>ASML Holding</t>
        </is>
      </c>
      <c r="C21" s="33" t="inlineStr">
        <is>
          <t>Litho Optics</t>
        </is>
      </c>
      <c r="D21" s="35">
        <f>Comps!I25</f>
        <v/>
      </c>
      <c r="E21" s="22" t="n">
        <v>0</v>
      </c>
      <c r="F21" s="22" t="n">
        <v>1</v>
      </c>
      <c r="G21" s="22" t="n">
        <v>0</v>
      </c>
      <c r="H21" s="24">
        <f>1-E21-F21-G21</f>
        <v/>
      </c>
      <c r="I21" s="35">
        <f>IFERROR($D21*E21,"")</f>
        <v/>
      </c>
      <c r="J21" s="35">
        <f>IFERROR($D21*F21,"")</f>
        <v/>
      </c>
      <c r="K21" s="35">
        <f>IFERROR($D21*G21,"")</f>
        <v/>
      </c>
      <c r="L21" s="35">
        <f>IFERROR($D21*H21,"")</f>
        <v/>
      </c>
      <c r="M21" s="31" t="n">
        <v>0</v>
      </c>
      <c r="N21" s="50">
        <f>IFERROR(I21*(1+'Market Model'!$C$57+M21)^$B$3+J21*(1+'Market Model'!$C$58)^$B$3+K21*(1+'Market Model'!$C$59)^$B$3+L21*(1+$F$3)^$B$3,"")</f>
        <v/>
      </c>
      <c r="O21" s="36">
        <f>IFERROR((N21/D21)^(1/$B$3)-1,"")</f>
        <v/>
      </c>
      <c r="P21" s="35">
        <f>Comps!H25</f>
        <v/>
      </c>
      <c r="Q21" s="51">
        <f>IFERROR(IF(N21&gt;0,P21/N21,"NM"),"NM")</f>
        <v/>
      </c>
    </row>
    <row r="22">
      <c r="A22" s="7" t="inlineStr">
        <is>
          <t>7731.T</t>
        </is>
      </c>
      <c r="B22" s="33" t="inlineStr">
        <is>
          <t>Nikon</t>
        </is>
      </c>
      <c r="C22" s="33" t="inlineStr">
        <is>
          <t>Litho Optics</t>
        </is>
      </c>
      <c r="D22" s="35">
        <f>Comps!I26</f>
        <v/>
      </c>
      <c r="E22" s="22" t="n">
        <v>0</v>
      </c>
      <c r="F22" s="22" t="n">
        <v>0.3</v>
      </c>
      <c r="G22" s="22" t="n">
        <v>0</v>
      </c>
      <c r="H22" s="24">
        <f>1-E22-F22-G22</f>
        <v/>
      </c>
      <c r="I22" s="35">
        <f>IFERROR($D22*E22,"")</f>
        <v/>
      </c>
      <c r="J22" s="35">
        <f>IFERROR($D22*F22,"")</f>
        <v/>
      </c>
      <c r="K22" s="35">
        <f>IFERROR($D22*G22,"")</f>
        <v/>
      </c>
      <c r="L22" s="35">
        <f>IFERROR($D22*H22,"")</f>
        <v/>
      </c>
      <c r="M22" s="31" t="n">
        <v>0</v>
      </c>
      <c r="N22" s="50">
        <f>IFERROR(I22*(1+'Market Model'!$C$57+M22)^$B$3+J22*(1+'Market Model'!$C$58)^$B$3+K22*(1+'Market Model'!$C$59)^$B$3+L22*(1+$F$3)^$B$3,"")</f>
        <v/>
      </c>
      <c r="O22" s="36">
        <f>IFERROR((N22/D22)^(1/$B$3)-1,"")</f>
        <v/>
      </c>
      <c r="P22" s="35">
        <f>Comps!H26</f>
        <v/>
      </c>
      <c r="Q22" s="51">
        <f>IFERROR(IF(N22&gt;0,P22/N22,"NM"),"NM")</f>
        <v/>
      </c>
    </row>
    <row r="23">
      <c r="A23" s="7" t="inlineStr">
        <is>
          <t>7751.T</t>
        </is>
      </c>
      <c r="B23" s="33" t="inlineStr">
        <is>
          <t>Canon</t>
        </is>
      </c>
      <c r="C23" s="33" t="inlineStr">
        <is>
          <t>Litho Optics</t>
        </is>
      </c>
      <c r="D23" s="35">
        <f>Comps!I27</f>
        <v/>
      </c>
      <c r="E23" s="22" t="n">
        <v>0</v>
      </c>
      <c r="F23" s="22" t="n">
        <v>0.15</v>
      </c>
      <c r="G23" s="22" t="n">
        <v>0</v>
      </c>
      <c r="H23" s="24">
        <f>1-E23-F23-G23</f>
        <v/>
      </c>
      <c r="I23" s="35">
        <f>IFERROR($D23*E23,"")</f>
        <v/>
      </c>
      <c r="J23" s="35">
        <f>IFERROR($D23*F23,"")</f>
        <v/>
      </c>
      <c r="K23" s="35">
        <f>IFERROR($D23*G23,"")</f>
        <v/>
      </c>
      <c r="L23" s="35">
        <f>IFERROR($D23*H23,"")</f>
        <v/>
      </c>
      <c r="M23" s="31" t="n">
        <v>0</v>
      </c>
      <c r="N23" s="50">
        <f>IFERROR(I23*(1+'Market Model'!$C$57+M23)^$B$3+J23*(1+'Market Model'!$C$58)^$B$3+K23*(1+'Market Model'!$C$59)^$B$3+L23*(1+$F$3)^$B$3,"")</f>
        <v/>
      </c>
      <c r="O23" s="36">
        <f>IFERROR((N23/D23)^(1/$B$3)-1,"")</f>
        <v/>
      </c>
      <c r="P23" s="35">
        <f>Comps!H27</f>
        <v/>
      </c>
      <c r="Q23" s="51">
        <f>IFERROR(IF(N23&gt;0,P23/N23,"NM"),"NM")</f>
        <v/>
      </c>
    </row>
    <row r="24">
      <c r="A24" s="7" t="inlineStr">
        <is>
          <t>6925.T</t>
        </is>
      </c>
      <c r="B24" s="33" t="inlineStr">
        <is>
          <t>Ushio</t>
        </is>
      </c>
      <c r="C24" s="33" t="inlineStr">
        <is>
          <t>Litho Optics</t>
        </is>
      </c>
      <c r="D24" s="35">
        <f>Comps!I28</f>
        <v/>
      </c>
      <c r="E24" s="22" t="n">
        <v>0</v>
      </c>
      <c r="F24" s="22" t="n">
        <v>0.4</v>
      </c>
      <c r="G24" s="22" t="n">
        <v>0</v>
      </c>
      <c r="H24" s="24">
        <f>1-E24-F24-G24</f>
        <v/>
      </c>
      <c r="I24" s="35">
        <f>IFERROR($D24*E24,"")</f>
        <v/>
      </c>
      <c r="J24" s="35">
        <f>IFERROR($D24*F24,"")</f>
        <v/>
      </c>
      <c r="K24" s="35">
        <f>IFERROR($D24*G24,"")</f>
        <v/>
      </c>
      <c r="L24" s="35">
        <f>IFERROR($D24*H24,"")</f>
        <v/>
      </c>
      <c r="M24" s="31" t="n">
        <v>0</v>
      </c>
      <c r="N24" s="50">
        <f>IFERROR(I24*(1+'Market Model'!$C$57+M24)^$B$3+J24*(1+'Market Model'!$C$58)^$B$3+K24*(1+'Market Model'!$C$59)^$B$3+L24*(1+$F$3)^$B$3,"")</f>
        <v/>
      </c>
      <c r="O24" s="36">
        <f>IFERROR((N24/D24)^(1/$B$3)-1,"")</f>
        <v/>
      </c>
      <c r="P24" s="35">
        <f>Comps!H28</f>
        <v/>
      </c>
      <c r="Q24" s="51">
        <f>IFERROR(IF(N24&gt;0,P24/N24,"NM"),"NM")</f>
        <v/>
      </c>
    </row>
    <row r="25">
      <c r="A25" s="7" t="inlineStr">
        <is>
          <t>7741.T</t>
        </is>
      </c>
      <c r="B25" s="33" t="inlineStr">
        <is>
          <t>Hoya</t>
        </is>
      </c>
      <c r="C25" s="33" t="inlineStr">
        <is>
          <t>Litho Optics</t>
        </is>
      </c>
      <c r="D25" s="35">
        <f>Comps!I29</f>
        <v/>
      </c>
      <c r="E25" s="22" t="n">
        <v>0</v>
      </c>
      <c r="F25" s="22" t="n">
        <v>0.3</v>
      </c>
      <c r="G25" s="22" t="n">
        <v>0</v>
      </c>
      <c r="H25" s="24">
        <f>1-E25-F25-G25</f>
        <v/>
      </c>
      <c r="I25" s="35">
        <f>IFERROR($D25*E25,"")</f>
        <v/>
      </c>
      <c r="J25" s="35">
        <f>IFERROR($D25*F25,"")</f>
        <v/>
      </c>
      <c r="K25" s="35">
        <f>IFERROR($D25*G25,"")</f>
        <v/>
      </c>
      <c r="L25" s="35">
        <f>IFERROR($D25*H25,"")</f>
        <v/>
      </c>
      <c r="M25" s="31" t="n">
        <v>0</v>
      </c>
      <c r="N25" s="50">
        <f>IFERROR(I25*(1+'Market Model'!$C$57+M25)^$B$3+J25*(1+'Market Model'!$C$58)^$B$3+K25*(1+'Market Model'!$C$59)^$B$3+L25*(1+$F$3)^$B$3,"")</f>
        <v/>
      </c>
      <c r="O25" s="36">
        <f>IFERROR((N25/D25)^(1/$B$3)-1,"")</f>
        <v/>
      </c>
      <c r="P25" s="35">
        <f>Comps!H29</f>
        <v/>
      </c>
      <c r="Q25" s="51">
        <f>IFERROR(IF(N25&gt;0,P25/N25,"NM"),"NM")</f>
        <v/>
      </c>
    </row>
    <row r="26">
      <c r="A26" s="7" t="inlineStr">
        <is>
          <t>KLAC</t>
        </is>
      </c>
      <c r="B26" s="33" t="inlineStr">
        <is>
          <t>KLA Corp.</t>
        </is>
      </c>
      <c r="C26" s="33" t="inlineStr">
        <is>
          <t>Inspection</t>
        </is>
      </c>
      <c r="D26" s="35">
        <f>Comps!I32</f>
        <v/>
      </c>
      <c r="E26" s="22" t="n">
        <v>0</v>
      </c>
      <c r="F26" s="22" t="n">
        <v>0.95</v>
      </c>
      <c r="G26" s="22" t="n">
        <v>0</v>
      </c>
      <c r="H26" s="24">
        <f>1-E26-F26-G26</f>
        <v/>
      </c>
      <c r="I26" s="35">
        <f>IFERROR($D26*E26,"")</f>
        <v/>
      </c>
      <c r="J26" s="35">
        <f>IFERROR($D26*F26,"")</f>
        <v/>
      </c>
      <c r="K26" s="35">
        <f>IFERROR($D26*G26,"")</f>
        <v/>
      </c>
      <c r="L26" s="35">
        <f>IFERROR($D26*H26,"")</f>
        <v/>
      </c>
      <c r="M26" s="31" t="n">
        <v>0</v>
      </c>
      <c r="N26" s="50">
        <f>IFERROR(I26*(1+'Market Model'!$C$57+M26)^$B$3+J26*(1+'Market Model'!$C$58)^$B$3+K26*(1+'Market Model'!$C$59)^$B$3+L26*(1+$F$3)^$B$3,"")</f>
        <v/>
      </c>
      <c r="O26" s="36">
        <f>IFERROR((N26/D26)^(1/$B$3)-1,"")</f>
        <v/>
      </c>
      <c r="P26" s="35">
        <f>Comps!H32</f>
        <v/>
      </c>
      <c r="Q26" s="51">
        <f>IFERROR(IF(N26&gt;0,P26/N26,"NM"),"NM")</f>
        <v/>
      </c>
    </row>
    <row r="27">
      <c r="A27" s="7" t="inlineStr">
        <is>
          <t>6920.T</t>
        </is>
      </c>
      <c r="B27" s="33" t="inlineStr">
        <is>
          <t>Lasertec</t>
        </is>
      </c>
      <c r="C27" s="33" t="inlineStr">
        <is>
          <t>Inspection</t>
        </is>
      </c>
      <c r="D27" s="35">
        <f>Comps!I33</f>
        <v/>
      </c>
      <c r="E27" s="22" t="n">
        <v>0</v>
      </c>
      <c r="F27" s="22" t="n">
        <v>1</v>
      </c>
      <c r="G27" s="22" t="n">
        <v>0</v>
      </c>
      <c r="H27" s="24">
        <f>1-E27-F27-G27</f>
        <v/>
      </c>
      <c r="I27" s="35">
        <f>IFERROR($D27*E27,"")</f>
        <v/>
      </c>
      <c r="J27" s="35">
        <f>IFERROR($D27*F27,"")</f>
        <v/>
      </c>
      <c r="K27" s="35">
        <f>IFERROR($D27*G27,"")</f>
        <v/>
      </c>
      <c r="L27" s="35">
        <f>IFERROR($D27*H27,"")</f>
        <v/>
      </c>
      <c r="M27" s="31" t="n">
        <v>0</v>
      </c>
      <c r="N27" s="50">
        <f>IFERROR(I27*(1+'Market Model'!$C$57+M27)^$B$3+J27*(1+'Market Model'!$C$58)^$B$3+K27*(1+'Market Model'!$C$59)^$B$3+L27*(1+$F$3)^$B$3,"")</f>
        <v/>
      </c>
      <c r="O27" s="36">
        <f>IFERROR((N27/D27)^(1/$B$3)-1,"")</f>
        <v/>
      </c>
      <c r="P27" s="35">
        <f>Comps!H33</f>
        <v/>
      </c>
      <c r="Q27" s="51">
        <f>IFERROR(IF(N27&gt;0,P27/N27,"NM"),"NM")</f>
        <v/>
      </c>
    </row>
    <row r="28">
      <c r="A28" s="7" t="inlineStr">
        <is>
          <t>ONTO</t>
        </is>
      </c>
      <c r="B28" s="33" t="inlineStr">
        <is>
          <t>Onto Innovation</t>
        </is>
      </c>
      <c r="C28" s="33" t="inlineStr">
        <is>
          <t>Inspection</t>
        </is>
      </c>
      <c r="D28" s="35">
        <f>Comps!I34</f>
        <v/>
      </c>
      <c r="E28" s="22" t="n">
        <v>0</v>
      </c>
      <c r="F28" s="22" t="n">
        <v>0.95</v>
      </c>
      <c r="G28" s="22" t="n">
        <v>0</v>
      </c>
      <c r="H28" s="24">
        <f>1-E28-F28-G28</f>
        <v/>
      </c>
      <c r="I28" s="35">
        <f>IFERROR($D28*E28,"")</f>
        <v/>
      </c>
      <c r="J28" s="35">
        <f>IFERROR($D28*F28,"")</f>
        <v/>
      </c>
      <c r="K28" s="35">
        <f>IFERROR($D28*G28,"")</f>
        <v/>
      </c>
      <c r="L28" s="35">
        <f>IFERROR($D28*H28,"")</f>
        <v/>
      </c>
      <c r="M28" s="31" t="n">
        <v>0.01</v>
      </c>
      <c r="N28" s="50">
        <f>IFERROR(I28*(1+'Market Model'!$C$57+M28)^$B$3+J28*(1+'Market Model'!$C$58)^$B$3+K28*(1+'Market Model'!$C$59)^$B$3+L28*(1+$F$3)^$B$3,"")</f>
        <v/>
      </c>
      <c r="O28" s="36">
        <f>IFERROR((N28/D28)^(1/$B$3)-1,"")</f>
        <v/>
      </c>
      <c r="P28" s="35">
        <f>Comps!H34</f>
        <v/>
      </c>
      <c r="Q28" s="51">
        <f>IFERROR(IF(N28&gt;0,P28/N28,"NM"),"NM")</f>
        <v/>
      </c>
    </row>
    <row r="29">
      <c r="A29" s="7" t="inlineStr">
        <is>
          <t>CAMT</t>
        </is>
      </c>
      <c r="B29" s="33" t="inlineStr">
        <is>
          <t>Camtek</t>
        </is>
      </c>
      <c r="C29" s="33" t="inlineStr">
        <is>
          <t>Inspection</t>
        </is>
      </c>
      <c r="D29" s="35">
        <f>Comps!I35</f>
        <v/>
      </c>
      <c r="E29" s="22" t="n">
        <v>0</v>
      </c>
      <c r="F29" s="22" t="n">
        <v>1</v>
      </c>
      <c r="G29" s="22" t="n">
        <v>0</v>
      </c>
      <c r="H29" s="24">
        <f>1-E29-F29-G29</f>
        <v/>
      </c>
      <c r="I29" s="35">
        <f>IFERROR($D29*E29,"")</f>
        <v/>
      </c>
      <c r="J29" s="35">
        <f>IFERROR($D29*F29,"")</f>
        <v/>
      </c>
      <c r="K29" s="35">
        <f>IFERROR($D29*G29,"")</f>
        <v/>
      </c>
      <c r="L29" s="35">
        <f>IFERROR($D29*H29,"")</f>
        <v/>
      </c>
      <c r="M29" s="31" t="n">
        <v>0.01</v>
      </c>
      <c r="N29" s="50">
        <f>IFERROR(I29*(1+'Market Model'!$C$57+M29)^$B$3+J29*(1+'Market Model'!$C$58)^$B$3+K29*(1+'Market Model'!$C$59)^$B$3+L29*(1+$F$3)^$B$3,"")</f>
        <v/>
      </c>
      <c r="O29" s="36">
        <f>IFERROR((N29/D29)^(1/$B$3)-1,"")</f>
        <v/>
      </c>
      <c r="P29" s="35">
        <f>Comps!H35</f>
        <v/>
      </c>
      <c r="Q29" s="51">
        <f>IFERROR(IF(N29&gt;0,P29/N29,"NM"),"NM")</f>
        <v/>
      </c>
    </row>
    <row r="30">
      <c r="A30" s="7" t="inlineStr">
        <is>
          <t>NVMI</t>
        </is>
      </c>
      <c r="B30" s="33" t="inlineStr">
        <is>
          <t>Nova Ltd.</t>
        </is>
      </c>
      <c r="C30" s="33" t="inlineStr">
        <is>
          <t>Inspection</t>
        </is>
      </c>
      <c r="D30" s="35">
        <f>Comps!I36</f>
        <v/>
      </c>
      <c r="E30" s="22" t="n">
        <v>0</v>
      </c>
      <c r="F30" s="22" t="n">
        <v>1</v>
      </c>
      <c r="G30" s="22" t="n">
        <v>0</v>
      </c>
      <c r="H30" s="24">
        <f>1-E30-F30-G30</f>
        <v/>
      </c>
      <c r="I30" s="35">
        <f>IFERROR($D30*E30,"")</f>
        <v/>
      </c>
      <c r="J30" s="35">
        <f>IFERROR($D30*F30,"")</f>
        <v/>
      </c>
      <c r="K30" s="35">
        <f>IFERROR($D30*G30,"")</f>
        <v/>
      </c>
      <c r="L30" s="35">
        <f>IFERROR($D30*H30,"")</f>
        <v/>
      </c>
      <c r="M30" s="31" t="n">
        <v>0</v>
      </c>
      <c r="N30" s="50">
        <f>IFERROR(I30*(1+'Market Model'!$C$57+M30)^$B$3+J30*(1+'Market Model'!$C$58)^$B$3+K30*(1+'Market Model'!$C$59)^$B$3+L30*(1+$F$3)^$B$3,"")</f>
        <v/>
      </c>
      <c r="O30" s="36">
        <f>IFERROR((N30/D30)^(1/$B$3)-1,"")</f>
        <v/>
      </c>
      <c r="P30" s="35">
        <f>Comps!H36</f>
        <v/>
      </c>
      <c r="Q30" s="51">
        <f>IFERROR(IF(N30&gt;0,P30/N30,"NM"),"NM")</f>
        <v/>
      </c>
    </row>
    <row r="31">
      <c r="A31" s="7" t="inlineStr">
        <is>
          <t>AXTI</t>
        </is>
      </c>
      <c r="B31" s="33" t="inlineStr">
        <is>
          <t>AXT Inc.</t>
        </is>
      </c>
      <c r="C31" s="33" t="inlineStr">
        <is>
          <t>Materials</t>
        </is>
      </c>
      <c r="D31" s="35">
        <f>Comps!I39</f>
        <v/>
      </c>
      <c r="E31" s="22" t="n">
        <v>0.45</v>
      </c>
      <c r="F31" s="22" t="n">
        <v>0.1</v>
      </c>
      <c r="G31" s="22" t="n">
        <v>0.15</v>
      </c>
      <c r="H31" s="24">
        <f>1-E31-F31-G31</f>
        <v/>
      </c>
      <c r="I31" s="35">
        <f>IFERROR($D31*E31,"")</f>
        <v/>
      </c>
      <c r="J31" s="35">
        <f>IFERROR($D31*F31,"")</f>
        <v/>
      </c>
      <c r="K31" s="35">
        <f>IFERROR($D31*G31,"")</f>
        <v/>
      </c>
      <c r="L31" s="35">
        <f>IFERROR($D31*H31,"")</f>
        <v/>
      </c>
      <c r="M31" s="31" t="n">
        <v>0.01</v>
      </c>
      <c r="N31" s="50">
        <f>IFERROR(I31*(1+'Market Model'!$C$57+M31)^$B$3+J31*(1+'Market Model'!$C$58)^$B$3+K31*(1+'Market Model'!$C$59)^$B$3+L31*(1+$F$3)^$B$3,"")</f>
        <v/>
      </c>
      <c r="O31" s="36">
        <f>IFERROR((N31/D31)^(1/$B$3)-1,"")</f>
        <v/>
      </c>
      <c r="P31" s="35">
        <f>Comps!H39</f>
        <v/>
      </c>
      <c r="Q31" s="51">
        <f>IFERROR(IF(N31&gt;0,P31/N31,"NM"),"NM")</f>
        <v/>
      </c>
    </row>
    <row r="32">
      <c r="A32" s="7" t="inlineStr">
        <is>
          <t>GLW</t>
        </is>
      </c>
      <c r="B32" s="33" t="inlineStr">
        <is>
          <t>Corning</t>
        </is>
      </c>
      <c r="C32" s="33" t="inlineStr">
        <is>
          <t>Materials</t>
        </is>
      </c>
      <c r="D32" s="35">
        <f>Comps!I40</f>
        <v/>
      </c>
      <c r="E32" s="22" t="n">
        <v>0.35</v>
      </c>
      <c r="F32" s="22" t="n">
        <v>0.05</v>
      </c>
      <c r="G32" s="22" t="n">
        <v>0.15</v>
      </c>
      <c r="H32" s="24">
        <f>1-E32-F32-G32</f>
        <v/>
      </c>
      <c r="I32" s="35">
        <f>IFERROR($D32*E32,"")</f>
        <v/>
      </c>
      <c r="J32" s="35">
        <f>IFERROR($D32*F32,"")</f>
        <v/>
      </c>
      <c r="K32" s="35">
        <f>IFERROR($D32*G32,"")</f>
        <v/>
      </c>
      <c r="L32" s="35">
        <f>IFERROR($D32*H32,"")</f>
        <v/>
      </c>
      <c r="M32" s="31" t="n">
        <v>0</v>
      </c>
      <c r="N32" s="50">
        <f>IFERROR(I32*(1+'Market Model'!$C$57+M32)^$B$3+J32*(1+'Market Model'!$C$58)^$B$3+K32*(1+'Market Model'!$C$59)^$B$3+L32*(1+$F$3)^$B$3,"")</f>
        <v/>
      </c>
      <c r="O32" s="36">
        <f>IFERROR((N32/D32)^(1/$B$3)-1,"")</f>
        <v/>
      </c>
      <c r="P32" s="35">
        <f>Comps!H40</f>
        <v/>
      </c>
      <c r="Q32" s="51">
        <f>IFERROR(IF(N32&gt;0,P32/N32,"NM"),"NM")</f>
        <v/>
      </c>
    </row>
    <row r="33">
      <c r="A33" s="7" t="inlineStr">
        <is>
          <t>IPGP</t>
        </is>
      </c>
      <c r="B33" s="33" t="inlineStr">
        <is>
          <t>IPG Photonics</t>
        </is>
      </c>
      <c r="C33" s="33" t="inlineStr">
        <is>
          <t>Materials</t>
        </is>
      </c>
      <c r="D33" s="35">
        <f>Comps!I41</f>
        <v/>
      </c>
      <c r="E33" s="22" t="n">
        <v>0.05</v>
      </c>
      <c r="F33" s="22" t="n">
        <v>0.1</v>
      </c>
      <c r="G33" s="22" t="n">
        <v>0.05</v>
      </c>
      <c r="H33" s="24">
        <f>1-E33-F33-G33</f>
        <v/>
      </c>
      <c r="I33" s="35">
        <f>IFERROR($D33*E33,"")</f>
        <v/>
      </c>
      <c r="J33" s="35">
        <f>IFERROR($D33*F33,"")</f>
        <v/>
      </c>
      <c r="K33" s="35">
        <f>IFERROR($D33*G33,"")</f>
        <v/>
      </c>
      <c r="L33" s="35">
        <f>IFERROR($D33*H33,"")</f>
        <v/>
      </c>
      <c r="M33" s="31" t="n">
        <v>0</v>
      </c>
      <c r="N33" s="50">
        <f>IFERROR(I33*(1+'Market Model'!$C$57+M33)^$B$3+J33*(1+'Market Model'!$C$58)^$B$3+K33*(1+'Market Model'!$C$59)^$B$3+L33*(1+$F$3)^$B$3,"")</f>
        <v/>
      </c>
      <c r="O33" s="36">
        <f>IFERROR((N33/D33)^(1/$B$3)-1,"")</f>
        <v/>
      </c>
      <c r="P33" s="35">
        <f>Comps!H41</f>
        <v/>
      </c>
      <c r="Q33" s="51">
        <f>IFERROR(IF(N33&gt;0,P33/N33,"NM"),"NM")</f>
        <v/>
      </c>
    </row>
    <row r="34">
      <c r="A34" s="7" t="inlineStr">
        <is>
          <t>CIEN</t>
        </is>
      </c>
      <c r="B34" s="33" t="inlineStr">
        <is>
          <t>Ciena</t>
        </is>
      </c>
      <c r="C34" s="33" t="inlineStr">
        <is>
          <t>Systems/EMS</t>
        </is>
      </c>
      <c r="D34" s="35">
        <f>Comps!I44</f>
        <v/>
      </c>
      <c r="E34" s="22" t="n">
        <v>0.4</v>
      </c>
      <c r="F34" s="22" t="n">
        <v>0</v>
      </c>
      <c r="G34" s="22" t="n">
        <v>0.55</v>
      </c>
      <c r="H34" s="24">
        <f>1-E34-F34-G34</f>
        <v/>
      </c>
      <c r="I34" s="35">
        <f>IFERROR($D34*E34,"")</f>
        <v/>
      </c>
      <c r="J34" s="35">
        <f>IFERROR($D34*F34,"")</f>
        <v/>
      </c>
      <c r="K34" s="35">
        <f>IFERROR($D34*G34,"")</f>
        <v/>
      </c>
      <c r="L34" s="35">
        <f>IFERROR($D34*H34,"")</f>
        <v/>
      </c>
      <c r="M34" s="31" t="n">
        <v>0</v>
      </c>
      <c r="N34" s="50">
        <f>IFERROR(I34*(1+'Market Model'!$C$57+M34)^$B$3+J34*(1+'Market Model'!$C$58)^$B$3+K34*(1+'Market Model'!$C$59)^$B$3+L34*(1+$F$3)^$B$3,"")</f>
        <v/>
      </c>
      <c r="O34" s="36">
        <f>IFERROR((N34/D34)^(1/$B$3)-1,"")</f>
        <v/>
      </c>
      <c r="P34" s="35">
        <f>Comps!H44</f>
        <v/>
      </c>
      <c r="Q34" s="51">
        <f>IFERROR(IF(N34&gt;0,P34/N34,"NM"),"NM")</f>
        <v/>
      </c>
    </row>
    <row r="35">
      <c r="A35" s="7" t="inlineStr">
        <is>
          <t>CLS</t>
        </is>
      </c>
      <c r="B35" s="33" t="inlineStr">
        <is>
          <t>Celestica</t>
        </is>
      </c>
      <c r="C35" s="33" t="inlineStr">
        <is>
          <t>Systems/EMS</t>
        </is>
      </c>
      <c r="D35" s="35">
        <f>Comps!I45</f>
        <v/>
      </c>
      <c r="E35" s="22" t="n">
        <v>0.6</v>
      </c>
      <c r="F35" s="22" t="n">
        <v>0</v>
      </c>
      <c r="G35" s="22" t="n">
        <v>0.05</v>
      </c>
      <c r="H35" s="24">
        <f>1-E35-F35-G35</f>
        <v/>
      </c>
      <c r="I35" s="35">
        <f>IFERROR($D35*E35,"")</f>
        <v/>
      </c>
      <c r="J35" s="35">
        <f>IFERROR($D35*F35,"")</f>
        <v/>
      </c>
      <c r="K35" s="35">
        <f>IFERROR($D35*G35,"")</f>
        <v/>
      </c>
      <c r="L35" s="35">
        <f>IFERROR($D35*H35,"")</f>
        <v/>
      </c>
      <c r="M35" s="31" t="n">
        <v>0</v>
      </c>
      <c r="N35" s="50">
        <f>IFERROR(I35*(1+'Market Model'!$C$57+M35)^$B$3+J35*(1+'Market Model'!$C$58)^$B$3+K35*(1+'Market Model'!$C$59)^$B$3+L35*(1+$F$3)^$B$3,"")</f>
        <v/>
      </c>
      <c r="O35" s="36">
        <f>IFERROR((N35/D35)^(1/$B$3)-1,"")</f>
        <v/>
      </c>
      <c r="P35" s="35">
        <f>Comps!H45</f>
        <v/>
      </c>
      <c r="Q35" s="51">
        <f>IFERROR(IF(N35&gt;0,P35/N35,"NM"),"NM")</f>
        <v/>
      </c>
    </row>
    <row r="36">
      <c r="A36" s="43" t="inlineStr"/>
      <c r="B36" s="44" t="inlineStr">
        <is>
          <t>Median</t>
        </is>
      </c>
      <c r="C36" s="43" t="inlineStr"/>
      <c r="D36" s="43" t="inlineStr"/>
      <c r="E36" s="43" t="inlineStr"/>
      <c r="F36" s="43" t="inlineStr"/>
      <c r="G36" s="43" t="inlineStr"/>
      <c r="H36" s="43" t="inlineStr"/>
      <c r="I36" s="43" t="inlineStr"/>
      <c r="J36" s="43" t="inlineStr"/>
      <c r="K36" s="43" t="inlineStr"/>
      <c r="L36" s="43" t="inlineStr"/>
      <c r="M36" s="43" t="inlineStr"/>
      <c r="N36" s="43" t="inlineStr"/>
      <c r="O36" s="45">
        <f>IFERROR(MEDIAN(O6:O35),"")</f>
        <v/>
      </c>
      <c r="P36" s="43" t="inlineStr"/>
      <c r="Q36" s="46">
        <f>IFERROR(MEDIAN(Q6:Q35),"")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M3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7" customWidth="1" min="13" max="13"/>
  </cols>
  <sheetData>
    <row r="1">
      <c r="A1" s="1" t="inlineStr">
        <is>
          <t>Thematic Scoring Matrix (0 = none, 5 = highest exposure/quality)</t>
        </is>
      </c>
    </row>
    <row r="2">
      <c r="A2" s="2" t="inlineStr">
        <is>
          <t>Scores and weights are inputs (blue). Composite = SUMPRODUCT(weights, scores).</t>
        </is>
      </c>
    </row>
    <row r="4">
      <c r="C4" s="52" t="inlineStr">
        <is>
          <t>Weight -&gt;</t>
        </is>
      </c>
      <c r="D4" s="49" t="n">
        <v>0.25</v>
      </c>
      <c r="E4" s="49" t="n">
        <v>0.15</v>
      </c>
      <c r="F4" s="49" t="n">
        <v>0.15</v>
      </c>
      <c r="G4" s="49" t="n">
        <v>0.15</v>
      </c>
      <c r="H4" s="49" t="n">
        <v>0.1</v>
      </c>
      <c r="I4" s="49" t="n">
        <v>0.05</v>
      </c>
      <c r="J4" s="49" t="n">
        <v>0.1</v>
      </c>
      <c r="K4" s="49" t="n">
        <v>0.05</v>
      </c>
      <c r="L4" s="53">
        <f>SUM(D4:K4)</f>
        <v/>
      </c>
      <c r="M4" s="2" t="inlineStr">
        <is>
          <t>(=100%)</t>
        </is>
      </c>
    </row>
    <row r="5">
      <c r="A5" s="6" t="inlineStr">
        <is>
          <t>Ticker</t>
        </is>
      </c>
      <c r="B5" s="6" t="inlineStr">
        <is>
          <t>Company</t>
        </is>
      </c>
      <c r="C5" s="6" t="inlineStr">
        <is>
          <t>Segment</t>
        </is>
      </c>
      <c r="D5" s="6" t="inlineStr">
        <is>
          <t>AI DC Optics Cycle</t>
        </is>
      </c>
      <c r="E5" s="6" t="inlineStr">
        <is>
          <t>1.6T/3.2T Leverage</t>
        </is>
      </c>
      <c r="F5" s="6" t="inlineStr">
        <is>
          <t>CPO / SiPh Position</t>
        </is>
      </c>
      <c r="G5" s="6" t="inlineStr">
        <is>
          <t>EUV / Adv Litho</t>
        </is>
      </c>
      <c r="H5" s="6" t="inlineStr">
        <is>
          <t>Inspection / Metrology</t>
        </is>
      </c>
      <c r="I5" s="6" t="inlineStr">
        <is>
          <t>Telecom / DCI Recovery</t>
        </is>
      </c>
      <c r="J5" s="6" t="inlineStr">
        <is>
          <t>B/S &amp; Profitability</t>
        </is>
      </c>
      <c r="K5" s="6" t="inlineStr">
        <is>
          <t>Risk Score (5 = low risk)</t>
        </is>
      </c>
      <c r="L5" s="6" t="inlineStr">
        <is>
          <t>Composite</t>
        </is>
      </c>
      <c r="M5" s="6" t="inlineStr">
        <is>
          <t>Rank</t>
        </is>
      </c>
    </row>
    <row r="6">
      <c r="A6" s="7" t="inlineStr">
        <is>
          <t>COHR</t>
        </is>
      </c>
      <c r="B6" s="33" t="inlineStr">
        <is>
          <t>Coherent Corp.</t>
        </is>
      </c>
      <c r="C6" s="33" t="inlineStr">
        <is>
          <t>Transceivers</t>
        </is>
      </c>
      <c r="D6" s="54" t="n">
        <v>5</v>
      </c>
      <c r="E6" s="54" t="n">
        <v>5</v>
      </c>
      <c r="F6" s="54" t="n">
        <v>4</v>
      </c>
      <c r="G6" s="54" t="n">
        <v>1</v>
      </c>
      <c r="H6" s="54" t="n">
        <v>1</v>
      </c>
      <c r="I6" s="54" t="n">
        <v>3</v>
      </c>
      <c r="J6" s="54" t="n">
        <v>3</v>
      </c>
      <c r="K6" s="54" t="n">
        <v>3</v>
      </c>
      <c r="L6" s="55">
        <f>SUMPRODUCT(D$4:K$4,D6:K6)</f>
        <v/>
      </c>
      <c r="M6" s="56">
        <f>RANK(L6,L$6:L$35)</f>
        <v/>
      </c>
    </row>
    <row r="7">
      <c r="A7" s="7" t="inlineStr">
        <is>
          <t>LITE</t>
        </is>
      </c>
      <c r="B7" s="33" t="inlineStr">
        <is>
          <t>Lumentum Holdings</t>
        </is>
      </c>
      <c r="C7" s="33" t="inlineStr">
        <is>
          <t>Transceivers</t>
        </is>
      </c>
      <c r="D7" s="54" t="n">
        <v>5</v>
      </c>
      <c r="E7" s="54" t="n">
        <v>5</v>
      </c>
      <c r="F7" s="54" t="n">
        <v>5</v>
      </c>
      <c r="G7" s="54" t="n">
        <v>1</v>
      </c>
      <c r="H7" s="54" t="n">
        <v>1</v>
      </c>
      <c r="I7" s="54" t="n">
        <v>4</v>
      </c>
      <c r="J7" s="54" t="n">
        <v>3</v>
      </c>
      <c r="K7" s="54" t="n">
        <v>3</v>
      </c>
      <c r="L7" s="55">
        <f>SUMPRODUCT(D$4:K$4,D7:K7)</f>
        <v/>
      </c>
      <c r="M7" s="56">
        <f>RANK(L7,L$6:L$35)</f>
        <v/>
      </c>
    </row>
    <row r="8">
      <c r="A8" s="7" t="inlineStr">
        <is>
          <t>AAOI</t>
        </is>
      </c>
      <c r="B8" s="33" t="inlineStr">
        <is>
          <t>Applied Optoelectronics</t>
        </is>
      </c>
      <c r="C8" s="33" t="inlineStr">
        <is>
          <t>Transceivers</t>
        </is>
      </c>
      <c r="D8" s="54" t="n">
        <v>4</v>
      </c>
      <c r="E8" s="54" t="n">
        <v>4</v>
      </c>
      <c r="F8" s="54" t="n">
        <v>2</v>
      </c>
      <c r="G8" s="54" t="n">
        <v>0</v>
      </c>
      <c r="H8" s="54" t="n">
        <v>0</v>
      </c>
      <c r="I8" s="54" t="n">
        <v>1</v>
      </c>
      <c r="J8" s="54" t="n">
        <v>1</v>
      </c>
      <c r="K8" s="54" t="n">
        <v>2</v>
      </c>
      <c r="L8" s="55">
        <f>SUMPRODUCT(D$4:K$4,D8:K8)</f>
        <v/>
      </c>
      <c r="M8" s="56">
        <f>RANK(L8,L$6:L$35)</f>
        <v/>
      </c>
    </row>
    <row r="9">
      <c r="A9" s="7" t="inlineStr">
        <is>
          <t>FN</t>
        </is>
      </c>
      <c r="B9" s="33" t="inlineStr">
        <is>
          <t>Fabrinet</t>
        </is>
      </c>
      <c r="C9" s="33" t="inlineStr">
        <is>
          <t>Transceivers</t>
        </is>
      </c>
      <c r="D9" s="54" t="n">
        <v>5</v>
      </c>
      <c r="E9" s="54" t="n">
        <v>5</v>
      </c>
      <c r="F9" s="54" t="n">
        <v>3</v>
      </c>
      <c r="G9" s="54" t="n">
        <v>0</v>
      </c>
      <c r="H9" s="54" t="n">
        <v>0</v>
      </c>
      <c r="I9" s="54" t="n">
        <v>3</v>
      </c>
      <c r="J9" s="54" t="n">
        <v>4</v>
      </c>
      <c r="K9" s="54" t="n">
        <v>2</v>
      </c>
      <c r="L9" s="55">
        <f>SUMPRODUCT(D$4:K$4,D9:K9)</f>
        <v/>
      </c>
      <c r="M9" s="56">
        <f>RANK(L9,L$6:L$35)</f>
        <v/>
      </c>
    </row>
    <row r="10">
      <c r="A10" s="7" t="inlineStr">
        <is>
          <t>300308.SZ</t>
        </is>
      </c>
      <c r="B10" s="33" t="inlineStr">
        <is>
          <t>Zhongji Innolight</t>
        </is>
      </c>
      <c r="C10" s="33" t="inlineStr">
        <is>
          <t>Transceivers</t>
        </is>
      </c>
      <c r="D10" s="54" t="n">
        <v>5</v>
      </c>
      <c r="E10" s="54" t="n">
        <v>5</v>
      </c>
      <c r="F10" s="54" t="n">
        <v>4</v>
      </c>
      <c r="G10" s="54" t="n">
        <v>0</v>
      </c>
      <c r="H10" s="54" t="n">
        <v>0</v>
      </c>
      <c r="I10" s="54" t="n">
        <v>2</v>
      </c>
      <c r="J10" s="54" t="n">
        <v>4</v>
      </c>
      <c r="K10" s="54" t="n">
        <v>2</v>
      </c>
      <c r="L10" s="55">
        <f>SUMPRODUCT(D$4:K$4,D10:K10)</f>
        <v/>
      </c>
      <c r="M10" s="56">
        <f>RANK(L10,L$6:L$35)</f>
        <v/>
      </c>
    </row>
    <row r="11">
      <c r="A11" s="7" t="inlineStr">
        <is>
          <t>300502.SZ</t>
        </is>
      </c>
      <c r="B11" s="33" t="inlineStr">
        <is>
          <t>Eoptolink</t>
        </is>
      </c>
      <c r="C11" s="33" t="inlineStr">
        <is>
          <t>Transceivers</t>
        </is>
      </c>
      <c r="D11" s="54" t="n">
        <v>5</v>
      </c>
      <c r="E11" s="54" t="n">
        <v>5</v>
      </c>
      <c r="F11" s="54" t="n">
        <v>4</v>
      </c>
      <c r="G11" s="54" t="n">
        <v>0</v>
      </c>
      <c r="H11" s="54" t="n">
        <v>0</v>
      </c>
      <c r="I11" s="54" t="n">
        <v>1</v>
      </c>
      <c r="J11" s="54" t="n">
        <v>4</v>
      </c>
      <c r="K11" s="54" t="n">
        <v>2</v>
      </c>
      <c r="L11" s="55">
        <f>SUMPRODUCT(D$4:K$4,D11:K11)</f>
        <v/>
      </c>
      <c r="M11" s="56">
        <f>RANK(L11,L$6:L$35)</f>
        <v/>
      </c>
    </row>
    <row r="12">
      <c r="A12" s="7" t="inlineStr">
        <is>
          <t>300394.SZ</t>
        </is>
      </c>
      <c r="B12" s="33" t="inlineStr">
        <is>
          <t>Suzhou TFC Optical</t>
        </is>
      </c>
      <c r="C12" s="33" t="inlineStr">
        <is>
          <t>Transceivers</t>
        </is>
      </c>
      <c r="D12" s="54" t="n">
        <v>4</v>
      </c>
      <c r="E12" s="54" t="n">
        <v>5</v>
      </c>
      <c r="F12" s="54" t="n">
        <v>5</v>
      </c>
      <c r="G12" s="54" t="n">
        <v>0</v>
      </c>
      <c r="H12" s="54" t="n">
        <v>0</v>
      </c>
      <c r="I12" s="54" t="n">
        <v>2</v>
      </c>
      <c r="J12" s="54" t="n">
        <v>4</v>
      </c>
      <c r="K12" s="54" t="n">
        <v>3</v>
      </c>
      <c r="L12" s="55">
        <f>SUMPRODUCT(D$4:K$4,D12:K12)</f>
        <v/>
      </c>
      <c r="M12" s="56">
        <f>RANK(L12,L$6:L$35)</f>
        <v/>
      </c>
    </row>
    <row r="13">
      <c r="A13" s="7" t="inlineStr">
        <is>
          <t>002281.SZ</t>
        </is>
      </c>
      <c r="B13" s="33" t="inlineStr">
        <is>
          <t>Accelink Technologies</t>
        </is>
      </c>
      <c r="C13" s="33" t="inlineStr">
        <is>
          <t>Transceivers</t>
        </is>
      </c>
      <c r="D13" s="54" t="n">
        <v>3</v>
      </c>
      <c r="E13" s="54" t="n">
        <v>3</v>
      </c>
      <c r="F13" s="54" t="n">
        <v>2</v>
      </c>
      <c r="G13" s="54" t="n">
        <v>0</v>
      </c>
      <c r="H13" s="54" t="n">
        <v>0</v>
      </c>
      <c r="I13" s="54" t="n">
        <v>4</v>
      </c>
      <c r="J13" s="54" t="n">
        <v>3</v>
      </c>
      <c r="K13" s="54" t="n">
        <v>3</v>
      </c>
      <c r="L13" s="55">
        <f>SUMPRODUCT(D$4:K$4,D13:K13)</f>
        <v/>
      </c>
      <c r="M13" s="56">
        <f>RANK(L13,L$6:L$35)</f>
        <v/>
      </c>
    </row>
    <row r="14">
      <c r="A14" s="7" t="inlineStr">
        <is>
          <t>MRVL</t>
        </is>
      </c>
      <c r="B14" s="33" t="inlineStr">
        <is>
          <t>Marvell Technology</t>
        </is>
      </c>
      <c r="C14" s="33" t="inlineStr">
        <is>
          <t>Optical Semis</t>
        </is>
      </c>
      <c r="D14" s="54" t="n">
        <v>5</v>
      </c>
      <c r="E14" s="54" t="n">
        <v>5</v>
      </c>
      <c r="F14" s="54" t="n">
        <v>4</v>
      </c>
      <c r="G14" s="54" t="n">
        <v>0</v>
      </c>
      <c r="H14" s="54" t="n">
        <v>0</v>
      </c>
      <c r="I14" s="54" t="n">
        <v>3</v>
      </c>
      <c r="J14" s="54" t="n">
        <v>4</v>
      </c>
      <c r="K14" s="54" t="n">
        <v>3</v>
      </c>
      <c r="L14" s="55">
        <f>SUMPRODUCT(D$4:K$4,D14:K14)</f>
        <v/>
      </c>
      <c r="M14" s="56">
        <f>RANK(L14,L$6:L$35)</f>
        <v/>
      </c>
    </row>
    <row r="15">
      <c r="A15" s="7" t="inlineStr">
        <is>
          <t>AVGO</t>
        </is>
      </c>
      <c r="B15" s="33" t="inlineStr">
        <is>
          <t>Broadcom</t>
        </is>
      </c>
      <c r="C15" s="33" t="inlineStr">
        <is>
          <t>Optical Semis</t>
        </is>
      </c>
      <c r="D15" s="54" t="n">
        <v>4</v>
      </c>
      <c r="E15" s="54" t="n">
        <v>4</v>
      </c>
      <c r="F15" s="54" t="n">
        <v>5</v>
      </c>
      <c r="G15" s="54" t="n">
        <v>0</v>
      </c>
      <c r="H15" s="54" t="n">
        <v>0</v>
      </c>
      <c r="I15" s="54" t="n">
        <v>2</v>
      </c>
      <c r="J15" s="54" t="n">
        <v>5</v>
      </c>
      <c r="K15" s="54" t="n">
        <v>4</v>
      </c>
      <c r="L15" s="55">
        <f>SUMPRODUCT(D$4:K$4,D15:K15)</f>
        <v/>
      </c>
      <c r="M15" s="56">
        <f>RANK(L15,L$6:L$35)</f>
        <v/>
      </c>
    </row>
    <row r="16">
      <c r="A16" s="7" t="inlineStr">
        <is>
          <t>CRDO</t>
        </is>
      </c>
      <c r="B16" s="33" t="inlineStr">
        <is>
          <t>Credo Technology</t>
        </is>
      </c>
      <c r="C16" s="33" t="inlineStr">
        <is>
          <t>Optical Semis</t>
        </is>
      </c>
      <c r="D16" s="54" t="n">
        <v>4</v>
      </c>
      <c r="E16" s="54" t="n">
        <v>4</v>
      </c>
      <c r="F16" s="54" t="n">
        <v>3</v>
      </c>
      <c r="G16" s="54" t="n">
        <v>0</v>
      </c>
      <c r="H16" s="54" t="n">
        <v>0</v>
      </c>
      <c r="I16" s="54" t="n">
        <v>1</v>
      </c>
      <c r="J16" s="54" t="n">
        <v>4</v>
      </c>
      <c r="K16" s="54" t="n">
        <v>2</v>
      </c>
      <c r="L16" s="55">
        <f>SUMPRODUCT(D$4:K$4,D16:K16)</f>
        <v/>
      </c>
      <c r="M16" s="56">
        <f>RANK(L16,L$6:L$35)</f>
        <v/>
      </c>
    </row>
    <row r="17">
      <c r="A17" s="7" t="inlineStr">
        <is>
          <t>MTSI</t>
        </is>
      </c>
      <c r="B17" s="33" t="inlineStr">
        <is>
          <t>MACOM Technology</t>
        </is>
      </c>
      <c r="C17" s="33" t="inlineStr">
        <is>
          <t>Optical Semis</t>
        </is>
      </c>
      <c r="D17" s="54" t="n">
        <v>4</v>
      </c>
      <c r="E17" s="54" t="n">
        <v>4</v>
      </c>
      <c r="F17" s="54" t="n">
        <v>4</v>
      </c>
      <c r="G17" s="54" t="n">
        <v>0</v>
      </c>
      <c r="H17" s="54" t="n">
        <v>0</v>
      </c>
      <c r="I17" s="54" t="n">
        <v>3</v>
      </c>
      <c r="J17" s="54" t="n">
        <v>4</v>
      </c>
      <c r="K17" s="54" t="n">
        <v>4</v>
      </c>
      <c r="L17" s="55">
        <f>SUMPRODUCT(D$4:K$4,D17:K17)</f>
        <v/>
      </c>
      <c r="M17" s="56">
        <f>RANK(L17,L$6:L$35)</f>
        <v/>
      </c>
    </row>
    <row r="18">
      <c r="A18" s="7" t="inlineStr">
        <is>
          <t>SMTC</t>
        </is>
      </c>
      <c r="B18" s="33" t="inlineStr">
        <is>
          <t>Semtech</t>
        </is>
      </c>
      <c r="C18" s="33" t="inlineStr">
        <is>
          <t>Optical Semis</t>
        </is>
      </c>
      <c r="D18" s="54" t="n">
        <v>4</v>
      </c>
      <c r="E18" s="54" t="n">
        <v>4</v>
      </c>
      <c r="F18" s="54" t="n">
        <v>3</v>
      </c>
      <c r="G18" s="54" t="n">
        <v>0</v>
      </c>
      <c r="H18" s="54" t="n">
        <v>0</v>
      </c>
      <c r="I18" s="54" t="n">
        <v>2</v>
      </c>
      <c r="J18" s="54" t="n">
        <v>2</v>
      </c>
      <c r="K18" s="54" t="n">
        <v>3</v>
      </c>
      <c r="L18" s="55">
        <f>SUMPRODUCT(D$4:K$4,D18:K18)</f>
        <v/>
      </c>
      <c r="M18" s="56">
        <f>RANK(L18,L$6:L$35)</f>
        <v/>
      </c>
    </row>
    <row r="19">
      <c r="A19" s="7" t="inlineStr">
        <is>
          <t>ALAB</t>
        </is>
      </c>
      <c r="B19" s="33" t="inlineStr">
        <is>
          <t>Astera Labs</t>
        </is>
      </c>
      <c r="C19" s="33" t="inlineStr">
        <is>
          <t>Optical Semis</t>
        </is>
      </c>
      <c r="D19" s="54" t="n">
        <v>3</v>
      </c>
      <c r="E19" s="54" t="n">
        <v>3</v>
      </c>
      <c r="F19" s="54" t="n">
        <v>3</v>
      </c>
      <c r="G19" s="54" t="n">
        <v>0</v>
      </c>
      <c r="H19" s="54" t="n">
        <v>0</v>
      </c>
      <c r="I19" s="54" t="n">
        <v>0</v>
      </c>
      <c r="J19" s="54" t="n">
        <v>5</v>
      </c>
      <c r="K19" s="54" t="n">
        <v>3</v>
      </c>
      <c r="L19" s="55">
        <f>SUMPRODUCT(D$4:K$4,D19:K19)</f>
        <v/>
      </c>
      <c r="M19" s="56">
        <f>RANK(L19,L$6:L$35)</f>
        <v/>
      </c>
    </row>
    <row r="20">
      <c r="A20" s="7" t="inlineStr">
        <is>
          <t>POET</t>
        </is>
      </c>
      <c r="B20" s="33" t="inlineStr">
        <is>
          <t>POET Technologies</t>
        </is>
      </c>
      <c r="C20" s="33" t="inlineStr">
        <is>
          <t>Optical Semis</t>
        </is>
      </c>
      <c r="D20" s="54" t="n">
        <v>3</v>
      </c>
      <c r="E20" s="54" t="n">
        <v>4</v>
      </c>
      <c r="F20" s="54" t="n">
        <v>5</v>
      </c>
      <c r="G20" s="54" t="n">
        <v>0</v>
      </c>
      <c r="H20" s="54" t="n">
        <v>0</v>
      </c>
      <c r="I20" s="54" t="n">
        <v>0</v>
      </c>
      <c r="J20" s="54" t="n">
        <v>1</v>
      </c>
      <c r="K20" s="54" t="n">
        <v>1</v>
      </c>
      <c r="L20" s="55">
        <f>SUMPRODUCT(D$4:K$4,D20:K20)</f>
        <v/>
      </c>
      <c r="M20" s="56">
        <f>RANK(L20,L$6:L$35)</f>
        <v/>
      </c>
    </row>
    <row r="21">
      <c r="A21" s="7" t="inlineStr">
        <is>
          <t>ASML</t>
        </is>
      </c>
      <c r="B21" s="33" t="inlineStr">
        <is>
          <t>ASML Holding</t>
        </is>
      </c>
      <c r="C21" s="33" t="inlineStr">
        <is>
          <t>Litho Optics</t>
        </is>
      </c>
      <c r="D21" s="54" t="n">
        <v>1</v>
      </c>
      <c r="E21" s="54" t="n">
        <v>0</v>
      </c>
      <c r="F21" s="54" t="n">
        <v>0</v>
      </c>
      <c r="G21" s="54" t="n">
        <v>5</v>
      </c>
      <c r="H21" s="54" t="n">
        <v>3</v>
      </c>
      <c r="I21" s="54" t="n">
        <v>0</v>
      </c>
      <c r="J21" s="54" t="n">
        <v>5</v>
      </c>
      <c r="K21" s="54" t="n">
        <v>4</v>
      </c>
      <c r="L21" s="55">
        <f>SUMPRODUCT(D$4:K$4,D21:K21)</f>
        <v/>
      </c>
      <c r="M21" s="56">
        <f>RANK(L21,L$6:L$35)</f>
        <v/>
      </c>
    </row>
    <row r="22">
      <c r="A22" s="7" t="inlineStr">
        <is>
          <t>7731.T</t>
        </is>
      </c>
      <c r="B22" s="33" t="inlineStr">
        <is>
          <t>Nikon</t>
        </is>
      </c>
      <c r="C22" s="33" t="inlineStr">
        <is>
          <t>Litho Optics</t>
        </is>
      </c>
      <c r="D22" s="54" t="n">
        <v>0</v>
      </c>
      <c r="E22" s="54" t="n">
        <v>0</v>
      </c>
      <c r="F22" s="54" t="n">
        <v>0</v>
      </c>
      <c r="G22" s="54" t="n">
        <v>3</v>
      </c>
      <c r="H22" s="54" t="n">
        <v>1</v>
      </c>
      <c r="I22" s="54" t="n">
        <v>0</v>
      </c>
      <c r="J22" s="54" t="n">
        <v>2</v>
      </c>
      <c r="K22" s="54" t="n">
        <v>3</v>
      </c>
      <c r="L22" s="55">
        <f>SUMPRODUCT(D$4:K$4,D22:K22)</f>
        <v/>
      </c>
      <c r="M22" s="56">
        <f>RANK(L22,L$6:L$35)</f>
        <v/>
      </c>
    </row>
    <row r="23">
      <c r="A23" s="7" t="inlineStr">
        <is>
          <t>7751.T</t>
        </is>
      </c>
      <c r="B23" s="33" t="inlineStr">
        <is>
          <t>Canon</t>
        </is>
      </c>
      <c r="C23" s="33" t="inlineStr">
        <is>
          <t>Litho Optics</t>
        </is>
      </c>
      <c r="D23" s="54" t="n">
        <v>0</v>
      </c>
      <c r="E23" s="54" t="n">
        <v>0</v>
      </c>
      <c r="F23" s="54" t="n">
        <v>0</v>
      </c>
      <c r="G23" s="54" t="n">
        <v>2</v>
      </c>
      <c r="H23" s="54" t="n">
        <v>1</v>
      </c>
      <c r="I23" s="54" t="n">
        <v>0</v>
      </c>
      <c r="J23" s="54" t="n">
        <v>3</v>
      </c>
      <c r="K23" s="54" t="n">
        <v>4</v>
      </c>
      <c r="L23" s="55">
        <f>SUMPRODUCT(D$4:K$4,D23:K23)</f>
        <v/>
      </c>
      <c r="M23" s="56">
        <f>RANK(L23,L$6:L$35)</f>
        <v/>
      </c>
    </row>
    <row r="24">
      <c r="A24" s="7" t="inlineStr">
        <is>
          <t>6925.T</t>
        </is>
      </c>
      <c r="B24" s="33" t="inlineStr">
        <is>
          <t>Ushio</t>
        </is>
      </c>
      <c r="C24" s="33" t="inlineStr">
        <is>
          <t>Litho Optics</t>
        </is>
      </c>
      <c r="D24" s="54" t="n">
        <v>0</v>
      </c>
      <c r="E24" s="54" t="n">
        <v>0</v>
      </c>
      <c r="F24" s="54" t="n">
        <v>0</v>
      </c>
      <c r="G24" s="54" t="n">
        <v>4</v>
      </c>
      <c r="H24" s="54" t="n">
        <v>3</v>
      </c>
      <c r="I24" s="54" t="n">
        <v>0</v>
      </c>
      <c r="J24" s="54" t="n">
        <v>3</v>
      </c>
      <c r="K24" s="54" t="n">
        <v>4</v>
      </c>
      <c r="L24" s="55">
        <f>SUMPRODUCT(D$4:K$4,D24:K24)</f>
        <v/>
      </c>
      <c r="M24" s="56">
        <f>RANK(L24,L$6:L$35)</f>
        <v/>
      </c>
    </row>
    <row r="25">
      <c r="A25" s="7" t="inlineStr">
        <is>
          <t>7741.T</t>
        </is>
      </c>
      <c r="B25" s="33" t="inlineStr">
        <is>
          <t>Hoya</t>
        </is>
      </c>
      <c r="C25" s="33" t="inlineStr">
        <is>
          <t>Litho Optics</t>
        </is>
      </c>
      <c r="D25" s="54" t="n">
        <v>0</v>
      </c>
      <c r="E25" s="54" t="n">
        <v>0</v>
      </c>
      <c r="F25" s="54" t="n">
        <v>0</v>
      </c>
      <c r="G25" s="54" t="n">
        <v>5</v>
      </c>
      <c r="H25" s="54" t="n">
        <v>2</v>
      </c>
      <c r="I25" s="54" t="n">
        <v>0</v>
      </c>
      <c r="J25" s="54" t="n">
        <v>5</v>
      </c>
      <c r="K25" s="54" t="n">
        <v>4</v>
      </c>
      <c r="L25" s="55">
        <f>SUMPRODUCT(D$4:K$4,D25:K25)</f>
        <v/>
      </c>
      <c r="M25" s="56">
        <f>RANK(L25,L$6:L$35)</f>
        <v/>
      </c>
    </row>
    <row r="26">
      <c r="A26" s="7" t="inlineStr">
        <is>
          <t>KLAC</t>
        </is>
      </c>
      <c r="B26" s="33" t="inlineStr">
        <is>
          <t>KLA Corp.</t>
        </is>
      </c>
      <c r="C26" s="33" t="inlineStr">
        <is>
          <t>Inspection</t>
        </is>
      </c>
      <c r="D26" s="54" t="n">
        <v>1</v>
      </c>
      <c r="E26" s="54" t="n">
        <v>0</v>
      </c>
      <c r="F26" s="54" t="n">
        <v>0</v>
      </c>
      <c r="G26" s="54" t="n">
        <v>4</v>
      </c>
      <c r="H26" s="54" t="n">
        <v>5</v>
      </c>
      <c r="I26" s="54" t="n">
        <v>0</v>
      </c>
      <c r="J26" s="54" t="n">
        <v>5</v>
      </c>
      <c r="K26" s="54" t="n">
        <v>4</v>
      </c>
      <c r="L26" s="55">
        <f>SUMPRODUCT(D$4:K$4,D26:K26)</f>
        <v/>
      </c>
      <c r="M26" s="56">
        <f>RANK(L26,L$6:L$35)</f>
        <v/>
      </c>
    </row>
    <row r="27">
      <c r="A27" s="7" t="inlineStr">
        <is>
          <t>6920.T</t>
        </is>
      </c>
      <c r="B27" s="33" t="inlineStr">
        <is>
          <t>Lasertec</t>
        </is>
      </c>
      <c r="C27" s="33" t="inlineStr">
        <is>
          <t>Inspection</t>
        </is>
      </c>
      <c r="D27" s="54" t="n">
        <v>0</v>
      </c>
      <c r="E27" s="54" t="n">
        <v>0</v>
      </c>
      <c r="F27" s="54" t="n">
        <v>0</v>
      </c>
      <c r="G27" s="54" t="n">
        <v>5</v>
      </c>
      <c r="H27" s="54" t="n">
        <v>5</v>
      </c>
      <c r="I27" s="54" t="n">
        <v>0</v>
      </c>
      <c r="J27" s="54" t="n">
        <v>4</v>
      </c>
      <c r="K27" s="54" t="n">
        <v>3</v>
      </c>
      <c r="L27" s="55">
        <f>SUMPRODUCT(D$4:K$4,D27:K27)</f>
        <v/>
      </c>
      <c r="M27" s="56">
        <f>RANK(L27,L$6:L$35)</f>
        <v/>
      </c>
    </row>
    <row r="28">
      <c r="A28" s="7" t="inlineStr">
        <is>
          <t>ONTO</t>
        </is>
      </c>
      <c r="B28" s="33" t="inlineStr">
        <is>
          <t>Onto Innovation</t>
        </is>
      </c>
      <c r="C28" s="33" t="inlineStr">
        <is>
          <t>Inspection</t>
        </is>
      </c>
      <c r="D28" s="54" t="n">
        <v>2</v>
      </c>
      <c r="E28" s="54" t="n">
        <v>0</v>
      </c>
      <c r="F28" s="54" t="n">
        <v>1</v>
      </c>
      <c r="G28" s="54" t="n">
        <v>3</v>
      </c>
      <c r="H28" s="54" t="n">
        <v>5</v>
      </c>
      <c r="I28" s="54" t="n">
        <v>0</v>
      </c>
      <c r="J28" s="54" t="n">
        <v>4</v>
      </c>
      <c r="K28" s="54" t="n">
        <v>3</v>
      </c>
      <c r="L28" s="55">
        <f>SUMPRODUCT(D$4:K$4,D28:K28)</f>
        <v/>
      </c>
      <c r="M28" s="56">
        <f>RANK(L28,L$6:L$35)</f>
        <v/>
      </c>
    </row>
    <row r="29">
      <c r="A29" s="7" t="inlineStr">
        <is>
          <t>CAMT</t>
        </is>
      </c>
      <c r="B29" s="33" t="inlineStr">
        <is>
          <t>Camtek</t>
        </is>
      </c>
      <c r="C29" s="33" t="inlineStr">
        <is>
          <t>Inspection</t>
        </is>
      </c>
      <c r="D29" s="54" t="n">
        <v>2</v>
      </c>
      <c r="E29" s="54" t="n">
        <v>0</v>
      </c>
      <c r="F29" s="54" t="n">
        <v>1</v>
      </c>
      <c r="G29" s="54" t="n">
        <v>2</v>
      </c>
      <c r="H29" s="54" t="n">
        <v>5</v>
      </c>
      <c r="I29" s="54" t="n">
        <v>0</v>
      </c>
      <c r="J29" s="54" t="n">
        <v>4</v>
      </c>
      <c r="K29" s="54" t="n">
        <v>3</v>
      </c>
      <c r="L29" s="55">
        <f>SUMPRODUCT(D$4:K$4,D29:K29)</f>
        <v/>
      </c>
      <c r="M29" s="56">
        <f>RANK(L29,L$6:L$35)</f>
        <v/>
      </c>
    </row>
    <row r="30">
      <c r="A30" s="7" t="inlineStr">
        <is>
          <t>NVMI</t>
        </is>
      </c>
      <c r="B30" s="33" t="inlineStr">
        <is>
          <t>Nova Ltd.</t>
        </is>
      </c>
      <c r="C30" s="33" t="inlineStr">
        <is>
          <t>Inspection</t>
        </is>
      </c>
      <c r="D30" s="54" t="n">
        <v>1</v>
      </c>
      <c r="E30" s="54" t="n">
        <v>0</v>
      </c>
      <c r="F30" s="54" t="n">
        <v>0</v>
      </c>
      <c r="G30" s="54" t="n">
        <v>4</v>
      </c>
      <c r="H30" s="54" t="n">
        <v>5</v>
      </c>
      <c r="I30" s="54" t="n">
        <v>0</v>
      </c>
      <c r="J30" s="54" t="n">
        <v>5</v>
      </c>
      <c r="K30" s="54" t="n">
        <v>4</v>
      </c>
      <c r="L30" s="55">
        <f>SUMPRODUCT(D$4:K$4,D30:K30)</f>
        <v/>
      </c>
      <c r="M30" s="56">
        <f>RANK(L30,L$6:L$35)</f>
        <v/>
      </c>
    </row>
    <row r="31">
      <c r="A31" s="7" t="inlineStr">
        <is>
          <t>AXTI</t>
        </is>
      </c>
      <c r="B31" s="33" t="inlineStr">
        <is>
          <t>AXT Inc.</t>
        </is>
      </c>
      <c r="C31" s="33" t="inlineStr">
        <is>
          <t>Materials</t>
        </is>
      </c>
      <c r="D31" s="54" t="n">
        <v>4</v>
      </c>
      <c r="E31" s="54" t="n">
        <v>4</v>
      </c>
      <c r="F31" s="54" t="n">
        <v>4</v>
      </c>
      <c r="G31" s="54" t="n">
        <v>0</v>
      </c>
      <c r="H31" s="54" t="n">
        <v>0</v>
      </c>
      <c r="I31" s="54" t="n">
        <v>2</v>
      </c>
      <c r="J31" s="54" t="n">
        <v>1</v>
      </c>
      <c r="K31" s="54" t="n">
        <v>1</v>
      </c>
      <c r="L31" s="55">
        <f>SUMPRODUCT(D$4:K$4,D31:K31)</f>
        <v/>
      </c>
      <c r="M31" s="56">
        <f>RANK(L31,L$6:L$35)</f>
        <v/>
      </c>
    </row>
    <row r="32">
      <c r="A32" s="7" t="inlineStr">
        <is>
          <t>GLW</t>
        </is>
      </c>
      <c r="B32" s="33" t="inlineStr">
        <is>
          <t>Corning</t>
        </is>
      </c>
      <c r="C32" s="33" t="inlineStr">
        <is>
          <t>Materials</t>
        </is>
      </c>
      <c r="D32" s="54" t="n">
        <v>4</v>
      </c>
      <c r="E32" s="54" t="n">
        <v>3</v>
      </c>
      <c r="F32" s="54" t="n">
        <v>3</v>
      </c>
      <c r="G32" s="54" t="n">
        <v>1</v>
      </c>
      <c r="H32" s="54" t="n">
        <v>0</v>
      </c>
      <c r="I32" s="54" t="n">
        <v>3</v>
      </c>
      <c r="J32" s="54" t="n">
        <v>4</v>
      </c>
      <c r="K32" s="54" t="n">
        <v>4</v>
      </c>
      <c r="L32" s="55">
        <f>SUMPRODUCT(D$4:K$4,D32:K32)</f>
        <v/>
      </c>
      <c r="M32" s="56">
        <f>RANK(L32,L$6:L$35)</f>
        <v/>
      </c>
    </row>
    <row r="33">
      <c r="A33" s="7" t="inlineStr">
        <is>
          <t>IPGP</t>
        </is>
      </c>
      <c r="B33" s="33" t="inlineStr">
        <is>
          <t>IPG Photonics</t>
        </is>
      </c>
      <c r="C33" s="33" t="inlineStr">
        <is>
          <t>Materials</t>
        </is>
      </c>
      <c r="D33" s="54" t="n">
        <v>1</v>
      </c>
      <c r="E33" s="54" t="n">
        <v>0</v>
      </c>
      <c r="F33" s="54" t="n">
        <v>0</v>
      </c>
      <c r="G33" s="54" t="n">
        <v>1</v>
      </c>
      <c r="H33" s="54" t="n">
        <v>1</v>
      </c>
      <c r="I33" s="54" t="n">
        <v>1</v>
      </c>
      <c r="J33" s="54" t="n">
        <v>4</v>
      </c>
      <c r="K33" s="54" t="n">
        <v>4</v>
      </c>
      <c r="L33" s="55">
        <f>SUMPRODUCT(D$4:K$4,D33:K33)</f>
        <v/>
      </c>
      <c r="M33" s="56">
        <f>RANK(L33,L$6:L$35)</f>
        <v/>
      </c>
    </row>
    <row r="34">
      <c r="A34" s="7" t="inlineStr">
        <is>
          <t>CIEN</t>
        </is>
      </c>
      <c r="B34" s="33" t="inlineStr">
        <is>
          <t>Ciena</t>
        </is>
      </c>
      <c r="C34" s="33" t="inlineStr">
        <is>
          <t>Systems/EMS</t>
        </is>
      </c>
      <c r="D34" s="54" t="n">
        <v>4</v>
      </c>
      <c r="E34" s="54" t="n">
        <v>3</v>
      </c>
      <c r="F34" s="54" t="n">
        <v>2</v>
      </c>
      <c r="G34" s="54" t="n">
        <v>0</v>
      </c>
      <c r="H34" s="54" t="n">
        <v>0</v>
      </c>
      <c r="I34" s="54" t="n">
        <v>5</v>
      </c>
      <c r="J34" s="54" t="n">
        <v>4</v>
      </c>
      <c r="K34" s="54" t="n">
        <v>4</v>
      </c>
      <c r="L34" s="55">
        <f>SUMPRODUCT(D$4:K$4,D34:K34)</f>
        <v/>
      </c>
      <c r="M34" s="56">
        <f>RANK(L34,L$6:L$35)</f>
        <v/>
      </c>
    </row>
    <row r="35">
      <c r="A35" s="7" t="inlineStr">
        <is>
          <t>CLS</t>
        </is>
      </c>
      <c r="B35" s="33" t="inlineStr">
        <is>
          <t>Celestica</t>
        </is>
      </c>
      <c r="C35" s="33" t="inlineStr">
        <is>
          <t>Systems/EMS</t>
        </is>
      </c>
      <c r="D35" s="54" t="n">
        <v>5</v>
      </c>
      <c r="E35" s="54" t="n">
        <v>4</v>
      </c>
      <c r="F35" s="54" t="n">
        <v>3</v>
      </c>
      <c r="G35" s="54" t="n">
        <v>0</v>
      </c>
      <c r="H35" s="54" t="n">
        <v>0</v>
      </c>
      <c r="I35" s="54" t="n">
        <v>1</v>
      </c>
      <c r="J35" s="54" t="n">
        <v>4</v>
      </c>
      <c r="K35" s="54" t="n">
        <v>3</v>
      </c>
      <c r="L35" s="55">
        <f>SUMPRODUCT(D$4:K$4,D35:K35)</f>
        <v/>
      </c>
      <c r="M35" s="56">
        <f>RANK(L35,L$6:L$35)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2028E Datacom Optical Transceiver Market Sensitivities ($B)</t>
        </is>
      </c>
    </row>
    <row r="2">
      <c r="A2" s="2" t="inlineStr">
        <is>
          <t>Grids recompute 2028E gross transceiver revenue from Market Model 2028E cells, flexing two drivers at a time and holding everything else at model values.</t>
        </is>
      </c>
    </row>
    <row r="4">
      <c r="A4" s="3" t="inlineStr">
        <is>
          <t>GRID 1: Optics attach ratio (rows)  x  1.6T ASP (columns)</t>
        </is>
      </c>
    </row>
    <row r="5">
      <c r="A5" s="6" t="inlineStr">
        <is>
          <t>2028E market $B</t>
        </is>
      </c>
      <c r="B5" s="57" t="n">
        <v>700</v>
      </c>
      <c r="C5" s="57" t="n">
        <v>800</v>
      </c>
      <c r="D5" s="57" t="n">
        <v>900</v>
      </c>
      <c r="E5" s="57" t="n">
        <v>1000</v>
      </c>
      <c r="F5" s="57" t="n">
        <v>1100</v>
      </c>
      <c r="G5" s="57" t="n">
        <v>1200</v>
      </c>
      <c r="H5" s="57" t="n">
        <v>1300</v>
      </c>
    </row>
    <row r="6">
      <c r="A6" s="58" t="n">
        <v>2.5</v>
      </c>
      <c r="B6" s="21">
        <f>('Market Model'!$H$6*$A6+'Market Model'!$H$10)*('Market Model'!$H$14*'Market Model'!$H$20+'Market Model'!$H$15*'Market Model'!$H$21+'Market Model'!$H$16*B$5)/1000</f>
        <v/>
      </c>
      <c r="C6" s="21">
        <f>('Market Model'!$H$6*$A6+'Market Model'!$H$10)*('Market Model'!$H$14*'Market Model'!$H$20+'Market Model'!$H$15*'Market Model'!$H$21+'Market Model'!$H$16*C$5)/1000</f>
        <v/>
      </c>
      <c r="D6" s="21">
        <f>('Market Model'!$H$6*$A6+'Market Model'!$H$10)*('Market Model'!$H$14*'Market Model'!$H$20+'Market Model'!$H$15*'Market Model'!$H$21+'Market Model'!$H$16*D$5)/1000</f>
        <v/>
      </c>
      <c r="E6" s="21">
        <f>('Market Model'!$H$6*$A6+'Market Model'!$H$10)*('Market Model'!$H$14*'Market Model'!$H$20+'Market Model'!$H$15*'Market Model'!$H$21+'Market Model'!$H$16*E$5)/1000</f>
        <v/>
      </c>
      <c r="F6" s="21">
        <f>('Market Model'!$H$6*$A6+'Market Model'!$H$10)*('Market Model'!$H$14*'Market Model'!$H$20+'Market Model'!$H$15*'Market Model'!$H$21+'Market Model'!$H$16*F$5)/1000</f>
        <v/>
      </c>
      <c r="G6" s="21">
        <f>('Market Model'!$H$6*$A6+'Market Model'!$H$10)*('Market Model'!$H$14*'Market Model'!$H$20+'Market Model'!$H$15*'Market Model'!$H$21+'Market Model'!$H$16*G$5)/1000</f>
        <v/>
      </c>
      <c r="H6" s="21">
        <f>('Market Model'!$H$6*$A6+'Market Model'!$H$10)*('Market Model'!$H$14*'Market Model'!$H$20+'Market Model'!$H$15*'Market Model'!$H$21+'Market Model'!$H$16*H$5)/1000</f>
        <v/>
      </c>
    </row>
    <row r="7">
      <c r="A7" s="58" t="n">
        <v>3</v>
      </c>
      <c r="B7" s="21">
        <f>('Market Model'!$H$6*$A7+'Market Model'!$H$10)*('Market Model'!$H$14*'Market Model'!$H$20+'Market Model'!$H$15*'Market Model'!$H$21+'Market Model'!$H$16*B$5)/1000</f>
        <v/>
      </c>
      <c r="C7" s="21">
        <f>('Market Model'!$H$6*$A7+'Market Model'!$H$10)*('Market Model'!$H$14*'Market Model'!$H$20+'Market Model'!$H$15*'Market Model'!$H$21+'Market Model'!$H$16*C$5)/1000</f>
        <v/>
      </c>
      <c r="D7" s="21">
        <f>('Market Model'!$H$6*$A7+'Market Model'!$H$10)*('Market Model'!$H$14*'Market Model'!$H$20+'Market Model'!$H$15*'Market Model'!$H$21+'Market Model'!$H$16*D$5)/1000</f>
        <v/>
      </c>
      <c r="E7" s="21">
        <f>('Market Model'!$H$6*$A7+'Market Model'!$H$10)*('Market Model'!$H$14*'Market Model'!$H$20+'Market Model'!$H$15*'Market Model'!$H$21+'Market Model'!$H$16*E$5)/1000</f>
        <v/>
      </c>
      <c r="F7" s="21">
        <f>('Market Model'!$H$6*$A7+'Market Model'!$H$10)*('Market Model'!$H$14*'Market Model'!$H$20+'Market Model'!$H$15*'Market Model'!$H$21+'Market Model'!$H$16*F$5)/1000</f>
        <v/>
      </c>
      <c r="G7" s="21">
        <f>('Market Model'!$H$6*$A7+'Market Model'!$H$10)*('Market Model'!$H$14*'Market Model'!$H$20+'Market Model'!$H$15*'Market Model'!$H$21+'Market Model'!$H$16*G$5)/1000</f>
        <v/>
      </c>
      <c r="H7" s="21">
        <f>('Market Model'!$H$6*$A7+'Market Model'!$H$10)*('Market Model'!$H$14*'Market Model'!$H$20+'Market Model'!$H$15*'Market Model'!$H$21+'Market Model'!$H$16*H$5)/1000</f>
        <v/>
      </c>
    </row>
    <row r="8">
      <c r="A8" s="58" t="n">
        <v>3.5</v>
      </c>
      <c r="B8" s="21">
        <f>('Market Model'!$H$6*$A8+'Market Model'!$H$10)*('Market Model'!$H$14*'Market Model'!$H$20+'Market Model'!$H$15*'Market Model'!$H$21+'Market Model'!$H$16*B$5)/1000</f>
        <v/>
      </c>
      <c r="C8" s="21">
        <f>('Market Model'!$H$6*$A8+'Market Model'!$H$10)*('Market Model'!$H$14*'Market Model'!$H$20+'Market Model'!$H$15*'Market Model'!$H$21+'Market Model'!$H$16*C$5)/1000</f>
        <v/>
      </c>
      <c r="D8" s="21">
        <f>('Market Model'!$H$6*$A8+'Market Model'!$H$10)*('Market Model'!$H$14*'Market Model'!$H$20+'Market Model'!$H$15*'Market Model'!$H$21+'Market Model'!$H$16*D$5)/1000</f>
        <v/>
      </c>
      <c r="E8" s="21">
        <f>('Market Model'!$H$6*$A8+'Market Model'!$H$10)*('Market Model'!$H$14*'Market Model'!$H$20+'Market Model'!$H$15*'Market Model'!$H$21+'Market Model'!$H$16*E$5)/1000</f>
        <v/>
      </c>
      <c r="F8" s="21">
        <f>('Market Model'!$H$6*$A8+'Market Model'!$H$10)*('Market Model'!$H$14*'Market Model'!$H$20+'Market Model'!$H$15*'Market Model'!$H$21+'Market Model'!$H$16*F$5)/1000</f>
        <v/>
      </c>
      <c r="G8" s="21">
        <f>('Market Model'!$H$6*$A8+'Market Model'!$H$10)*('Market Model'!$H$14*'Market Model'!$H$20+'Market Model'!$H$15*'Market Model'!$H$21+'Market Model'!$H$16*G$5)/1000</f>
        <v/>
      </c>
      <c r="H8" s="21">
        <f>('Market Model'!$H$6*$A8+'Market Model'!$H$10)*('Market Model'!$H$14*'Market Model'!$H$20+'Market Model'!$H$15*'Market Model'!$H$21+'Market Model'!$H$16*H$5)/1000</f>
        <v/>
      </c>
    </row>
    <row r="9">
      <c r="A9" s="58" t="n">
        <v>4</v>
      </c>
      <c r="B9" s="21">
        <f>('Market Model'!$H$6*$A9+'Market Model'!$H$10)*('Market Model'!$H$14*'Market Model'!$H$20+'Market Model'!$H$15*'Market Model'!$H$21+'Market Model'!$H$16*B$5)/1000</f>
        <v/>
      </c>
      <c r="C9" s="21">
        <f>('Market Model'!$H$6*$A9+'Market Model'!$H$10)*('Market Model'!$H$14*'Market Model'!$H$20+'Market Model'!$H$15*'Market Model'!$H$21+'Market Model'!$H$16*C$5)/1000</f>
        <v/>
      </c>
      <c r="D9" s="21">
        <f>('Market Model'!$H$6*$A9+'Market Model'!$H$10)*('Market Model'!$H$14*'Market Model'!$H$20+'Market Model'!$H$15*'Market Model'!$H$21+'Market Model'!$H$16*D$5)/1000</f>
        <v/>
      </c>
      <c r="E9" s="21">
        <f>('Market Model'!$H$6*$A9+'Market Model'!$H$10)*('Market Model'!$H$14*'Market Model'!$H$20+'Market Model'!$H$15*'Market Model'!$H$21+'Market Model'!$H$16*E$5)/1000</f>
        <v/>
      </c>
      <c r="F9" s="21">
        <f>('Market Model'!$H$6*$A9+'Market Model'!$H$10)*('Market Model'!$H$14*'Market Model'!$H$20+'Market Model'!$H$15*'Market Model'!$H$21+'Market Model'!$H$16*F$5)/1000</f>
        <v/>
      </c>
      <c r="G9" s="21">
        <f>('Market Model'!$H$6*$A9+'Market Model'!$H$10)*('Market Model'!$H$14*'Market Model'!$H$20+'Market Model'!$H$15*'Market Model'!$H$21+'Market Model'!$H$16*G$5)/1000</f>
        <v/>
      </c>
      <c r="H9" s="21">
        <f>('Market Model'!$H$6*$A9+'Market Model'!$H$10)*('Market Model'!$H$14*'Market Model'!$H$20+'Market Model'!$H$15*'Market Model'!$H$21+'Market Model'!$H$16*H$5)/1000</f>
        <v/>
      </c>
    </row>
    <row r="10">
      <c r="A10" s="58" t="n">
        <v>4.5</v>
      </c>
      <c r="B10" s="21">
        <f>('Market Model'!$H$6*$A10+'Market Model'!$H$10)*('Market Model'!$H$14*'Market Model'!$H$20+'Market Model'!$H$15*'Market Model'!$H$21+'Market Model'!$H$16*B$5)/1000</f>
        <v/>
      </c>
      <c r="C10" s="21">
        <f>('Market Model'!$H$6*$A10+'Market Model'!$H$10)*('Market Model'!$H$14*'Market Model'!$H$20+'Market Model'!$H$15*'Market Model'!$H$21+'Market Model'!$H$16*C$5)/1000</f>
        <v/>
      </c>
      <c r="D10" s="21">
        <f>('Market Model'!$H$6*$A10+'Market Model'!$H$10)*('Market Model'!$H$14*'Market Model'!$H$20+'Market Model'!$H$15*'Market Model'!$H$21+'Market Model'!$H$16*D$5)/1000</f>
        <v/>
      </c>
      <c r="E10" s="21">
        <f>('Market Model'!$H$6*$A10+'Market Model'!$H$10)*('Market Model'!$H$14*'Market Model'!$H$20+'Market Model'!$H$15*'Market Model'!$H$21+'Market Model'!$H$16*E$5)/1000</f>
        <v/>
      </c>
      <c r="F10" s="21">
        <f>('Market Model'!$H$6*$A10+'Market Model'!$H$10)*('Market Model'!$H$14*'Market Model'!$H$20+'Market Model'!$H$15*'Market Model'!$H$21+'Market Model'!$H$16*F$5)/1000</f>
        <v/>
      </c>
      <c r="G10" s="21">
        <f>('Market Model'!$H$6*$A10+'Market Model'!$H$10)*('Market Model'!$H$14*'Market Model'!$H$20+'Market Model'!$H$15*'Market Model'!$H$21+'Market Model'!$H$16*G$5)/1000</f>
        <v/>
      </c>
      <c r="H10" s="21">
        <f>('Market Model'!$H$6*$A10+'Market Model'!$H$10)*('Market Model'!$H$14*'Market Model'!$H$20+'Market Model'!$H$15*'Market Model'!$H$21+'Market Model'!$H$16*H$5)/1000</f>
        <v/>
      </c>
    </row>
    <row r="12">
      <c r="A12" s="2" t="inlineStr">
        <is>
          <t>Model case: attach and ASP per Market Model 2028E inputs; grid holds speed mix, other ASPs and non-AI ports constant.</t>
        </is>
      </c>
    </row>
    <row r="14">
      <c r="A14" s="3" t="inlineStr">
        <is>
          <t>GRID 2: AI accelerator shipments, M units (rows)  x  1.6T port mix (columns)</t>
        </is>
      </c>
    </row>
    <row r="15">
      <c r="A15" s="6" t="inlineStr">
        <is>
          <t>2028E market $B</t>
        </is>
      </c>
      <c r="B15" s="59" t="n">
        <v>0.3</v>
      </c>
      <c r="C15" s="59" t="n">
        <v>0.4</v>
      </c>
      <c r="D15" s="59" t="n">
        <v>0.52</v>
      </c>
      <c r="E15" s="59" t="n">
        <v>0.6</v>
      </c>
      <c r="F15" s="59" t="n">
        <v>0.7</v>
      </c>
    </row>
    <row r="16">
      <c r="A16" s="58" t="n">
        <v>12</v>
      </c>
      <c r="B16" s="21">
        <f>($A16*'Market Model'!$H$8+'Market Model'!$H$10)*('Market Model'!$H$14*'Market Model'!$H$20+(1-'Market Model'!$H$14-B$15)*'Market Model'!$H$21+B$15*'Market Model'!$H$22)/1000</f>
        <v/>
      </c>
      <c r="C16" s="21">
        <f>($A16*'Market Model'!$H$8+'Market Model'!$H$10)*('Market Model'!$H$14*'Market Model'!$H$20+(1-'Market Model'!$H$14-C$15)*'Market Model'!$H$21+C$15*'Market Model'!$H$22)/1000</f>
        <v/>
      </c>
      <c r="D16" s="21">
        <f>($A16*'Market Model'!$H$8+'Market Model'!$H$10)*('Market Model'!$H$14*'Market Model'!$H$20+(1-'Market Model'!$H$14-D$15)*'Market Model'!$H$21+D$15*'Market Model'!$H$22)/1000</f>
        <v/>
      </c>
      <c r="E16" s="21">
        <f>($A16*'Market Model'!$H$8+'Market Model'!$H$10)*('Market Model'!$H$14*'Market Model'!$H$20+(1-'Market Model'!$H$14-E$15)*'Market Model'!$H$21+E$15*'Market Model'!$H$22)/1000</f>
        <v/>
      </c>
      <c r="F16" s="21">
        <f>($A16*'Market Model'!$H$8+'Market Model'!$H$10)*('Market Model'!$H$14*'Market Model'!$H$20+(1-'Market Model'!$H$14-F$15)*'Market Model'!$H$21+F$15*'Market Model'!$H$22)/1000</f>
        <v/>
      </c>
    </row>
    <row r="17">
      <c r="A17" s="58" t="n">
        <v>15</v>
      </c>
      <c r="B17" s="21">
        <f>($A17*'Market Model'!$H$8+'Market Model'!$H$10)*('Market Model'!$H$14*'Market Model'!$H$20+(1-'Market Model'!$H$14-B$15)*'Market Model'!$H$21+B$15*'Market Model'!$H$22)/1000</f>
        <v/>
      </c>
      <c r="C17" s="21">
        <f>($A17*'Market Model'!$H$8+'Market Model'!$H$10)*('Market Model'!$H$14*'Market Model'!$H$20+(1-'Market Model'!$H$14-C$15)*'Market Model'!$H$21+C$15*'Market Model'!$H$22)/1000</f>
        <v/>
      </c>
      <c r="D17" s="21">
        <f>($A17*'Market Model'!$H$8+'Market Model'!$H$10)*('Market Model'!$H$14*'Market Model'!$H$20+(1-'Market Model'!$H$14-D$15)*'Market Model'!$H$21+D$15*'Market Model'!$H$22)/1000</f>
        <v/>
      </c>
      <c r="E17" s="21">
        <f>($A17*'Market Model'!$H$8+'Market Model'!$H$10)*('Market Model'!$H$14*'Market Model'!$H$20+(1-'Market Model'!$H$14-E$15)*'Market Model'!$H$21+E$15*'Market Model'!$H$22)/1000</f>
        <v/>
      </c>
      <c r="F17" s="21">
        <f>($A17*'Market Model'!$H$8+'Market Model'!$H$10)*('Market Model'!$H$14*'Market Model'!$H$20+(1-'Market Model'!$H$14-F$15)*'Market Model'!$H$21+F$15*'Market Model'!$H$22)/1000</f>
        <v/>
      </c>
    </row>
    <row r="18">
      <c r="A18" s="58" t="n">
        <v>18</v>
      </c>
      <c r="B18" s="21">
        <f>($A18*'Market Model'!$H$8+'Market Model'!$H$10)*('Market Model'!$H$14*'Market Model'!$H$20+(1-'Market Model'!$H$14-B$15)*'Market Model'!$H$21+B$15*'Market Model'!$H$22)/1000</f>
        <v/>
      </c>
      <c r="C18" s="21">
        <f>($A18*'Market Model'!$H$8+'Market Model'!$H$10)*('Market Model'!$H$14*'Market Model'!$H$20+(1-'Market Model'!$H$14-C$15)*'Market Model'!$H$21+C$15*'Market Model'!$H$22)/1000</f>
        <v/>
      </c>
      <c r="D18" s="21">
        <f>($A18*'Market Model'!$H$8+'Market Model'!$H$10)*('Market Model'!$H$14*'Market Model'!$H$20+(1-'Market Model'!$H$14-D$15)*'Market Model'!$H$21+D$15*'Market Model'!$H$22)/1000</f>
        <v/>
      </c>
      <c r="E18" s="21">
        <f>($A18*'Market Model'!$H$8+'Market Model'!$H$10)*('Market Model'!$H$14*'Market Model'!$H$20+(1-'Market Model'!$H$14-E$15)*'Market Model'!$H$21+E$15*'Market Model'!$H$22)/1000</f>
        <v/>
      </c>
      <c r="F18" s="21">
        <f>($A18*'Market Model'!$H$8+'Market Model'!$H$10)*('Market Model'!$H$14*'Market Model'!$H$20+(1-'Market Model'!$H$14-F$15)*'Market Model'!$H$21+F$15*'Market Model'!$H$22)/1000</f>
        <v/>
      </c>
    </row>
    <row r="19">
      <c r="A19" s="58" t="n">
        <v>21</v>
      </c>
      <c r="B19" s="21">
        <f>($A19*'Market Model'!$H$8+'Market Model'!$H$10)*('Market Model'!$H$14*'Market Model'!$H$20+(1-'Market Model'!$H$14-B$15)*'Market Model'!$H$21+B$15*'Market Model'!$H$22)/1000</f>
        <v/>
      </c>
      <c r="C19" s="21">
        <f>($A19*'Market Model'!$H$8+'Market Model'!$H$10)*('Market Model'!$H$14*'Market Model'!$H$20+(1-'Market Model'!$H$14-C$15)*'Market Model'!$H$21+C$15*'Market Model'!$H$22)/1000</f>
        <v/>
      </c>
      <c r="D19" s="21">
        <f>($A19*'Market Model'!$H$8+'Market Model'!$H$10)*('Market Model'!$H$14*'Market Model'!$H$20+(1-'Market Model'!$H$14-D$15)*'Market Model'!$H$21+D$15*'Market Model'!$H$22)/1000</f>
        <v/>
      </c>
      <c r="E19" s="21">
        <f>($A19*'Market Model'!$H$8+'Market Model'!$H$10)*('Market Model'!$H$14*'Market Model'!$H$20+(1-'Market Model'!$H$14-E$15)*'Market Model'!$H$21+E$15*'Market Model'!$H$22)/1000</f>
        <v/>
      </c>
      <c r="F19" s="21">
        <f>($A19*'Market Model'!$H$8+'Market Model'!$H$10)*('Market Model'!$H$14*'Market Model'!$H$20+(1-'Market Model'!$H$14-F$15)*'Market Model'!$H$21+F$15*'Market Model'!$H$22)/1000</f>
        <v/>
      </c>
    </row>
    <row r="20">
      <c r="A20" s="58" t="n">
        <v>24</v>
      </c>
      <c r="B20" s="21">
        <f>($A20*'Market Model'!$H$8+'Market Model'!$H$10)*('Market Model'!$H$14*'Market Model'!$H$20+(1-'Market Model'!$H$14-B$15)*'Market Model'!$H$21+B$15*'Market Model'!$H$22)/1000</f>
        <v/>
      </c>
      <c r="C20" s="21">
        <f>($A20*'Market Model'!$H$8+'Market Model'!$H$10)*('Market Model'!$H$14*'Market Model'!$H$20+(1-'Market Model'!$H$14-C$15)*'Market Model'!$H$21+C$15*'Market Model'!$H$22)/1000</f>
        <v/>
      </c>
      <c r="D20" s="21">
        <f>($A20*'Market Model'!$H$8+'Market Model'!$H$10)*('Market Model'!$H$14*'Market Model'!$H$20+(1-'Market Model'!$H$14-D$15)*'Market Model'!$H$21+D$15*'Market Model'!$H$22)/1000</f>
        <v/>
      </c>
      <c r="E20" s="21">
        <f>($A20*'Market Model'!$H$8+'Market Model'!$H$10)*('Market Model'!$H$14*'Market Model'!$H$20+(1-'Market Model'!$H$14-E$15)*'Market Model'!$H$21+E$15*'Market Model'!$H$22)/1000</f>
        <v/>
      </c>
      <c r="F20" s="21">
        <f>($A20*'Market Model'!$H$8+'Market Model'!$H$10)*('Market Model'!$H$14*'Market Model'!$H$20+(1-'Market Model'!$H$14-F$15)*'Market Model'!$H$21+F$15*'Market Model'!$H$22)/1000</f>
        <v/>
      </c>
    </row>
    <row r="22">
      <c r="A22" s="2" t="inlineStr">
        <is>
          <t>800G mix absorbs whatever 1.6T does not take (&lt;=400G mix held at model value).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2026-07-30T17:55:44Z</dcterms:created>
  <dcterms:modified xsi:type="dcterms:W3CDTF">2026-07-30T17:55:44Z</dcterms:modified>
</cp:coreProperties>
</file>