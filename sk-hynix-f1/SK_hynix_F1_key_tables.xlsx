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Income Statement" sheetId="2" state="visible" r:id="rId2"/>
    <sheet name="Balance Sheet" sheetId="3" state="visible" r:id="rId3"/>
    <sheet name="Cash Flow" sheetId="4" state="visible" r:id="rId4"/>
    <sheet name="Adj. EBITDA" sheetId="5" state="visible" r:id="rId5"/>
    <sheet name="Revenue by Product" sheetId="6" state="visible" r:id="rId6"/>
    <sheet name="Revenue by Region" sheetId="7" state="visible" r:id="rId7"/>
    <sheet name="Use of Proceeds" sheetId="8" state="visible" r:id="rId8"/>
    <sheet name="Dividends" sheetId="9" state="visible" r:id="rId9"/>
    <sheet name="Shareholders" sheetId="10" state="visible" r:id="rId10"/>
    <sheet name="KPIs &amp; Rati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 wrapText="1"/>
    </xf>
    <xf numFmtId="3" fontId="2" fillId="5" borderId="1" applyAlignment="1" pivotButton="0" quotePrefix="0" xfId="0">
      <alignment horizontal="right" vertical="center"/>
    </xf>
    <xf numFmtId="0" fontId="2" fillId="0" borderId="0" pivotButton="0" quotePrefix="0" xfId="0"/>
    <xf numFmtId="164" fontId="0" fillId="0" borderId="1" applyAlignment="1" pivotButton="0" quotePrefix="0" xfId="0">
      <alignment horizontal="right" vertical="center"/>
    </xf>
    <xf numFmtId="164" fontId="2" fillId="5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 wrapText="1"/>
    </xf>
    <xf numFmtId="165" fontId="2" fillId="5" borderId="1" applyAlignment="1" pivotButton="0" quotePrefix="0" xfId="0">
      <alignment horizontal="right" vertical="center"/>
    </xf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78" customWidth="1" min="2" max="2"/>
  </cols>
  <sheetData>
    <row r="1" ht="26" customHeight="1">
      <c r="A1" s="1" t="inlineStr">
        <is>
          <t>SK hynix Inc. — Form F-1 (Nasdaq ADS Listing): Key Tables</t>
        </is>
      </c>
    </row>
    <row r="2">
      <c r="A2" s="2" t="inlineStr">
        <is>
          <t>Issuer</t>
        </is>
      </c>
      <c r="B2" s="3" t="inlineStr">
        <is>
          <t>SK hynix Inc. (Republic of Korea)</t>
        </is>
      </c>
    </row>
    <row r="3">
      <c r="A3" s="2" t="inlineStr">
        <is>
          <t>Filing</t>
        </is>
      </c>
      <c r="B3" s="3" t="inlineStr">
        <is>
          <t>Form F-1 (foreign-issuer equivalent of an S-1), U.S. SEC</t>
        </is>
      </c>
    </row>
    <row r="4">
      <c r="A4" s="2" t="inlineStr">
        <is>
          <t>Filing date</t>
        </is>
      </c>
      <c r="B4" s="3" t="inlineStr">
        <is>
          <t>June 24, 2026</t>
        </is>
      </c>
    </row>
    <row r="5">
      <c r="A5" s="2" t="inlineStr">
        <is>
          <t>Security offered</t>
        </is>
      </c>
      <c r="B5" s="3" t="inlineStr">
        <is>
          <t>American Depositary Shares (ADSs); 10 ADSs = 1 common share</t>
        </is>
      </c>
    </row>
    <row r="6">
      <c r="A6" s="2" t="inlineStr">
        <is>
          <t>Proposed Nasdaq ticker</t>
        </is>
      </c>
      <c r="B6" s="3" t="inlineStr">
        <is>
          <t>SKHY (Nasdaq Global Select Market)</t>
        </is>
      </c>
    </row>
    <row r="7">
      <c r="A7" s="2" t="inlineStr">
        <is>
          <t>Existing listings</t>
        </is>
      </c>
      <c r="B7" s="3" t="inlineStr">
        <is>
          <t>KOSPI: 000660; Luxembourg GDR: HYNSE</t>
        </is>
      </c>
    </row>
    <row r="8">
      <c r="A8" s="2" t="inlineStr">
        <is>
          <t>Max new shares</t>
        </is>
      </c>
      <c r="B8" s="3" t="inlineStr">
        <is>
          <t>17,790,000 (~2.50% of 712,702,365 shares outstanding)</t>
        </is>
      </c>
    </row>
    <row r="9">
      <c r="A9" s="2" t="inlineStr">
        <is>
          <t>Underwriters</t>
        </is>
      </c>
      <c r="B9" s="3" t="inlineStr">
        <is>
          <t>BofA Securities, Citigroup, Goldman Sachs (Asia), J.P. Morgan</t>
        </is>
      </c>
    </row>
    <row r="10">
      <c r="A10" s="2" t="inlineStr">
        <is>
          <t>Depositary</t>
        </is>
      </c>
      <c r="B10" s="3" t="inlineStr">
        <is>
          <t>Citibank, N.A.</t>
        </is>
      </c>
    </row>
    <row r="11">
      <c r="A11" s="2" t="inlineStr">
        <is>
          <t>Lock-up</t>
        </is>
      </c>
      <c r="B11" s="3" t="inlineStr">
        <is>
          <t>90 days</t>
        </is>
      </c>
    </row>
    <row r="12">
      <c r="A12" s="2" t="inlineStr">
        <is>
          <t>Reported target raise</t>
        </is>
      </c>
      <c r="B12" s="3" t="inlineStr">
        <is>
          <t>Up to ~W45.45 trillion (~US$29.4bn); ADR ~255,500 won; Nasdaq debut targeted Jul 10, 2026 (subject to bookbuilding)</t>
        </is>
      </c>
    </row>
    <row r="13">
      <c r="A13" s="2" t="inlineStr">
        <is>
          <t>Use of proceeds</t>
        </is>
      </c>
      <c r="B13" s="3" t="inlineStr">
        <is>
          <t>Korea facility capex (Yongin Fab 1; Cheongju P&amp;T7) + EUV scanners (~W11.9tn)</t>
        </is>
      </c>
    </row>
    <row r="14">
      <c r="A14" s="2" t="inlineStr">
        <is>
          <t>Controlling shareholder</t>
        </is>
      </c>
      <c r="B14" s="3" t="inlineStr">
        <is>
          <t>SK square (20.50%); part of SK Group</t>
        </is>
      </c>
    </row>
    <row r="15">
      <c r="A15" s="2" t="inlineStr">
        <is>
          <t>Accounting / currency</t>
        </is>
      </c>
      <c r="B15" s="3" t="inlineStr">
        <is>
          <t>IFRS, consolidated; W in billions; USD rate W1,523.5 = US$1.00 (Mar 31, 2026)</t>
        </is>
      </c>
    </row>
    <row r="16">
      <c r="A16" s="2" t="inlineStr">
        <is>
          <t>Market position (Q1 2026, IDC)</t>
        </is>
      </c>
      <c r="B16" s="3" t="inlineStr">
        <is>
          <t>DRAM incl. HBM #2 (29.1%); HBM #1 (56.4%); NAND #2 (18.5%)</t>
        </is>
      </c>
    </row>
    <row r="17">
      <c r="A17" s="2" t="inlineStr">
        <is>
          <t>Employees</t>
        </is>
      </c>
      <c r="B17" s="3" t="inlineStr">
        <is>
          <t>47,639 consolidated (35,321 Korea; 11,333 China; 591 U.S.)</t>
        </is>
      </c>
    </row>
    <row r="19">
      <c r="A19" s="4" t="inlineStr">
        <is>
          <t>Tabs: Income Statement | Balance Sheet | Cash Flow | Adj. EBITDA | Revenue by Product | Revenue by Region | Use of Proceeds | Dividends | Shareholders | KPIs &amp; Ratios</t>
        </is>
      </c>
    </row>
    <row r="20">
      <c r="A20" s="4" t="inlineStr">
        <is>
          <t>Source: SK hynix Inc. Form F-1, filed June 24, 2026, plus FY2025 results &amp; June 24, 2026 Korean filing press reporting.</t>
        </is>
      </c>
    </row>
  </sheetData>
  <mergeCells count="3">
    <mergeCell ref="A20:B20"/>
    <mergeCell ref="A19:B1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6" customHeight="1">
      <c r="A1" s="1" t="inlineStr">
        <is>
          <t>Consolidated Statements of Comprehensive Income (Loss)</t>
        </is>
      </c>
    </row>
    <row r="2">
      <c r="A2" s="4" t="inlineStr">
        <is>
          <t>In billions of Won (IFRS, consolidated). Operating profit derived = Gross profit - SG&amp;A - R&amp;D.</t>
        </is>
      </c>
    </row>
    <row r="3">
      <c r="A3" s="5" t="inlineStr">
        <is>
          <t>W (billions)</t>
        </is>
      </c>
      <c r="B3" s="5" t="inlineStr">
        <is>
          <t>Q1 2026</t>
        </is>
      </c>
      <c r="C3" s="5" t="inlineStr">
        <is>
          <t>Q1 2025</t>
        </is>
      </c>
      <c r="D3" s="5" t="inlineStr">
        <is>
          <t>FY 2025</t>
        </is>
      </c>
      <c r="E3" s="5" t="inlineStr">
        <is>
          <t>FY 2024</t>
        </is>
      </c>
      <c r="F3" s="5" t="inlineStr">
        <is>
          <t>FY 2023</t>
        </is>
      </c>
    </row>
    <row r="4">
      <c r="A4" s="6" t="inlineStr">
        <is>
          <t>Revenue</t>
        </is>
      </c>
      <c r="B4" s="7" t="n">
        <v>52576</v>
      </c>
      <c r="C4" s="7" t="n">
        <v>17639</v>
      </c>
      <c r="D4" s="7" t="n">
        <v>97147</v>
      </c>
      <c r="E4" s="7" t="n">
        <v>66193</v>
      </c>
      <c r="F4" s="7" t="n">
        <v>32766</v>
      </c>
    </row>
    <row r="5">
      <c r="A5" s="6" t="inlineStr">
        <is>
          <t>Cost of sales</t>
        </is>
      </c>
      <c r="B5" s="7" t="n">
        <v>10897</v>
      </c>
      <c r="C5" s="7" t="n">
        <v>7537</v>
      </c>
      <c r="D5" s="7" t="n">
        <v>38456</v>
      </c>
      <c r="E5" s="7" t="n">
        <v>34365</v>
      </c>
      <c r="F5" s="7" t="n">
        <v>33299</v>
      </c>
    </row>
    <row r="6">
      <c r="A6" s="6" t="inlineStr">
        <is>
          <t>Gross profit (loss)</t>
        </is>
      </c>
      <c r="B6" s="7" t="n">
        <v>41679</v>
      </c>
      <c r="C6" s="7" t="n">
        <v>10102</v>
      </c>
      <c r="D6" s="7" t="n">
        <v>58691</v>
      </c>
      <c r="E6" s="7" t="n">
        <v>31828</v>
      </c>
      <c r="F6" s="7" t="n">
        <v>-533</v>
      </c>
    </row>
    <row r="7">
      <c r="A7" s="6" t="inlineStr">
        <is>
          <t>Selling &amp; administrative expenses</t>
        </is>
      </c>
      <c r="B7" s="7" t="n">
        <v>1618</v>
      </c>
      <c r="C7" s="7" t="n">
        <v>1190</v>
      </c>
      <c r="D7" s="7" t="n">
        <v>5019</v>
      </c>
      <c r="E7" s="7" t="n">
        <v>3924</v>
      </c>
      <c r="F7" s="7" t="n">
        <v>3446</v>
      </c>
    </row>
    <row r="8">
      <c r="A8" s="6" t="inlineStr">
        <is>
          <t>Research &amp; development expenses</t>
        </is>
      </c>
      <c r="B8" s="7" t="n">
        <v>2451</v>
      </c>
      <c r="C8" s="7" t="n">
        <v>1472</v>
      </c>
      <c r="D8" s="7" t="n">
        <v>6466</v>
      </c>
      <c r="E8" s="7" t="n">
        <v>4436</v>
      </c>
      <c r="F8" s="7" t="n">
        <v>3751</v>
      </c>
    </row>
    <row r="9">
      <c r="A9" s="8" t="inlineStr">
        <is>
          <t>Operating profit (loss) *</t>
        </is>
      </c>
      <c r="B9" s="9">
        <f>B6-B7-B8</f>
        <v/>
      </c>
      <c r="C9" s="9">
        <f>C6-C7-C8</f>
        <v/>
      </c>
      <c r="D9" s="9">
        <f>D6-D7-D8</f>
        <v/>
      </c>
      <c r="E9" s="9">
        <f>E6-E7-E8</f>
        <v/>
      </c>
      <c r="F9" s="9">
        <f>F6-F7-F8</f>
        <v/>
      </c>
    </row>
    <row r="10">
      <c r="A10" s="6" t="inlineStr">
        <is>
          <t>Finance income</t>
        </is>
      </c>
      <c r="B10" s="7" t="n">
        <v>17056</v>
      </c>
      <c r="C10" s="7" t="n">
        <v>2687</v>
      </c>
      <c r="D10" s="7" t="n">
        <v>16373</v>
      </c>
      <c r="E10" s="7" t="n">
        <v>4855</v>
      </c>
      <c r="F10" s="7" t="n">
        <v>2262</v>
      </c>
    </row>
    <row r="11">
      <c r="A11" s="6" t="inlineStr">
        <is>
          <t>Finance expenses</t>
        </is>
      </c>
      <c r="B11" s="7" t="n">
        <v>3023</v>
      </c>
      <c r="C11" s="7" t="n">
        <v>765</v>
      </c>
      <c r="D11" s="7" t="n">
        <v>12505</v>
      </c>
      <c r="E11" s="7" t="n">
        <v>5708</v>
      </c>
      <c r="F11" s="7" t="n">
        <v>6093</v>
      </c>
    </row>
    <row r="12">
      <c r="A12" s="6" t="inlineStr">
        <is>
          <t>Share of profit (loss) of equity-accounted investees</t>
        </is>
      </c>
      <c r="B12" s="7" t="n">
        <v>-27</v>
      </c>
      <c r="C12" s="7" t="n">
        <v>-41</v>
      </c>
      <c r="D12" s="7" t="n">
        <v>-565</v>
      </c>
      <c r="E12" s="7" t="n">
        <v>-38</v>
      </c>
      <c r="F12" s="7" t="n">
        <v>15</v>
      </c>
    </row>
    <row r="13">
      <c r="A13" s="6" t="inlineStr">
        <is>
          <t>Other income</t>
        </is>
      </c>
      <c r="B13" s="7" t="n">
        <v>15</v>
      </c>
      <c r="C13" s="7" t="n">
        <v>79</v>
      </c>
      <c r="D13" s="7" t="n">
        <v>333</v>
      </c>
      <c r="E13" s="7" t="n">
        <v>1477</v>
      </c>
      <c r="F13" s="7" t="n">
        <v>624</v>
      </c>
    </row>
    <row r="14">
      <c r="A14" s="6" t="inlineStr">
        <is>
          <t>Other expenses</t>
        </is>
      </c>
      <c r="B14" s="7" t="n">
        <v>15</v>
      </c>
      <c r="C14" s="7" t="n">
        <v>102</v>
      </c>
      <c r="D14" s="7" t="n">
        <v>378</v>
      </c>
      <c r="E14" s="7" t="n">
        <v>167</v>
      </c>
      <c r="F14" s="7" t="n">
        <v>735</v>
      </c>
    </row>
    <row r="15">
      <c r="A15" s="8" t="inlineStr">
        <is>
          <t>Profit (loss) before income tax</t>
        </is>
      </c>
      <c r="B15" s="9" t="n">
        <v>51617</v>
      </c>
      <c r="C15" s="9" t="n">
        <v>9299</v>
      </c>
      <c r="D15" s="9" t="n">
        <v>50466</v>
      </c>
      <c r="E15" s="9" t="n">
        <v>23885</v>
      </c>
      <c r="F15" s="9" t="n">
        <v>-11658</v>
      </c>
    </row>
    <row r="16">
      <c r="A16" s="6" t="inlineStr">
        <is>
          <t>Income tax expense (benefit)</t>
        </is>
      </c>
      <c r="B16" s="7" t="n">
        <v>11271</v>
      </c>
      <c r="C16" s="7" t="n">
        <v>1191</v>
      </c>
      <c r="D16" s="7" t="n">
        <v>7518</v>
      </c>
      <c r="E16" s="7" t="n">
        <v>4088</v>
      </c>
      <c r="F16" s="7" t="n">
        <v>-2520</v>
      </c>
    </row>
    <row r="17">
      <c r="A17" s="8" t="inlineStr">
        <is>
          <t>Profit (loss) for the period</t>
        </is>
      </c>
      <c r="B17" s="9" t="n">
        <v>40346</v>
      </c>
      <c r="C17" s="9" t="n">
        <v>8108</v>
      </c>
      <c r="D17" s="9" t="n">
        <v>42948</v>
      </c>
      <c r="E17" s="9" t="n">
        <v>19797</v>
      </c>
      <c r="F17" s="9" t="n">
        <v>-9138</v>
      </c>
    </row>
    <row r="19">
      <c r="A19" s="10" t="inlineStr">
        <is>
          <t>Margins</t>
        </is>
      </c>
    </row>
    <row r="20">
      <c r="A20" s="6" t="inlineStr">
        <is>
          <t>Gross margin</t>
        </is>
      </c>
      <c r="B20" s="11">
        <f>B6/B4</f>
        <v/>
      </c>
      <c r="C20" s="11">
        <f>C6/C4</f>
        <v/>
      </c>
      <c r="D20" s="11">
        <f>D6/D4</f>
        <v/>
      </c>
      <c r="E20" s="11">
        <f>E6/E4</f>
        <v/>
      </c>
      <c r="F20" s="11">
        <f>F6/F4</f>
        <v/>
      </c>
    </row>
    <row r="21">
      <c r="A21" s="6" t="inlineStr">
        <is>
          <t>Operating margin</t>
        </is>
      </c>
      <c r="B21" s="11">
        <f>B9/B4</f>
        <v/>
      </c>
      <c r="C21" s="11">
        <f>C9/C4</f>
        <v/>
      </c>
      <c r="D21" s="11">
        <f>D9/D4</f>
        <v/>
      </c>
      <c r="E21" s="11">
        <f>E9/E4</f>
        <v/>
      </c>
      <c r="F21" s="11">
        <f>F9/F4</f>
        <v/>
      </c>
    </row>
    <row r="22">
      <c r="A22" s="6" t="inlineStr">
        <is>
          <t>Net margin</t>
        </is>
      </c>
      <c r="B22" s="11">
        <f>B17/B4</f>
        <v/>
      </c>
      <c r="C22" s="11">
        <f>C17/C4</f>
        <v/>
      </c>
      <c r="D22" s="11">
        <f>D17/D4</f>
        <v/>
      </c>
      <c r="E22" s="11">
        <f>E17/E4</f>
        <v/>
      </c>
      <c r="F22" s="11">
        <f>F17/F4</f>
        <v/>
      </c>
    </row>
    <row r="24">
      <c r="A24" s="4" t="inlineStr">
        <is>
          <t>* Operating profit is not a separate line in the F-1 summary table; it is computed as Gross profit - SG&amp;A - R&amp;D and matches SK hynix's reported figures (e.g., FY2025 W47,206bn).</t>
        </is>
      </c>
    </row>
  </sheetData>
  <mergeCells count="3">
    <mergeCell ref="A24:F24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6" customHeight="1">
      <c r="A1" s="1" t="inlineStr">
        <is>
          <t>Consolidated Statements of Financial Position</t>
        </is>
      </c>
    </row>
    <row r="2">
      <c r="A2" s="4" t="inlineStr">
        <is>
          <t>In billions of Won (IFRS, consolidated).</t>
        </is>
      </c>
    </row>
    <row r="3">
      <c r="A3" s="5" t="inlineStr">
        <is>
          <t>W (billions)</t>
        </is>
      </c>
      <c r="B3" s="5" t="inlineStr">
        <is>
          <t>Mar 31, 2026</t>
        </is>
      </c>
      <c r="C3" s="5" t="inlineStr">
        <is>
          <t>Dec 31, 2025</t>
        </is>
      </c>
      <c r="D3" s="5" t="inlineStr">
        <is>
          <t>Dec 31, 2024</t>
        </is>
      </c>
      <c r="E3" s="5" t="inlineStr">
        <is>
          <t>Dec 31, 2023</t>
        </is>
      </c>
    </row>
    <row r="4">
      <c r="A4" s="6" t="inlineStr">
        <is>
          <t>Cash and cash equivalents</t>
        </is>
      </c>
      <c r="B4" s="7" t="n">
        <v>21167</v>
      </c>
      <c r="C4" s="7" t="n">
        <v>14924</v>
      </c>
      <c r="D4" s="7" t="n">
        <v>11205</v>
      </c>
      <c r="E4" s="7" t="n">
        <v>7587</v>
      </c>
    </row>
    <row r="5">
      <c r="A5" s="6" t="inlineStr">
        <is>
          <t>Short-term financial instruments</t>
        </is>
      </c>
      <c r="B5" s="7" t="n">
        <v>18220</v>
      </c>
      <c r="C5" s="7" t="n">
        <v>14680</v>
      </c>
      <c r="D5" s="7" t="n">
        <v>2382</v>
      </c>
      <c r="E5" s="7" t="n">
        <v>473</v>
      </c>
    </row>
    <row r="6">
      <c r="A6" s="6" t="inlineStr">
        <is>
          <t>Short-term investment assets</t>
        </is>
      </c>
      <c r="B6" s="7" t="n">
        <v>14943</v>
      </c>
      <c r="C6" s="7" t="n">
        <v>5339</v>
      </c>
      <c r="D6" s="7" t="n">
        <v>569</v>
      </c>
      <c r="E6" s="7" t="n">
        <v>861</v>
      </c>
    </row>
    <row r="7">
      <c r="A7" s="6" t="inlineStr">
        <is>
          <t>Trade receivables, net</t>
        </is>
      </c>
      <c r="B7" s="7" t="n">
        <v>33808</v>
      </c>
      <c r="C7" s="7" t="n">
        <v>18199</v>
      </c>
      <c r="D7" s="7" t="n">
        <v>13019</v>
      </c>
      <c r="E7" s="7" t="n">
        <v>6600</v>
      </c>
    </row>
    <row r="8">
      <c r="A8" s="6" t="inlineStr">
        <is>
          <t>Inventories, net</t>
        </is>
      </c>
      <c r="B8" s="7" t="n">
        <v>15974</v>
      </c>
      <c r="C8" s="7" t="n">
        <v>14289</v>
      </c>
      <c r="D8" s="7" t="n">
        <v>13314</v>
      </c>
      <c r="E8" s="7" t="n">
        <v>13481</v>
      </c>
    </row>
    <row r="9">
      <c r="A9" s="6" t="inlineStr">
        <is>
          <t>Other current assets</t>
        </is>
      </c>
      <c r="B9" s="7" t="n">
        <v>2394</v>
      </c>
      <c r="C9" s="7" t="n">
        <v>2027</v>
      </c>
      <c r="D9" s="7" t="n">
        <v>1790</v>
      </c>
      <c r="E9" s="7" t="n">
        <v>1466</v>
      </c>
    </row>
    <row r="10">
      <c r="A10" s="8" t="inlineStr">
        <is>
          <t>Total current assets</t>
        </is>
      </c>
      <c r="B10" s="9" t="n">
        <v>106506</v>
      </c>
      <c r="C10" s="9" t="n">
        <v>69458</v>
      </c>
      <c r="D10" s="9" t="n">
        <v>42279</v>
      </c>
      <c r="E10" s="9" t="n">
        <v>30468</v>
      </c>
    </row>
    <row r="11">
      <c r="A11" s="6" t="inlineStr">
        <is>
          <t>Investments in associates and JV</t>
        </is>
      </c>
      <c r="B11" s="7" t="n">
        <v>1356</v>
      </c>
      <c r="C11" s="7" t="n">
        <v>1321</v>
      </c>
      <c r="D11" s="7" t="n">
        <v>1941</v>
      </c>
      <c r="E11" s="7" t="n">
        <v>1367</v>
      </c>
    </row>
    <row r="12">
      <c r="A12" s="6" t="inlineStr">
        <is>
          <t>Long-term investment assets</t>
        </is>
      </c>
      <c r="B12" s="7" t="n">
        <v>20658</v>
      </c>
      <c r="C12" s="7" t="n">
        <v>14547</v>
      </c>
      <c r="D12" s="7" t="n">
        <v>4041</v>
      </c>
      <c r="E12" s="7" t="n">
        <v>4106</v>
      </c>
    </row>
    <row r="13">
      <c r="A13" s="6" t="inlineStr">
        <is>
          <t>Loans and other receivables, net</t>
        </is>
      </c>
      <c r="B13" s="7" t="n">
        <v>424</v>
      </c>
      <c r="C13" s="7" t="n">
        <v>420</v>
      </c>
      <c r="D13" s="7" t="n">
        <v>444</v>
      </c>
      <c r="E13" s="7" t="n">
        <v>475</v>
      </c>
    </row>
    <row r="14">
      <c r="A14" s="6" t="inlineStr">
        <is>
          <t>Property, plant and equipment, net</t>
        </is>
      </c>
      <c r="B14" s="7" t="n">
        <v>82052</v>
      </c>
      <c r="C14" s="7" t="n">
        <v>77503</v>
      </c>
      <c r="D14" s="7" t="n">
        <v>60157</v>
      </c>
      <c r="E14" s="7" t="n">
        <v>52705</v>
      </c>
    </row>
    <row r="15">
      <c r="A15" s="6" t="inlineStr">
        <is>
          <t>Right-of-use assets, net</t>
        </is>
      </c>
      <c r="B15" s="7" t="n">
        <v>2354</v>
      </c>
      <c r="C15" s="7" t="n">
        <v>2336</v>
      </c>
      <c r="D15" s="7" t="n">
        <v>2487</v>
      </c>
      <c r="E15" s="7" t="n">
        <v>2695</v>
      </c>
    </row>
    <row r="16">
      <c r="A16" s="6" t="inlineStr">
        <is>
          <t>Intangible assets, net</t>
        </is>
      </c>
      <c r="B16" s="7" t="n">
        <v>4051</v>
      </c>
      <c r="C16" s="7" t="n">
        <v>4049</v>
      </c>
      <c r="D16" s="7" t="n">
        <v>4019</v>
      </c>
      <c r="E16" s="7" t="n">
        <v>3835</v>
      </c>
    </row>
    <row r="17">
      <c r="A17" s="6" t="inlineStr">
        <is>
          <t>Deferred tax assets</t>
        </is>
      </c>
      <c r="B17" s="7" t="n">
        <v>1832</v>
      </c>
      <c r="C17" s="7" t="n">
        <v>3660</v>
      </c>
      <c r="D17" s="7" t="n">
        <v>2812</v>
      </c>
      <c r="E17" s="7" t="n">
        <v>2989</v>
      </c>
    </row>
    <row r="18">
      <c r="A18" s="6" t="inlineStr">
        <is>
          <t>Other non-current assets</t>
        </is>
      </c>
      <c r="B18" s="7" t="n">
        <v>3596</v>
      </c>
      <c r="C18" s="7" t="n">
        <v>2812</v>
      </c>
      <c r="D18" s="7" t="n">
        <v>1675</v>
      </c>
      <c r="E18" s="7" t="n">
        <v>1690</v>
      </c>
    </row>
    <row r="19">
      <c r="A19" s="8" t="inlineStr">
        <is>
          <t>Total non-current assets</t>
        </is>
      </c>
      <c r="B19" s="9" t="n">
        <v>116323</v>
      </c>
      <c r="C19" s="9" t="n">
        <v>106650</v>
      </c>
      <c r="D19" s="9" t="n">
        <v>77576</v>
      </c>
      <c r="E19" s="9" t="n">
        <v>69862</v>
      </c>
    </row>
    <row r="20">
      <c r="A20" s="8" t="inlineStr">
        <is>
          <t>Total assets</t>
        </is>
      </c>
      <c r="B20" s="9" t="n">
        <v>222829</v>
      </c>
      <c r="C20" s="9" t="n">
        <v>176108</v>
      </c>
      <c r="D20" s="9" t="n">
        <v>119855</v>
      </c>
      <c r="E20" s="9" t="n">
        <v>100330</v>
      </c>
    </row>
    <row r="21">
      <c r="A21" s="6" t="inlineStr">
        <is>
          <t>Trade payables</t>
        </is>
      </c>
      <c r="B21" s="7" t="n">
        <v>2798</v>
      </c>
      <c r="C21" s="7" t="n">
        <v>2848</v>
      </c>
      <c r="D21" s="7" t="n">
        <v>2277</v>
      </c>
      <c r="E21" s="7" t="n">
        <v>1846</v>
      </c>
    </row>
    <row r="22">
      <c r="A22" s="6" t="inlineStr">
        <is>
          <t>Other payables</t>
        </is>
      </c>
      <c r="B22" s="7" t="n">
        <v>7903</v>
      </c>
      <c r="C22" s="7" t="n">
        <v>6434</v>
      </c>
      <c r="D22" s="7" t="n">
        <v>6967</v>
      </c>
      <c r="E22" s="7" t="n">
        <v>3293</v>
      </c>
    </row>
    <row r="23">
      <c r="A23" s="6" t="inlineStr">
        <is>
          <t>Other non-trade payables (current)</t>
        </is>
      </c>
      <c r="B23" s="7" t="n">
        <v>6135</v>
      </c>
      <c r="C23" s="7" t="n">
        <v>6283</v>
      </c>
      <c r="D23" s="7" t="n">
        <v>3984</v>
      </c>
      <c r="E23" s="7" t="n">
        <v>1689</v>
      </c>
    </row>
    <row r="24">
      <c r="A24" s="6" t="inlineStr">
        <is>
          <t>Borrowings (current)</t>
        </is>
      </c>
      <c r="B24" s="7" t="n">
        <v>5891</v>
      </c>
      <c r="C24" s="7" t="n">
        <v>8162</v>
      </c>
      <c r="D24" s="7" t="n">
        <v>5252</v>
      </c>
      <c r="E24" s="7" t="n">
        <v>9857</v>
      </c>
    </row>
    <row r="25">
      <c r="A25" s="6" t="inlineStr">
        <is>
          <t>Other financial liabilities</t>
        </is>
      </c>
      <c r="B25" s="7" t="n">
        <v>1598</v>
      </c>
      <c r="C25" s="7" t="n">
        <v>4914</v>
      </c>
      <c r="D25" s="7" t="n">
        <v>1742</v>
      </c>
      <c r="E25" s="7" t="n">
        <v>1479</v>
      </c>
    </row>
    <row r="26">
      <c r="A26" s="6" t="inlineStr">
        <is>
          <t>Current tax liabilities</t>
        </is>
      </c>
      <c r="B26" s="7" t="n">
        <v>14580</v>
      </c>
      <c r="C26" s="7" t="n">
        <v>7024</v>
      </c>
      <c r="D26" s="7" t="n">
        <v>3084</v>
      </c>
      <c r="E26" s="7" t="n">
        <v>44</v>
      </c>
    </row>
    <row r="27">
      <c r="A27" s="6" t="inlineStr">
        <is>
          <t>Lease liabilities (current)</t>
        </is>
      </c>
      <c r="B27" s="7" t="n">
        <v>526</v>
      </c>
      <c r="C27" s="7" t="n">
        <v>547</v>
      </c>
      <c r="D27" s="7" t="n">
        <v>588</v>
      </c>
      <c r="E27" s="7" t="n">
        <v>631</v>
      </c>
    </row>
    <row r="28">
      <c r="A28" s="6" t="inlineStr">
        <is>
          <t>Other current liabilities</t>
        </is>
      </c>
      <c r="B28" s="7" t="n">
        <v>1270</v>
      </c>
      <c r="C28" s="7" t="n">
        <v>1167</v>
      </c>
      <c r="D28" s="7" t="n">
        <v>1071</v>
      </c>
      <c r="E28" s="7" t="n">
        <v>2169</v>
      </c>
    </row>
    <row r="29">
      <c r="A29" s="8" t="inlineStr">
        <is>
          <t>Total current liabilities</t>
        </is>
      </c>
      <c r="B29" s="9" t="n">
        <v>40701</v>
      </c>
      <c r="C29" s="9" t="n">
        <v>37379</v>
      </c>
      <c r="D29" s="9" t="n">
        <v>24965</v>
      </c>
      <c r="E29" s="9" t="n">
        <v>21008</v>
      </c>
    </row>
    <row r="30">
      <c r="A30" s="6" t="inlineStr">
        <is>
          <t>Long-term other payables</t>
        </is>
      </c>
      <c r="B30" s="7" t="n">
        <v>381</v>
      </c>
      <c r="C30" s="7" t="n">
        <v>375</v>
      </c>
      <c r="D30" s="7" t="n">
        <v>477</v>
      </c>
      <c r="E30" s="7" t="n">
        <v>3144</v>
      </c>
    </row>
    <row r="31">
      <c r="A31" s="6" t="inlineStr">
        <is>
          <t>Other non-trade payables (non-current)</t>
        </is>
      </c>
      <c r="B31" s="7" t="n">
        <v>21</v>
      </c>
      <c r="C31" s="7" t="n">
        <v>20</v>
      </c>
      <c r="D31" s="7" t="n">
        <v>52</v>
      </c>
      <c r="E31" s="7" t="n">
        <v>97</v>
      </c>
    </row>
    <row r="32">
      <c r="A32" s="6" t="inlineStr">
        <is>
          <t>Borrowings (non-current)</t>
        </is>
      </c>
      <c r="B32" s="7" t="n">
        <v>13427</v>
      </c>
      <c r="C32" s="7" t="n">
        <v>14086</v>
      </c>
      <c r="D32" s="7" t="n">
        <v>17431</v>
      </c>
      <c r="E32" s="7" t="n">
        <v>19611</v>
      </c>
    </row>
    <row r="33">
      <c r="A33" s="6" t="inlineStr">
        <is>
          <t>Deferred tax liabilities</t>
        </is>
      </c>
      <c r="B33" s="7" t="n">
        <v>285</v>
      </c>
      <c r="C33" s="7" t="n">
        <v>248</v>
      </c>
      <c r="D33" s="7" t="n">
        <v>218</v>
      </c>
      <c r="E33" s="7" t="n">
        <v>114</v>
      </c>
    </row>
    <row r="34">
      <c r="A34" s="6" t="inlineStr">
        <is>
          <t>Lease liabilities (non-current)</t>
        </is>
      </c>
      <c r="B34" s="7" t="n">
        <v>1988</v>
      </c>
      <c r="C34" s="7" t="n">
        <v>1963</v>
      </c>
      <c r="D34" s="7" t="n">
        <v>2180</v>
      </c>
      <c r="E34" s="7" t="n">
        <v>2398</v>
      </c>
    </row>
    <row r="35">
      <c r="A35" s="6" t="inlineStr">
        <is>
          <t>Other non-current liabilities</t>
        </is>
      </c>
      <c r="B35" s="7" t="n">
        <v>1646</v>
      </c>
      <c r="C35" s="7" t="n">
        <v>1370</v>
      </c>
      <c r="D35" s="7" t="n">
        <v>616</v>
      </c>
      <c r="E35" s="7" t="n">
        <v>455</v>
      </c>
    </row>
    <row r="36">
      <c r="A36" s="8" t="inlineStr">
        <is>
          <t>Total non-current liabilities</t>
        </is>
      </c>
      <c r="B36" s="9" t="n">
        <v>17748</v>
      </c>
      <c r="C36" s="9" t="n">
        <v>18062</v>
      </c>
      <c r="D36" s="9" t="n">
        <v>20974</v>
      </c>
      <c r="E36" s="9" t="n">
        <v>25819</v>
      </c>
    </row>
    <row r="37">
      <c r="A37" s="8" t="inlineStr">
        <is>
          <t>Total liabilities</t>
        </is>
      </c>
      <c r="B37" s="9" t="n">
        <v>58449</v>
      </c>
      <c r="C37" s="9" t="n">
        <v>55441</v>
      </c>
      <c r="D37" s="9" t="n">
        <v>45940</v>
      </c>
      <c r="E37" s="9" t="n">
        <v>46826</v>
      </c>
    </row>
    <row r="38">
      <c r="A38" s="6" t="inlineStr">
        <is>
          <t>Capital stock</t>
        </is>
      </c>
      <c r="B38" s="7" t="n">
        <v>3658</v>
      </c>
      <c r="C38" s="7" t="n">
        <v>3658</v>
      </c>
      <c r="D38" s="7" t="n">
        <v>3658</v>
      </c>
      <c r="E38" s="7" t="n">
        <v>3658</v>
      </c>
    </row>
    <row r="39">
      <c r="A39" s="6" t="inlineStr">
        <is>
          <t>Capital surplus</t>
        </is>
      </c>
      <c r="B39" s="7" t="n">
        <v>8510</v>
      </c>
      <c r="C39" s="7" t="n">
        <v>8954</v>
      </c>
      <c r="D39" s="7" t="n">
        <v>4487</v>
      </c>
      <c r="E39" s="7" t="n">
        <v>4373</v>
      </c>
    </row>
    <row r="40">
      <c r="A40" s="6" t="inlineStr">
        <is>
          <t>Other equity</t>
        </is>
      </c>
      <c r="B40" s="7" t="n">
        <v>-368</v>
      </c>
      <c r="C40" s="7" t="n">
        <v>-1349</v>
      </c>
      <c r="D40" s="7" t="n">
        <v>-2192</v>
      </c>
      <c r="E40" s="7" t="n">
        <v>-2269</v>
      </c>
    </row>
    <row r="41">
      <c r="A41" s="6" t="inlineStr">
        <is>
          <t>Accumulated other comprehensive income</t>
        </is>
      </c>
      <c r="B41" s="7" t="n">
        <v>3745</v>
      </c>
      <c r="C41" s="7" t="n">
        <v>2677</v>
      </c>
      <c r="D41" s="7" t="n">
        <v>2532</v>
      </c>
      <c r="E41" s="7" t="n">
        <v>1014</v>
      </c>
    </row>
    <row r="42">
      <c r="A42" s="6" t="inlineStr">
        <is>
          <t>Retained earnings</t>
        </is>
      </c>
      <c r="B42" s="7" t="n">
        <v>148746</v>
      </c>
      <c r="C42" s="7" t="n">
        <v>106577</v>
      </c>
      <c r="D42" s="7" t="n">
        <v>65418</v>
      </c>
      <c r="E42" s="7" t="n">
        <v>46729</v>
      </c>
    </row>
    <row r="43">
      <c r="A43" s="8" t="inlineStr">
        <is>
          <t>Equity attributable to owners of the parent</t>
        </is>
      </c>
      <c r="B43" s="9" t="n">
        <v>164291</v>
      </c>
      <c r="C43" s="9" t="n">
        <v>120516</v>
      </c>
      <c r="D43" s="9" t="n">
        <v>73903</v>
      </c>
      <c r="E43" s="9" t="n">
        <v>53504</v>
      </c>
    </row>
    <row r="44">
      <c r="A44" s="6" t="inlineStr">
        <is>
          <t>Non-controlling interests</t>
        </is>
      </c>
      <c r="B44" s="7" t="n">
        <v>89</v>
      </c>
      <c r="C44" s="7" t="n">
        <v>151</v>
      </c>
      <c r="D44" s="7" t="n">
        <v>12</v>
      </c>
      <c r="E44" s="7" t="n">
        <v>-1</v>
      </c>
    </row>
    <row r="45">
      <c r="A45" s="8" t="inlineStr">
        <is>
          <t>Total equity</t>
        </is>
      </c>
      <c r="B45" s="9" t="n">
        <v>164380</v>
      </c>
      <c r="C45" s="9" t="n">
        <v>120667</v>
      </c>
      <c r="D45" s="9" t="n">
        <v>73916</v>
      </c>
      <c r="E45" s="9" t="n">
        <v>53504</v>
      </c>
    </row>
    <row r="46">
      <c r="A46" s="8" t="inlineStr">
        <is>
          <t>Total liabilities and equity</t>
        </is>
      </c>
      <c r="B46" s="9" t="n">
        <v>222829</v>
      </c>
      <c r="C46" s="9" t="n">
        <v>176108</v>
      </c>
      <c r="D46" s="9" t="n">
        <v>119855</v>
      </c>
      <c r="E46" s="9" t="n">
        <v>100330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6" customHeight="1">
      <c r="A1" s="1" t="inlineStr">
        <is>
          <t>Consolidated Statements of Cash Flows (selected)</t>
        </is>
      </c>
    </row>
    <row r="2">
      <c r="A2" s="4" t="inlineStr">
        <is>
          <t>In billions of Won (IFRS, consolidated).</t>
        </is>
      </c>
    </row>
    <row r="3">
      <c r="A3" s="5" t="inlineStr">
        <is>
          <t>W (billions)</t>
        </is>
      </c>
      <c r="B3" s="5" t="inlineStr">
        <is>
          <t>Q1 2026</t>
        </is>
      </c>
      <c r="C3" s="5" t="inlineStr">
        <is>
          <t>Q1 2025</t>
        </is>
      </c>
      <c r="D3" s="5" t="inlineStr">
        <is>
          <t>FY 2025</t>
        </is>
      </c>
      <c r="E3" s="5" t="inlineStr">
        <is>
          <t>FY 2024</t>
        </is>
      </c>
      <c r="F3" s="5" t="inlineStr">
        <is>
          <t>FY 2023</t>
        </is>
      </c>
    </row>
    <row r="4">
      <c r="A4" s="6" t="inlineStr">
        <is>
          <t>Capital expenditures (PP&amp;E acquisitions)</t>
        </is>
      </c>
      <c r="B4" s="7" t="n">
        <v>7657</v>
      </c>
      <c r="C4" s="7" t="n">
        <v>6284</v>
      </c>
      <c r="D4" s="7" t="n">
        <v>27519</v>
      </c>
      <c r="E4" s="7" t="n">
        <v>15946</v>
      </c>
      <c r="F4" s="7" t="n">
        <v>8325</v>
      </c>
    </row>
    <row r="5">
      <c r="A5" s="6" t="inlineStr">
        <is>
          <t>Net cash provided by operating activities</t>
        </is>
      </c>
      <c r="B5" s="7" t="n">
        <v>26330</v>
      </c>
      <c r="C5" s="7" t="n">
        <v>9024</v>
      </c>
      <c r="D5" s="7" t="n">
        <v>53373</v>
      </c>
      <c r="E5" s="7" t="n">
        <v>29796</v>
      </c>
      <c r="F5" s="7" t="n">
        <v>4278</v>
      </c>
    </row>
    <row r="6">
      <c r="A6" s="6" t="inlineStr">
        <is>
          <t>Net cash used in investing activities</t>
        </is>
      </c>
      <c r="B6" s="7" t="n">
        <v>-17635</v>
      </c>
      <c r="C6" s="7" t="n">
        <v>-8218</v>
      </c>
      <c r="D6" s="7" t="n">
        <v>-48054</v>
      </c>
      <c r="E6" s="7" t="n">
        <v>-18005</v>
      </c>
      <c r="F6" s="7" t="n">
        <v>-7335</v>
      </c>
    </row>
    <row r="7">
      <c r="A7" s="6" t="inlineStr">
        <is>
          <t>Net cash provided by (used in) financing activities</t>
        </is>
      </c>
      <c r="B7" s="7" t="n">
        <v>-2951</v>
      </c>
      <c r="C7" s="7" t="n">
        <v>509</v>
      </c>
      <c r="D7" s="7" t="n">
        <v>-1445</v>
      </c>
      <c r="E7" s="7" t="n">
        <v>-8704</v>
      </c>
      <c r="F7" s="7" t="n">
        <v>5697</v>
      </c>
    </row>
    <row r="8">
      <c r="A8" s="8" t="inlineStr">
        <is>
          <t>Net increase in cash and cash equivalents</t>
        </is>
      </c>
      <c r="B8" s="9" t="n">
        <v>6243</v>
      </c>
      <c r="C8" s="9" t="n">
        <v>1353</v>
      </c>
      <c r="D8" s="9" t="n">
        <v>3719</v>
      </c>
      <c r="E8" s="9" t="n">
        <v>3618</v>
      </c>
      <c r="F8" s="9" t="n">
        <v>2610</v>
      </c>
    </row>
    <row r="10">
      <c r="A10" s="4" t="inlineStr">
        <is>
          <t>Capital expenditures represent cash outflows for acquisition of PP&amp;E (included within investing activities).</t>
        </is>
      </c>
    </row>
  </sheetData>
  <mergeCells count="3">
    <mergeCell ref="A2:F2"/>
    <mergeCell ref="A1:F1"/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6" customHeight="1">
      <c r="A1" s="1" t="inlineStr">
        <is>
          <t>Reconciliation of Profit (Loss) to Adjusted EBITDA (non-IFRS)</t>
        </is>
      </c>
    </row>
    <row r="2">
      <c r="A2" s="4" t="inlineStr">
        <is>
          <t>In billions of Won.</t>
        </is>
      </c>
    </row>
    <row r="3">
      <c r="A3" s="5" t="inlineStr">
        <is>
          <t>W (billions)</t>
        </is>
      </c>
      <c r="B3" s="5" t="inlineStr">
        <is>
          <t>Q1 2026</t>
        </is>
      </c>
      <c r="C3" s="5" t="inlineStr">
        <is>
          <t>Q1 2025</t>
        </is>
      </c>
      <c r="D3" s="5" t="inlineStr">
        <is>
          <t>FY 2025</t>
        </is>
      </c>
      <c r="E3" s="5" t="inlineStr">
        <is>
          <t>FY 2024</t>
        </is>
      </c>
      <c r="F3" s="5" t="inlineStr">
        <is>
          <t>FY 2023</t>
        </is>
      </c>
    </row>
    <row r="4">
      <c r="A4" s="6" t="inlineStr">
        <is>
          <t>Profit (loss) for the period</t>
        </is>
      </c>
      <c r="B4" s="7" t="n">
        <v>40346</v>
      </c>
      <c r="C4" s="7" t="n">
        <v>8108</v>
      </c>
      <c r="D4" s="7" t="n">
        <v>42948</v>
      </c>
      <c r="E4" s="7" t="n">
        <v>19797</v>
      </c>
      <c r="F4" s="7" t="n">
        <v>-9138</v>
      </c>
    </row>
    <row r="5">
      <c r="A5" s="6" t="inlineStr">
        <is>
          <t>ADD: Income tax expense (benefit)</t>
        </is>
      </c>
      <c r="B5" s="7" t="n">
        <v>11271</v>
      </c>
      <c r="C5" s="7" t="n">
        <v>1191</v>
      </c>
      <c r="D5" s="7" t="n">
        <v>7518</v>
      </c>
      <c r="E5" s="7" t="n">
        <v>4088</v>
      </c>
      <c r="F5" s="7" t="n">
        <v>-2520</v>
      </c>
    </row>
    <row r="6">
      <c r="A6" s="6" t="inlineStr">
        <is>
          <t>SUBTRACT: Finance income</t>
        </is>
      </c>
      <c r="B6" s="7" t="n">
        <v>-17056</v>
      </c>
      <c r="C6" s="7" t="n">
        <v>-2687</v>
      </c>
      <c r="D6" s="7" t="n">
        <v>-16373</v>
      </c>
      <c r="E6" s="7" t="n">
        <v>-4855</v>
      </c>
      <c r="F6" s="7" t="n">
        <v>-2262</v>
      </c>
    </row>
    <row r="7">
      <c r="A7" s="6" t="inlineStr">
        <is>
          <t>ADD: Finance expenses</t>
        </is>
      </c>
      <c r="B7" s="7" t="n">
        <v>3023</v>
      </c>
      <c r="C7" s="7" t="n">
        <v>765</v>
      </c>
      <c r="D7" s="7" t="n">
        <v>12505</v>
      </c>
      <c r="E7" s="7" t="n">
        <v>5708</v>
      </c>
      <c r="F7" s="7" t="n">
        <v>6093</v>
      </c>
    </row>
    <row r="8">
      <c r="A8" s="6" t="inlineStr">
        <is>
          <t>SUBTRACT: Share of profit (loss) of equity-accounted investees</t>
        </is>
      </c>
      <c r="B8" s="7" t="n">
        <v>27</v>
      </c>
      <c r="C8" s="7" t="n">
        <v>41</v>
      </c>
      <c r="D8" s="7" t="n">
        <v>565</v>
      </c>
      <c r="E8" s="7" t="n">
        <v>38</v>
      </c>
      <c r="F8" s="7" t="n">
        <v>-15</v>
      </c>
    </row>
    <row r="9">
      <c r="A9" s="6" t="inlineStr">
        <is>
          <t>SUBTRACT: Other income</t>
        </is>
      </c>
      <c r="B9" s="7" t="n">
        <v>-15</v>
      </c>
      <c r="C9" s="7" t="n">
        <v>-79</v>
      </c>
      <c r="D9" s="7" t="n">
        <v>-333</v>
      </c>
      <c r="E9" s="7" t="n">
        <v>-1477</v>
      </c>
      <c r="F9" s="7" t="n">
        <v>-624</v>
      </c>
    </row>
    <row r="10">
      <c r="A10" s="6" t="inlineStr">
        <is>
          <t>ADD: Other expenses</t>
        </is>
      </c>
      <c r="B10" s="7" t="n">
        <v>15</v>
      </c>
      <c r="C10" s="7" t="n">
        <v>102</v>
      </c>
      <c r="D10" s="7" t="n">
        <v>378</v>
      </c>
      <c r="E10" s="7" t="n">
        <v>167</v>
      </c>
      <c r="F10" s="7" t="n">
        <v>735</v>
      </c>
    </row>
    <row r="11">
      <c r="A11" s="6" t="inlineStr">
        <is>
          <t>ADD: Depreciation and amortization</t>
        </is>
      </c>
      <c r="B11" s="7" t="n">
        <v>3726</v>
      </c>
      <c r="C11" s="7" t="n">
        <v>3334</v>
      </c>
      <c r="D11" s="7" t="n">
        <v>13890</v>
      </c>
      <c r="E11" s="7" t="n">
        <v>12545</v>
      </c>
      <c r="F11" s="7" t="n">
        <v>13619</v>
      </c>
    </row>
    <row r="12">
      <c r="A12" s="8" t="inlineStr">
        <is>
          <t>Adjusted EBITDA</t>
        </is>
      </c>
      <c r="B12" s="9" t="n">
        <v>41336</v>
      </c>
      <c r="C12" s="9" t="n">
        <v>10774</v>
      </c>
      <c r="D12" s="9" t="n">
        <v>61096</v>
      </c>
      <c r="E12" s="9" t="n">
        <v>36012</v>
      </c>
      <c r="F12" s="9" t="n">
        <v>5889</v>
      </c>
    </row>
    <row r="14">
      <c r="A14" s="4" t="inlineStr">
        <is>
          <t>Signs reflect the add/subtract direction in the reconciliation. Adjusted EBITDA is a non-IFRS measure.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6" customHeight="1">
      <c r="A1" s="1" t="inlineStr">
        <is>
          <t>Revenue by Principal Product Category</t>
        </is>
      </c>
    </row>
    <row r="2">
      <c r="A2" s="4" t="inlineStr">
        <is>
          <t>In billions of Won and % of total.</t>
        </is>
      </c>
    </row>
    <row r="3">
      <c r="A3" s="5" t="inlineStr">
        <is>
          <t>W (billions)</t>
        </is>
      </c>
      <c r="B3" s="5" t="inlineStr">
        <is>
          <t>Q1 2026</t>
        </is>
      </c>
      <c r="C3" s="5" t="inlineStr">
        <is>
          <t>%</t>
        </is>
      </c>
      <c r="D3" s="5" t="inlineStr">
        <is>
          <t>Q1 2025</t>
        </is>
      </c>
      <c r="E3" s="5" t="inlineStr">
        <is>
          <t>%</t>
        </is>
      </c>
      <c r="F3" s="5" t="inlineStr">
        <is>
          <t>FY 2025</t>
        </is>
      </c>
      <c r="G3" s="5" t="inlineStr">
        <is>
          <t>%</t>
        </is>
      </c>
      <c r="H3" s="5" t="inlineStr">
        <is>
          <t>FY 2024</t>
        </is>
      </c>
      <c r="I3" s="5" t="inlineStr">
        <is>
          <t>%</t>
        </is>
      </c>
      <c r="J3" s="5" t="inlineStr">
        <is>
          <t>FY 2023</t>
        </is>
      </c>
      <c r="K3" s="5" t="inlineStr">
        <is>
          <t>%</t>
        </is>
      </c>
    </row>
    <row r="4">
      <c r="A4" s="6" t="inlineStr">
        <is>
          <t>DRAM</t>
        </is>
      </c>
      <c r="B4" s="7" t="n">
        <v>40659</v>
      </c>
      <c r="C4" s="11" t="n">
        <v>0.773</v>
      </c>
      <c r="D4" s="7" t="n">
        <v>14037</v>
      </c>
      <c r="E4" s="11" t="n">
        <v>0.796</v>
      </c>
      <c r="F4" s="7" t="n">
        <v>74904</v>
      </c>
      <c r="G4" s="11" t="n">
        <v>0.771</v>
      </c>
      <c r="H4" s="7" t="n">
        <v>44732</v>
      </c>
      <c r="I4" s="11" t="n">
        <v>0.676</v>
      </c>
      <c r="J4" s="7" t="n">
        <v>20769</v>
      </c>
      <c r="K4" s="11" t="n">
        <v>0.634</v>
      </c>
    </row>
    <row r="5">
      <c r="A5" s="6" t="inlineStr">
        <is>
          <t>NAND Flash</t>
        </is>
      </c>
      <c r="B5" s="7" t="n">
        <v>11574</v>
      </c>
      <c r="C5" s="11" t="n">
        <v>0.22</v>
      </c>
      <c r="D5" s="7" t="n">
        <v>3229</v>
      </c>
      <c r="E5" s="11" t="n">
        <v>0.183</v>
      </c>
      <c r="F5" s="7" t="n">
        <v>20690</v>
      </c>
      <c r="G5" s="11" t="n">
        <v>0.213</v>
      </c>
      <c r="H5" s="7" t="n">
        <v>19274</v>
      </c>
      <c r="I5" s="11" t="n">
        <v>0.291</v>
      </c>
      <c r="J5" s="7" t="n">
        <v>9653</v>
      </c>
      <c r="K5" s="11" t="n">
        <v>0.295</v>
      </c>
    </row>
    <row r="6">
      <c r="A6" s="6" t="inlineStr">
        <is>
          <t>Other products</t>
        </is>
      </c>
      <c r="B6" s="7" t="n">
        <v>343</v>
      </c>
      <c r="C6" s="11" t="n">
        <v>0.007</v>
      </c>
      <c r="D6" s="7" t="n">
        <v>373</v>
      </c>
      <c r="E6" s="11" t="n">
        <v>0.021</v>
      </c>
      <c r="F6" s="7" t="n">
        <v>1552</v>
      </c>
      <c r="G6" s="11" t="n">
        <v>0.016</v>
      </c>
      <c r="H6" s="7" t="n">
        <v>2187</v>
      </c>
      <c r="I6" s="11" t="n">
        <v>0.033</v>
      </c>
      <c r="J6" s="7" t="n">
        <v>2344</v>
      </c>
      <c r="K6" s="11" t="n">
        <v>0.07199999999999999</v>
      </c>
    </row>
    <row r="7">
      <c r="A7" s="8" t="inlineStr">
        <is>
          <t>Total revenue</t>
        </is>
      </c>
      <c r="B7" s="9" t="n">
        <v>52576</v>
      </c>
      <c r="C7" s="12" t="n">
        <v>1</v>
      </c>
      <c r="D7" s="9" t="n">
        <v>17639</v>
      </c>
      <c r="E7" s="12" t="n">
        <v>1</v>
      </c>
      <c r="F7" s="9" t="n">
        <v>97147</v>
      </c>
      <c r="G7" s="12" t="n">
        <v>1</v>
      </c>
      <c r="H7" s="9" t="n">
        <v>66193</v>
      </c>
      <c r="I7" s="12" t="n">
        <v>1</v>
      </c>
      <c r="J7" s="9" t="n">
        <v>32766</v>
      </c>
      <c r="K7" s="12" t="n">
        <v>1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6" customHeight="1">
      <c r="A1" s="1" t="inlineStr">
        <is>
          <t>Revenue by Region (by location of sales entity)</t>
        </is>
      </c>
    </row>
    <row r="2">
      <c r="A2" s="4" t="inlineStr">
        <is>
          <t>In billions of Won and % of total.</t>
        </is>
      </c>
    </row>
    <row r="3">
      <c r="A3" s="5" t="inlineStr">
        <is>
          <t>W (billions)</t>
        </is>
      </c>
      <c r="B3" s="5" t="inlineStr">
        <is>
          <t>Q1 2026</t>
        </is>
      </c>
      <c r="C3" s="5" t="inlineStr">
        <is>
          <t>%</t>
        </is>
      </c>
      <c r="D3" s="5" t="inlineStr">
        <is>
          <t>Q1 2025</t>
        </is>
      </c>
      <c r="E3" s="5" t="inlineStr">
        <is>
          <t>%</t>
        </is>
      </c>
      <c r="F3" s="5" t="inlineStr">
        <is>
          <t>FY 2025</t>
        </is>
      </c>
      <c r="G3" s="5" t="inlineStr">
        <is>
          <t>%</t>
        </is>
      </c>
      <c r="H3" s="5" t="inlineStr">
        <is>
          <t>FY 2024</t>
        </is>
      </c>
      <c r="I3" s="5" t="inlineStr">
        <is>
          <t>%</t>
        </is>
      </c>
      <c r="J3" s="5" t="inlineStr">
        <is>
          <t>FY 2023</t>
        </is>
      </c>
      <c r="K3" s="5" t="inlineStr">
        <is>
          <t>%</t>
        </is>
      </c>
    </row>
    <row r="4">
      <c r="A4" s="6" t="inlineStr">
        <is>
          <t>United States</t>
        </is>
      </c>
      <c r="B4" s="7" t="n">
        <v>33999</v>
      </c>
      <c r="C4" s="11" t="n">
        <v>0.647</v>
      </c>
      <c r="D4" s="7" t="n">
        <v>12795</v>
      </c>
      <c r="E4" s="11" t="n">
        <v>0.725</v>
      </c>
      <c r="F4" s="7" t="n">
        <v>66885</v>
      </c>
      <c r="G4" s="11" t="n">
        <v>0.6879999999999999</v>
      </c>
      <c r="H4" s="7" t="n">
        <v>41961</v>
      </c>
      <c r="I4" s="11" t="n">
        <v>0.634</v>
      </c>
      <c r="J4" s="7" t="n">
        <v>15390</v>
      </c>
      <c r="K4" s="11" t="n">
        <v>0.47</v>
      </c>
    </row>
    <row r="5">
      <c r="A5" s="6" t="inlineStr">
        <is>
          <t>China</t>
        </is>
      </c>
      <c r="B5" s="7" t="n">
        <v>12797</v>
      </c>
      <c r="C5" s="11" t="n">
        <v>0.243</v>
      </c>
      <c r="D5" s="7" t="n">
        <v>2694</v>
      </c>
      <c r="E5" s="11" t="n">
        <v>0.153</v>
      </c>
      <c r="F5" s="7" t="n">
        <v>19136</v>
      </c>
      <c r="G5" s="11" t="n">
        <v>0.197</v>
      </c>
      <c r="H5" s="7" t="n">
        <v>15534</v>
      </c>
      <c r="I5" s="11" t="n">
        <v>0.235</v>
      </c>
      <c r="J5" s="7" t="n">
        <v>10110</v>
      </c>
      <c r="K5" s="11" t="n">
        <v>0.309</v>
      </c>
    </row>
    <row r="6">
      <c r="A6" s="6" t="inlineStr">
        <is>
          <t>Asia (ex-China/Korea)</t>
        </is>
      </c>
      <c r="B6" s="7" t="n">
        <v>4473</v>
      </c>
      <c r="C6" s="11" t="n">
        <v>0.08500000000000001</v>
      </c>
      <c r="D6" s="7" t="n">
        <v>1258</v>
      </c>
      <c r="E6" s="11" t="n">
        <v>0.07099999999999999</v>
      </c>
      <c r="F6" s="7" t="n">
        <v>7216</v>
      </c>
      <c r="G6" s="11" t="n">
        <v>0.074</v>
      </c>
      <c r="H6" s="7" t="n">
        <v>5381</v>
      </c>
      <c r="I6" s="11" t="n">
        <v>0.081</v>
      </c>
      <c r="J6" s="7" t="n">
        <v>4297</v>
      </c>
      <c r="K6" s="11" t="n">
        <v>0.131</v>
      </c>
    </row>
    <row r="7">
      <c r="A7" s="6" t="inlineStr">
        <is>
          <t>Europe</t>
        </is>
      </c>
      <c r="B7" s="7" t="n">
        <v>1128</v>
      </c>
      <c r="C7" s="11" t="n">
        <v>0.021</v>
      </c>
      <c r="D7" s="7" t="n">
        <v>449</v>
      </c>
      <c r="E7" s="11" t="n">
        <v>0.025</v>
      </c>
      <c r="F7" s="7" t="n">
        <v>1977</v>
      </c>
      <c r="G7" s="11" t="n">
        <v>0.02</v>
      </c>
      <c r="H7" s="7" t="n">
        <v>1413</v>
      </c>
      <c r="I7" s="11" t="n">
        <v>0.021</v>
      </c>
      <c r="J7" s="7" t="n">
        <v>935</v>
      </c>
      <c r="K7" s="11" t="n">
        <v>0.029</v>
      </c>
    </row>
    <row r="8">
      <c r="A8" s="6" t="inlineStr">
        <is>
          <t>Korea</t>
        </is>
      </c>
      <c r="B8" s="7" t="n">
        <v>179</v>
      </c>
      <c r="C8" s="11" t="n">
        <v>0.003</v>
      </c>
      <c r="D8" s="7" t="n">
        <v>443</v>
      </c>
      <c r="E8" s="11" t="n">
        <v>0.025</v>
      </c>
      <c r="F8" s="7" t="n">
        <v>1932</v>
      </c>
      <c r="G8" s="11" t="n">
        <v>0.02</v>
      </c>
      <c r="H8" s="7" t="n">
        <v>1904</v>
      </c>
      <c r="I8" s="11" t="n">
        <v>0.029</v>
      </c>
      <c r="J8" s="7" t="n">
        <v>2034</v>
      </c>
      <c r="K8" s="11" t="n">
        <v>0.062</v>
      </c>
    </row>
    <row r="9">
      <c r="A9" s="8" t="inlineStr">
        <is>
          <t>Total revenue</t>
        </is>
      </c>
      <c r="B9" s="9" t="n">
        <v>52576</v>
      </c>
      <c r="C9" s="12" t="n">
        <v>1</v>
      </c>
      <c r="D9" s="9" t="n">
        <v>17639</v>
      </c>
      <c r="E9" s="12" t="n">
        <v>1</v>
      </c>
      <c r="F9" s="9" t="n">
        <v>97147</v>
      </c>
      <c r="G9" s="12" t="n">
        <v>1</v>
      </c>
      <c r="H9" s="9" t="n">
        <v>66193</v>
      </c>
      <c r="I9" s="12" t="n">
        <v>1</v>
      </c>
      <c r="J9" s="9" t="n">
        <v>32766</v>
      </c>
      <c r="K9" s="12" t="n">
        <v>1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6" customHeight="1">
      <c r="A1" s="1" t="inlineStr">
        <is>
          <t>Use of Proceeds — Planned Investment Projects</t>
        </is>
      </c>
    </row>
    <row r="2">
      <c r="A2" s="4" t="inlineStr">
        <is>
          <t>In trillions of Won. Additional planned investment by year (as of May 31, 2026).</t>
        </is>
      </c>
    </row>
    <row r="3">
      <c r="A3" s="5" t="inlineStr">
        <is>
          <t>Project</t>
        </is>
      </c>
      <c r="B3" s="5" t="inlineStr">
        <is>
          <t>Cleanroom open</t>
        </is>
      </c>
      <c r="C3" s="5" t="inlineStr">
        <is>
          <t>Total cost</t>
        </is>
      </c>
      <c r="D3" s="5" t="inlineStr">
        <is>
          <t>Previously invested</t>
        </is>
      </c>
      <c r="E3" s="5" t="inlineStr">
        <is>
          <t>Additional planned</t>
        </is>
      </c>
      <c r="F3" s="5" t="inlineStr">
        <is>
          <t>2026</t>
        </is>
      </c>
      <c r="G3" s="5" t="inlineStr">
        <is>
          <t>2027</t>
        </is>
      </c>
      <c r="H3" s="5" t="inlineStr">
        <is>
          <t>2028</t>
        </is>
      </c>
      <c r="I3" s="5" t="inlineStr">
        <is>
          <t>2029</t>
        </is>
      </c>
      <c r="J3" s="5" t="inlineStr">
        <is>
          <t>2030</t>
        </is>
      </c>
    </row>
    <row r="4">
      <c r="A4" s="6" t="inlineStr">
        <is>
          <t>Fab 1 at the Yongin complex, Korea</t>
        </is>
      </c>
      <c r="B4" s="13" t="inlineStr">
        <is>
          <t>End of 2030</t>
        </is>
      </c>
      <c r="C4" s="14" t="n">
        <v>31</v>
      </c>
      <c r="D4" s="14" t="n">
        <v>4.4</v>
      </c>
      <c r="E4" s="14" t="n">
        <v>26.6</v>
      </c>
      <c r="F4" s="14" t="n">
        <v>7.4</v>
      </c>
      <c r="G4" s="14" t="n">
        <v>10.1</v>
      </c>
      <c r="H4" s="14" t="n">
        <v>6.6</v>
      </c>
      <c r="I4" s="14" t="n">
        <v>2.5</v>
      </c>
      <c r="J4" s="14" t="n">
        <v>0</v>
      </c>
    </row>
    <row r="5">
      <c r="A5" s="6" t="inlineStr">
        <is>
          <t>P&amp;T7 advanced packaging plant, Cheongju</t>
        </is>
      </c>
      <c r="B5" s="13" t="inlineStr">
        <is>
          <t>End of 2030</t>
        </is>
      </c>
      <c r="C5" s="14" t="n">
        <v>19</v>
      </c>
      <c r="D5" s="14" t="n">
        <v>0.1</v>
      </c>
      <c r="E5" s="14" t="n">
        <v>18.9</v>
      </c>
      <c r="F5" s="14" t="n">
        <v>0.5</v>
      </c>
      <c r="G5" s="14" t="n">
        <v>2.1</v>
      </c>
      <c r="H5" s="14" t="n">
        <v>2.7</v>
      </c>
      <c r="I5" s="14" t="n">
        <v>5.8</v>
      </c>
      <c r="J5" s="14" t="n">
        <v>7.8</v>
      </c>
    </row>
    <row r="6">
      <c r="A6" s="8" t="inlineStr">
        <is>
          <t>Total</t>
        </is>
      </c>
      <c r="B6" s="15" t="inlineStr"/>
      <c r="C6" s="16" t="n">
        <v>50</v>
      </c>
      <c r="D6" s="16" t="n">
        <v>4.5</v>
      </c>
      <c r="E6" s="16" t="n">
        <v>45.5</v>
      </c>
      <c r="F6" s="16" t="n">
        <v>7.9</v>
      </c>
      <c r="G6" s="16" t="n">
        <v>12.2</v>
      </c>
      <c r="H6" s="16" t="n">
        <v>9.300000000000001</v>
      </c>
      <c r="I6" s="16" t="n">
        <v>8.300000000000001</v>
      </c>
      <c r="J6" s="16" t="n">
        <v>7.8</v>
      </c>
    </row>
    <row r="8">
      <c r="A8" s="4" t="inlineStr">
        <is>
          <t>Net proceeds intended for (i) W45.5tn of Korean facility capex (above) and (ii) ~W11.9tn of EUV scanner purchases (delivery by Dec 2027). Shortfalls funded by operating cash flow and debt.</t>
        </is>
      </c>
    </row>
    <row r="9">
      <c r="A9" s="4" t="inlineStr">
        <is>
          <t>Figures are estimates subject to change with market conditions, specifications and exchange rates.</t>
        </is>
      </c>
    </row>
  </sheetData>
  <mergeCells count="4">
    <mergeCell ref="A1:I1"/>
    <mergeCell ref="A9:J9"/>
    <mergeCell ref="A2:I2"/>
    <mergeCell ref="A8:J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6" customWidth="1" min="4" max="4"/>
  </cols>
  <sheetData>
    <row r="1" ht="26" customHeight="1">
      <c r="A1" s="1" t="inlineStr">
        <is>
          <t>Dividends Paid (Quarterly &amp; Annual)</t>
        </is>
      </c>
    </row>
    <row r="2">
      <c r="A2" s="4" t="inlineStr">
        <is>
          <t>Dividend per share in Won; total in billions of Won.</t>
        </is>
      </c>
    </row>
    <row r="3">
      <c r="A3" s="5" t="inlineStr">
        <is>
          <t>Dividend type / period</t>
        </is>
      </c>
      <c r="B3" s="5" t="inlineStr">
        <is>
          <t>Per share (W)</t>
        </is>
      </c>
      <c r="C3" s="5" t="inlineStr">
        <is>
          <t>Total (W bn)</t>
        </is>
      </c>
      <c r="D3" s="5" t="inlineStr">
        <is>
          <t>Shares entitled</t>
        </is>
      </c>
    </row>
    <row r="4">
      <c r="A4" s="6" t="inlineStr">
        <is>
          <t>Quarterly — period ended Mar 31, 2023</t>
        </is>
      </c>
      <c r="B4" s="7" t="n">
        <v>300</v>
      </c>
      <c r="C4" s="7" t="n">
        <v>206</v>
      </c>
      <c r="D4" s="7" t="n">
        <v>688059197</v>
      </c>
    </row>
    <row r="5">
      <c r="A5" s="6" t="inlineStr">
        <is>
          <t>Quarterly — period ended Jun 30, 2023</t>
        </is>
      </c>
      <c r="B5" s="7" t="n">
        <v>300</v>
      </c>
      <c r="C5" s="7" t="n">
        <v>206</v>
      </c>
      <c r="D5" s="7" t="n">
        <v>688090311</v>
      </c>
    </row>
    <row r="6">
      <c r="A6" s="6" t="inlineStr">
        <is>
          <t>Quarterly — period ended Sep 30, 2023</t>
        </is>
      </c>
      <c r="B6" s="7" t="n">
        <v>300</v>
      </c>
      <c r="C6" s="7" t="n">
        <v>206</v>
      </c>
      <c r="D6" s="7" t="n">
        <v>688116189</v>
      </c>
    </row>
    <row r="7">
      <c r="A7" s="6" t="inlineStr">
        <is>
          <t>Annual — year ended Dec 31, 2023</t>
        </is>
      </c>
      <c r="B7" s="7" t="n">
        <v>300</v>
      </c>
      <c r="C7" s="7" t="n">
        <v>206</v>
      </c>
      <c r="D7" s="7" t="n">
        <v>688138649</v>
      </c>
    </row>
    <row r="8">
      <c r="A8" s="6" t="inlineStr">
        <is>
          <t>Quarterly — period ended Mar 31, 2024</t>
        </is>
      </c>
      <c r="B8" s="7" t="n">
        <v>300</v>
      </c>
      <c r="C8" s="7" t="n">
        <v>207</v>
      </c>
      <c r="D8" s="7" t="n">
        <v>688614914</v>
      </c>
    </row>
    <row r="9">
      <c r="A9" s="6" t="inlineStr">
        <is>
          <t>Quarterly — period ended Jun 30, 2024</t>
        </is>
      </c>
      <c r="B9" s="7" t="n">
        <v>300</v>
      </c>
      <c r="C9" s="7" t="n">
        <v>207</v>
      </c>
      <c r="D9" s="7" t="n">
        <v>688617645</v>
      </c>
    </row>
    <row r="10">
      <c r="A10" s="6" t="inlineStr">
        <is>
          <t>Quarterly — period ended Sep 30, 2024</t>
        </is>
      </c>
      <c r="B10" s="7" t="n">
        <v>300</v>
      </c>
      <c r="C10" s="7" t="n">
        <v>207</v>
      </c>
      <c r="D10" s="7" t="n">
        <v>689038731</v>
      </c>
    </row>
    <row r="11">
      <c r="A11" s="6" t="inlineStr">
        <is>
          <t>Annual — year ended Dec 31, 2024</t>
        </is>
      </c>
      <c r="B11" s="7" t="n">
        <v>1304</v>
      </c>
      <c r="C11" s="7" t="n">
        <v>900</v>
      </c>
      <c r="D11" s="7" t="n">
        <v>690344530</v>
      </c>
    </row>
    <row r="12">
      <c r="A12" s="6" t="inlineStr">
        <is>
          <t>Quarterly — period ended Mar 31, 2025</t>
        </is>
      </c>
      <c r="B12" s="7" t="n">
        <v>375</v>
      </c>
      <c r="C12" s="7" t="n">
        <v>259</v>
      </c>
      <c r="D12" s="7" t="n">
        <v>690412123</v>
      </c>
    </row>
    <row r="13">
      <c r="A13" s="6" t="inlineStr">
        <is>
          <t>Quarterly — period ended Jun 30, 2025</t>
        </is>
      </c>
      <c r="B13" s="7" t="n">
        <v>375</v>
      </c>
      <c r="C13" s="7" t="n">
        <v>259</v>
      </c>
      <c r="D13" s="7" t="n">
        <v>690455268</v>
      </c>
    </row>
    <row r="14">
      <c r="A14" s="6" t="inlineStr">
        <is>
          <t>Quarterly — period ended Sep 30, 2025</t>
        </is>
      </c>
      <c r="B14" s="7" t="n">
        <v>375</v>
      </c>
      <c r="C14" s="7" t="n">
        <v>263</v>
      </c>
      <c r="D14" s="7" t="n">
        <v>701684263</v>
      </c>
    </row>
    <row r="15">
      <c r="A15" s="6" t="inlineStr">
        <is>
          <t>Annual — year ended Dec 31, 2025</t>
        </is>
      </c>
      <c r="B15" s="7" t="n">
        <v>1875</v>
      </c>
      <c r="C15" s="7" t="n">
        <v>1328</v>
      </c>
      <c r="D15" s="7" t="n">
        <v>708113147</v>
      </c>
    </row>
    <row r="16">
      <c r="A16" s="6" t="inlineStr">
        <is>
          <t>Quarterly — period ended Mar 31, 2026</t>
        </is>
      </c>
      <c r="B16" s="7" t="n">
        <v>375</v>
      </c>
      <c r="C16" s="7" t="n">
        <v>267</v>
      </c>
      <c r="D16" s="7" t="n">
        <v>711073295</v>
      </c>
    </row>
    <row r="18">
      <c r="A18" s="4" t="inlineStr">
        <is>
          <t>FY2025-2027 policy: W1,500/share annually (4 x W375 quarterly), with potential additional returns on excess cash.</t>
        </is>
      </c>
    </row>
  </sheetData>
  <mergeCells count="3">
    <mergeCell ref="A1:D1"/>
    <mergeCell ref="A18:D18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</cols>
  <sheetData>
    <row r="1" ht="26" customHeight="1">
      <c r="A1" s="1" t="inlineStr">
        <is>
          <t>Principal Shareholders (as of the F-1 date)</t>
        </is>
      </c>
    </row>
    <row r="2">
      <c r="A2" s="5" t="inlineStr">
        <is>
          <t>Shareholder</t>
        </is>
      </c>
      <c r="B2" s="5" t="inlineStr">
        <is>
          <t>Common shares</t>
        </is>
      </c>
      <c r="C2" s="5" t="inlineStr">
        <is>
          <t>Ownership %</t>
        </is>
      </c>
    </row>
    <row r="3">
      <c r="A3" s="6" t="inlineStr">
        <is>
          <t>SK square (SK Group)</t>
        </is>
      </c>
      <c r="B3" s="7" t="n">
        <v>146100000</v>
      </c>
      <c r="C3" s="11" t="n">
        <v>0.205</v>
      </c>
    </row>
    <row r="4">
      <c r="A4" s="6" t="inlineStr">
        <is>
          <t>National Pension Service</t>
        </is>
      </c>
      <c r="B4" s="7" t="n">
        <v>57439774</v>
      </c>
      <c r="C4" s="11" t="n">
        <v>0.0806</v>
      </c>
    </row>
    <row r="5">
      <c r="A5" s="6" t="inlineStr">
        <is>
          <t>BlackRock Inc.</t>
        </is>
      </c>
      <c r="B5" s="7" t="n">
        <v>36407157</v>
      </c>
      <c r="C5" s="11" t="n">
        <v>0.0511</v>
      </c>
    </row>
    <row r="6">
      <c r="A6" s="6" t="inlineStr">
        <is>
          <t>Capital Research and Management Company</t>
        </is>
      </c>
      <c r="B6" s="7" t="n">
        <v>25149374</v>
      </c>
      <c r="C6" s="11" t="n">
        <v>0.0353</v>
      </c>
    </row>
    <row r="7">
      <c r="A7" s="6" t="inlineStr">
        <is>
          <t>Others</t>
        </is>
      </c>
      <c r="B7" s="7" t="n">
        <v>445979195</v>
      </c>
      <c r="C7" s="11" t="n">
        <v>0.6258</v>
      </c>
    </row>
    <row r="8">
      <c r="A8" s="6" t="inlineStr">
        <is>
          <t>Treasury shares</t>
        </is>
      </c>
      <c r="B8" s="7" t="n">
        <v>1626865</v>
      </c>
      <c r="C8" s="11" t="n">
        <v>0.0023</v>
      </c>
    </row>
    <row r="9">
      <c r="A9" s="8" t="inlineStr">
        <is>
          <t>Total issued and outstanding</t>
        </is>
      </c>
      <c r="B9" s="9" t="n">
        <v>712702365</v>
      </c>
      <c r="C9" s="12" t="n">
        <v>1</v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6" customHeight="1">
      <c r="A1" s="1" t="inlineStr">
        <is>
          <t>Key Performance Indicators &amp; Ratios</t>
        </is>
      </c>
    </row>
    <row r="2">
      <c r="A2" s="4" t="inlineStr">
        <is>
          <t>Derived from the financial statements. Margins on revenue; balance-sheet ratios at period-end.</t>
        </is>
      </c>
    </row>
    <row r="3">
      <c r="A3" s="5" t="inlineStr">
        <is>
          <t>Metric</t>
        </is>
      </c>
      <c r="B3" s="5" t="inlineStr">
        <is>
          <t>Q1 2026</t>
        </is>
      </c>
      <c r="C3" s="5" t="inlineStr">
        <is>
          <t>Q1 2025</t>
        </is>
      </c>
      <c r="D3" s="5" t="inlineStr">
        <is>
          <t>FY 2025</t>
        </is>
      </c>
      <c r="E3" s="5" t="inlineStr">
        <is>
          <t>FY 2024</t>
        </is>
      </c>
      <c r="F3" s="5" t="inlineStr">
        <is>
          <t>FY 2023</t>
        </is>
      </c>
    </row>
    <row r="4">
      <c r="A4" s="6" t="inlineStr">
        <is>
          <t>Revenue growth (YoY)</t>
        </is>
      </c>
      <c r="B4" s="11" t="n">
        <v>1.981</v>
      </c>
      <c r="C4" s="11" t="n"/>
      <c r="D4" s="11" t="n">
        <v>0.468</v>
      </c>
      <c r="E4" s="11" t="n">
        <v>1.02</v>
      </c>
      <c r="F4" s="11" t="n"/>
    </row>
    <row r="5">
      <c r="A5" s="6" t="inlineStr">
        <is>
          <t>Gross margin</t>
        </is>
      </c>
      <c r="B5" s="11" t="n">
        <v>0.793</v>
      </c>
      <c r="C5" s="11" t="n">
        <v>0.573</v>
      </c>
      <c r="D5" s="11" t="n">
        <v>0.604</v>
      </c>
      <c r="E5" s="11" t="n">
        <v>0.481</v>
      </c>
      <c r="F5" s="11" t="n">
        <v>-0.016</v>
      </c>
    </row>
    <row r="6">
      <c r="A6" s="6" t="inlineStr">
        <is>
          <t>Operating margin</t>
        </is>
      </c>
      <c r="B6" s="11" t="n">
        <v>0.715</v>
      </c>
      <c r="C6" s="11" t="n">
        <v>0.422</v>
      </c>
      <c r="D6" s="11" t="n">
        <v>0.486</v>
      </c>
      <c r="E6" s="11" t="n">
        <v>0.355</v>
      </c>
      <c r="F6" s="11" t="n">
        <v>-0.236</v>
      </c>
    </row>
    <row r="7">
      <c r="A7" s="6" t="inlineStr">
        <is>
          <t>Net margin</t>
        </is>
      </c>
      <c r="B7" s="11" t="n">
        <v>0.767</v>
      </c>
      <c r="C7" s="11" t="n">
        <v>0.46</v>
      </c>
      <c r="D7" s="11" t="n">
        <v>0.442</v>
      </c>
      <c r="E7" s="11" t="n">
        <v>0.299</v>
      </c>
      <c r="F7" s="11" t="n">
        <v>-0.279</v>
      </c>
    </row>
    <row r="8">
      <c r="A8" s="6" t="inlineStr">
        <is>
          <t>Adjusted EBITDA margin</t>
        </is>
      </c>
      <c r="B8" s="11" t="n">
        <v>0.786</v>
      </c>
      <c r="C8" s="11" t="n">
        <v>0.611</v>
      </c>
      <c r="D8" s="11" t="n">
        <v>0.629</v>
      </c>
      <c r="E8" s="11" t="n">
        <v>0.544</v>
      </c>
      <c r="F8" s="11" t="n">
        <v>0.18</v>
      </c>
    </row>
    <row r="9">
      <c r="A9" s="6" t="inlineStr">
        <is>
          <t>Capex / revenue</t>
        </is>
      </c>
      <c r="B9" s="11" t="n">
        <v>0.146</v>
      </c>
      <c r="C9" s="11" t="n">
        <v>0.356</v>
      </c>
      <c r="D9" s="11" t="n">
        <v>0.283</v>
      </c>
      <c r="E9" s="11" t="n">
        <v>0.241</v>
      </c>
      <c r="F9" s="11" t="n">
        <v>0.254</v>
      </c>
    </row>
    <row r="10">
      <c r="A10" s="6" t="inlineStr">
        <is>
          <t>DRAM % of revenue</t>
        </is>
      </c>
      <c r="B10" s="11" t="n">
        <v>0.773</v>
      </c>
      <c r="C10" s="11" t="n">
        <v>0.796</v>
      </c>
      <c r="D10" s="11" t="n">
        <v>0.771</v>
      </c>
      <c r="E10" s="11" t="n">
        <v>0.676</v>
      </c>
      <c r="F10" s="11" t="n">
        <v>0.634</v>
      </c>
    </row>
    <row r="11">
      <c r="A11" s="6" t="inlineStr">
        <is>
          <t>U.S. % of revenue</t>
        </is>
      </c>
      <c r="B11" s="11" t="n">
        <v>0.647</v>
      </c>
      <c r="C11" s="11" t="n">
        <v>0.725</v>
      </c>
      <c r="D11" s="11" t="n">
        <v>0.6879999999999999</v>
      </c>
      <c r="E11" s="11" t="n">
        <v>0.634</v>
      </c>
      <c r="F11" s="11" t="n">
        <v>0.47</v>
      </c>
    </row>
    <row r="13">
      <c r="A13" s="10" t="inlineStr">
        <is>
          <t>Balance-sheet ratios</t>
        </is>
      </c>
    </row>
    <row r="14">
      <c r="A14" s="17" t="inlineStr">
        <is>
          <t>Metric</t>
        </is>
      </c>
      <c r="B14" s="5" t="inlineStr">
        <is>
          <t>Mar 31, 2026</t>
        </is>
      </c>
      <c r="C14" s="5" t="inlineStr">
        <is>
          <t>Dec 31, 2025</t>
        </is>
      </c>
      <c r="D14" s="5" t="inlineStr">
        <is>
          <t>Dec 31, 2024</t>
        </is>
      </c>
      <c r="E14" s="5" t="inlineStr">
        <is>
          <t>Dec 31, 2023</t>
        </is>
      </c>
    </row>
    <row r="15">
      <c r="A15" s="6" t="inlineStr">
        <is>
          <t>Current ratio (x)</t>
        </is>
      </c>
      <c r="B15" s="14" t="n">
        <v>2.62</v>
      </c>
      <c r="C15" s="14" t="n">
        <v>1.86</v>
      </c>
      <c r="D15" s="14" t="n">
        <v>1.69</v>
      </c>
      <c r="E15" s="14" t="n">
        <v>1.45</v>
      </c>
    </row>
    <row r="16">
      <c r="A16" s="6" t="inlineStr">
        <is>
          <t>Total liabilities / equity (x)</t>
        </is>
      </c>
      <c r="B16" s="14" t="n">
        <v>0.36</v>
      </c>
      <c r="C16" s="14" t="n">
        <v>0.46</v>
      </c>
      <c r="D16" s="14" t="n">
        <v>0.62</v>
      </c>
      <c r="E16" s="14" t="n">
        <v>0.88</v>
      </c>
    </row>
    <row r="17">
      <c r="A17" s="6" t="inlineStr">
        <is>
          <t>Total borrowings (W bn)</t>
        </is>
      </c>
      <c r="B17" s="7" t="n">
        <v>19318</v>
      </c>
      <c r="C17" s="7" t="n">
        <v>22248</v>
      </c>
      <c r="D17" s="7" t="n">
        <v>22683</v>
      </c>
      <c r="E17" s="7" t="n">
        <v>29468</v>
      </c>
    </row>
    <row r="18">
      <c r="A18" s="6" t="inlineStr">
        <is>
          <t>Cash &amp; equivalents (W bn)</t>
        </is>
      </c>
      <c r="B18" s="7" t="n">
        <v>21167</v>
      </c>
      <c r="C18" s="7" t="n">
        <v>14924</v>
      </c>
      <c r="D18" s="7" t="n">
        <v>11205</v>
      </c>
      <c r="E18" s="7" t="n">
        <v>7587</v>
      </c>
    </row>
    <row r="19">
      <c r="A19" s="6" t="inlineStr">
        <is>
          <t>Equity / total assets</t>
        </is>
      </c>
      <c r="B19" s="11" t="n">
        <v>0.738</v>
      </c>
      <c r="C19" s="11" t="n">
        <v>0.6850000000000001</v>
      </c>
      <c r="D19" s="11" t="n">
        <v>0.617</v>
      </c>
      <c r="E19" s="11" t="n">
        <v>0.533</v>
      </c>
    </row>
    <row r="21">
      <c r="A21" s="4" t="inlineStr">
        <is>
          <t>Total borrowings = current + non-current borrowings. YoY growth omitted where the prior comparable period (Q1 2024 / FY2022) is not in the filing.</t>
        </is>
      </c>
    </row>
  </sheetData>
  <mergeCells count="3">
    <mergeCell ref="A2:F2"/>
    <mergeCell ref="A21:F2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2026-06-24T17:31:31Z</dcterms:created>
  <dcterms:modified xsi:type="dcterms:W3CDTF">2026-06-24T17:31:31Z</dcterms:modified>
</cp:coreProperties>
</file>