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Services Revenue" sheetId="1" state="visible" r:id="rId1"/>
    <sheet name="Quarterly Services Revenue" sheetId="2" state="visible" r:id="rId2"/>
    <sheet name="Revenue by Category" sheetId="3" state="visible" r:id="rId3"/>
    <sheet name="Services vs Hardware" sheetId="4" state="visible" r:id="rId4"/>
    <sheet name="Key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333333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D6EAFF"/>
        <bgColor rgb="00D6EA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Apple Annual Services Revenue ($B)</a:t>
            </a:r>
          </a:p>
        </rich>
      </tx>
    </title>
    <plotArea>
      <lineChart>
        <grouping val="standard"/>
        <ser>
          <idx val="0"/>
          <order val="0"/>
          <tx>
            <strRef>
              <f>'Annual Services Revenue'!B4</f>
            </strRef>
          </tx>
          <spPr>
            <a:ln w="28000">
              <a:solidFill>
                <a:srgbClr val="007A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Services Revenue'!$A$5:$A$18</f>
            </numRef>
          </cat>
          <val>
            <numRef>
              <f>'Annual Services Revenue'!$B$5:$B$18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($B)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Apple Quarterly Services Revenue ($B)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Services Revenue'!C4</f>
            </strRef>
          </tx>
          <spPr>
            <a:solidFill>
              <a:srgbClr val="007AFF"/>
            </a:solidFill>
            <a:ln>
              <a:prstDash val="solid"/>
            </a:ln>
          </spPr>
          <cat>
            <numRef>
              <f>'Quarterly Services Revenue'!$A$5:$A$30</f>
            </numRef>
          </cat>
          <val>
            <numRef>
              <f>'Quarterly Services Revenue'!$C$5:$C$30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Estimated Services Revenue by Category ($B)</a:t>
            </a:r>
          </a:p>
        </rich>
      </tx>
    </title>
    <plotArea>
      <barChart>
        <barDir val="col"/>
        <grouping val="stacked"/>
        <ser>
          <idx val="0"/>
          <order val="0"/>
          <tx>
            <v>App Store</v>
          </tx>
          <spPr>
            <a:solidFill>
              <a:srgbClr val="007AFF"/>
            </a:solidFill>
            <a:ln>
              <a:prstDash val="solid"/>
            </a:ln>
          </spPr>
          <cat>
            <numRef>
              <f>'Revenue by Category'!$B$4:$G$4</f>
            </numRef>
          </cat>
          <val>
            <numRef>
              <f>'Revenue by Category'!$B$5:$G$5</f>
            </numRef>
          </val>
        </ser>
        <ser>
          <idx val="1"/>
          <order val="1"/>
          <tx>
            <v>Licensing &amp; Search</v>
          </tx>
          <spPr>
            <a:solidFill>
              <a:srgbClr val="34C759"/>
            </a:solidFill>
            <a:ln>
              <a:prstDash val="solid"/>
            </a:ln>
          </spPr>
          <cat>
            <numRef>
              <f>'Revenue by Category'!$B$4:$G$4</f>
            </numRef>
          </cat>
          <val>
            <numRef>
              <f>'Revenue by Category'!$B$6:$G$6</f>
            </numRef>
          </val>
        </ser>
        <ser>
          <idx val="2"/>
          <order val="2"/>
          <tx>
            <v>iCloud</v>
          </tx>
          <spPr>
            <a:solidFill>
              <a:srgbClr val="5856D6"/>
            </a:solidFill>
            <a:ln>
              <a:prstDash val="solid"/>
            </a:ln>
          </spPr>
          <cat>
            <numRef>
              <f>'Revenue by Category'!$B$4:$G$4</f>
            </numRef>
          </cat>
          <val>
            <numRef>
              <f>'Revenue by Category'!$B$7:$G$7</f>
            </numRef>
          </val>
        </ser>
        <ser>
          <idx val="3"/>
          <order val="3"/>
          <tx>
            <v>AppleCare</v>
          </tx>
          <spPr>
            <a:solidFill>
              <a:srgbClr val="FF9500"/>
            </a:solidFill>
            <a:ln>
              <a:prstDash val="solid"/>
            </a:ln>
          </spPr>
          <cat>
            <numRef>
              <f>'Revenue by Category'!$B$4:$G$4</f>
            </numRef>
          </cat>
          <val>
            <numRef>
              <f>'Revenue by Category'!$B$8:$G$8</f>
            </numRef>
          </val>
        </ser>
        <ser>
          <idx val="4"/>
          <order val="4"/>
          <tx>
            <v>Apple Music</v>
          </tx>
          <spPr>
            <a:solidFill>
              <a:srgbClr val="FF2D55"/>
            </a:solidFill>
            <a:ln>
              <a:prstDash val="solid"/>
            </a:ln>
          </spPr>
          <cat>
            <numRef>
              <f>'Revenue by Category'!$B$4:$G$4</f>
            </numRef>
          </cat>
          <val>
            <numRef>
              <f>'Revenue by Category'!$B$9:$G$9</f>
            </numRef>
          </val>
        </ser>
        <ser>
          <idx val="5"/>
          <order val="5"/>
          <tx>
            <v>Apple Pay &amp; Financial</v>
          </tx>
          <spPr>
            <a:solidFill>
              <a:srgbClr val="AF52DE"/>
            </a:solidFill>
            <a:ln>
              <a:prstDash val="solid"/>
            </a:ln>
          </spPr>
          <cat>
            <numRef>
              <f>'Revenue by Category'!$B$4:$G$4</f>
            </numRef>
          </cat>
          <val>
            <numRef>
              <f>'Revenue by Category'!$B$10:$G$10</f>
            </numRef>
          </val>
        </ser>
        <ser>
          <idx val="6"/>
          <order val="6"/>
          <tx>
            <v>Apple TV+</v>
          </tx>
          <spPr>
            <a:solidFill>
              <a:srgbClr val="FFD60A"/>
            </a:solidFill>
            <a:ln>
              <a:prstDash val="solid"/>
            </a:ln>
          </spPr>
          <cat>
            <numRef>
              <f>'Revenue by Category'!$B$4:$G$4</f>
            </numRef>
          </cat>
          <val>
            <numRef>
              <f>'Revenue by Category'!$B$11:$G$11</f>
            </numRef>
          </val>
        </ser>
        <ser>
          <idx val="7"/>
          <order val="7"/>
          <tx>
            <v>Advertising</v>
          </tx>
          <spPr>
            <a:solidFill>
              <a:srgbClr val="64D2FF"/>
            </a:solidFill>
            <a:ln>
              <a:prstDash val="solid"/>
            </a:ln>
          </spPr>
          <cat>
            <numRef>
              <f>'Revenue by Category'!$B$4:$G$4</f>
            </numRef>
          </cat>
          <val>
            <numRef>
              <f>'Revenue by Category'!$B$12:$G$12</f>
            </numRef>
          </val>
        </ser>
        <ser>
          <idx val="8"/>
          <order val="8"/>
          <tx>
            <v>Other Services</v>
          </tx>
          <spPr>
            <a:solidFill>
              <a:srgbClr val="AC8E68"/>
            </a:solidFill>
            <a:ln>
              <a:prstDash val="solid"/>
            </a:ln>
          </spPr>
          <cat>
            <numRef>
              <f>'Revenue by Category'!$B$4:$G$4</f>
            </numRef>
          </cat>
          <val>
            <numRef>
              <f>'Revenue by Category'!$B$13:$G$13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Services vs Products Revenue ($B)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'Services vs Hardware'!B4</f>
            </strRef>
          </tx>
          <spPr>
            <a:solidFill>
              <a:srgbClr val="007AFF"/>
            </a:solidFill>
            <a:ln>
              <a:prstDash val="solid"/>
            </a:ln>
          </spPr>
          <cat>
            <numRef>
              <f>'Services vs Hardware'!$A$5:$A$11</f>
            </numRef>
          </cat>
          <val>
            <numRef>
              <f>'Services vs Hardware'!$B$5:$B$11</f>
            </numRef>
          </val>
        </ser>
        <ser>
          <idx val="1"/>
          <order val="1"/>
          <tx>
            <strRef>
              <f>'Services vs Hardware'!C4</f>
            </strRef>
          </tx>
          <spPr>
            <a:solidFill>
              <a:srgbClr val="CCCCCC"/>
            </a:solidFill>
            <a:ln>
              <a:prstDash val="solid"/>
            </a:ln>
          </spPr>
          <cat>
            <numRef>
              <f>'Services vs Hardware'!$A$5:$A$11</f>
            </numRef>
          </cat>
          <val>
            <numRef>
              <f>'Services vs Hardware'!$C$5:$C$11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115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8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007AFF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Apple Services Revenue — Annual Time Series (Fiscal Year)</t>
        </is>
      </c>
    </row>
    <row r="2">
      <c r="A2" s="2" t="inlineStr">
        <is>
          <t>Sources: Apple 10-K filings, ycharts, BusinessOfApps, TechLila. All figures in USD billions.</t>
        </is>
      </c>
    </row>
    <row r="4">
      <c r="A4" s="3" t="inlineStr">
        <is>
          <t>Fiscal Year</t>
        </is>
      </c>
      <c r="B4" s="3" t="inlineStr">
        <is>
          <t>Services Revenue ($B)</t>
        </is>
      </c>
      <c r="C4" s="3" t="inlineStr">
        <is>
          <t>Total Revenue ($B)</t>
        </is>
      </c>
      <c r="D4" s="3" t="inlineStr">
        <is>
          <t>Services % of Total</t>
        </is>
      </c>
      <c r="E4" s="3" t="inlineStr">
        <is>
          <t>YoY Growth (%)</t>
        </is>
      </c>
      <c r="F4" s="3" t="inlineStr">
        <is>
          <t>Services Gross Margin (%)</t>
        </is>
      </c>
    </row>
    <row r="5">
      <c r="A5" s="4" t="inlineStr">
        <is>
          <t>FY 2012</t>
        </is>
      </c>
      <c r="B5" s="5" t="n">
        <v>12.89</v>
      </c>
      <c r="C5" s="5" t="n">
        <v>156.51</v>
      </c>
      <c r="D5" s="6" t="n"/>
      <c r="E5" s="6" t="n"/>
      <c r="F5" s="6" t="n"/>
    </row>
    <row r="6">
      <c r="A6" s="7" t="inlineStr">
        <is>
          <t>FY 2013</t>
        </is>
      </c>
      <c r="B6" s="8" t="n">
        <v>16.05</v>
      </c>
      <c r="C6" s="8" t="n">
        <v>170.91</v>
      </c>
      <c r="D6" s="9" t="n"/>
      <c r="E6" s="8" t="n">
        <v>24.5</v>
      </c>
      <c r="F6" s="9" t="n"/>
    </row>
    <row r="7">
      <c r="A7" s="4" t="inlineStr">
        <is>
          <t>FY 2014</t>
        </is>
      </c>
      <c r="B7" s="5" t="n">
        <v>18.06</v>
      </c>
      <c r="C7" s="5" t="n">
        <v>182.8</v>
      </c>
      <c r="D7" s="6" t="n"/>
      <c r="E7" s="5" t="n">
        <v>12.5</v>
      </c>
      <c r="F7" s="6" t="n"/>
    </row>
    <row r="8">
      <c r="A8" s="7" t="inlineStr">
        <is>
          <t>FY 2015</t>
        </is>
      </c>
      <c r="B8" s="8" t="n">
        <v>19.91</v>
      </c>
      <c r="C8" s="8" t="n">
        <v>233.72</v>
      </c>
      <c r="D8" s="8" t="n">
        <v>8.5</v>
      </c>
      <c r="E8" s="8" t="n">
        <v>10.2</v>
      </c>
      <c r="F8" s="9" t="n"/>
    </row>
    <row r="9">
      <c r="A9" s="4" t="inlineStr">
        <is>
          <t>FY 2016</t>
        </is>
      </c>
      <c r="B9" s="5" t="n">
        <v>24.35</v>
      </c>
      <c r="C9" s="5" t="n">
        <v>215.64</v>
      </c>
      <c r="D9" s="5" t="n">
        <v>11.3</v>
      </c>
      <c r="E9" s="5" t="n">
        <v>22.3</v>
      </c>
      <c r="F9" s="6" t="n"/>
    </row>
    <row r="10">
      <c r="A10" s="7" t="inlineStr">
        <is>
          <t>FY 2017</t>
        </is>
      </c>
      <c r="B10" s="8" t="n">
        <v>32.7</v>
      </c>
      <c r="C10" s="8" t="n">
        <v>229.23</v>
      </c>
      <c r="D10" s="8" t="n">
        <v>14.3</v>
      </c>
      <c r="E10" s="8" t="n">
        <v>34.3</v>
      </c>
      <c r="F10" s="9" t="n"/>
    </row>
    <row r="11">
      <c r="A11" s="4" t="inlineStr">
        <is>
          <t>FY 2018</t>
        </is>
      </c>
      <c r="B11" s="5" t="n">
        <v>39.75</v>
      </c>
      <c r="C11" s="5" t="n">
        <v>265.6</v>
      </c>
      <c r="D11" s="5" t="n">
        <v>15</v>
      </c>
      <c r="E11" s="5" t="n">
        <v>21.6</v>
      </c>
      <c r="F11" s="6" t="n"/>
    </row>
    <row r="12">
      <c r="A12" s="7" t="inlineStr">
        <is>
          <t>FY 2019</t>
        </is>
      </c>
      <c r="B12" s="8" t="n">
        <v>46.29</v>
      </c>
      <c r="C12" s="8" t="n">
        <v>260.17</v>
      </c>
      <c r="D12" s="8" t="n">
        <v>17.8</v>
      </c>
      <c r="E12" s="8" t="n">
        <v>16.5</v>
      </c>
      <c r="F12" s="8" t="n">
        <v>63.7</v>
      </c>
    </row>
    <row r="13">
      <c r="A13" s="4" t="inlineStr">
        <is>
          <t>FY 2020</t>
        </is>
      </c>
      <c r="B13" s="5" t="n">
        <v>53.77</v>
      </c>
      <c r="C13" s="5" t="n">
        <v>274.52</v>
      </c>
      <c r="D13" s="5" t="n">
        <v>19.6</v>
      </c>
      <c r="E13" s="5" t="n">
        <v>16.2</v>
      </c>
      <c r="F13" s="5" t="n">
        <v>66</v>
      </c>
    </row>
    <row r="14">
      <c r="A14" s="7" t="inlineStr">
        <is>
          <t>FY 2021</t>
        </is>
      </c>
      <c r="B14" s="8" t="n">
        <v>68.42</v>
      </c>
      <c r="C14" s="8" t="n">
        <v>365.82</v>
      </c>
      <c r="D14" s="8" t="n">
        <v>18.7</v>
      </c>
      <c r="E14" s="8" t="n">
        <v>27.3</v>
      </c>
      <c r="F14" s="8" t="n">
        <v>69.7</v>
      </c>
    </row>
    <row r="15">
      <c r="A15" s="4" t="inlineStr">
        <is>
          <t>FY 2022</t>
        </is>
      </c>
      <c r="B15" s="5" t="n">
        <v>78.13</v>
      </c>
      <c r="C15" s="5" t="n">
        <v>394.33</v>
      </c>
      <c r="D15" s="5" t="n">
        <v>19.8</v>
      </c>
      <c r="E15" s="5" t="n">
        <v>14.2</v>
      </c>
      <c r="F15" s="5" t="n">
        <v>71.7</v>
      </c>
    </row>
    <row r="16">
      <c r="A16" s="7" t="inlineStr">
        <is>
          <t>FY 2023</t>
        </is>
      </c>
      <c r="B16" s="8" t="n">
        <v>85.2</v>
      </c>
      <c r="C16" s="8" t="n">
        <v>383.29</v>
      </c>
      <c r="D16" s="8" t="n">
        <v>22.2</v>
      </c>
      <c r="E16" s="8" t="n">
        <v>9.1</v>
      </c>
      <c r="F16" s="8" t="n">
        <v>70.8</v>
      </c>
    </row>
    <row r="17">
      <c r="A17" s="4" t="inlineStr">
        <is>
          <t>FY 2024</t>
        </is>
      </c>
      <c r="B17" s="5" t="n">
        <v>96.17</v>
      </c>
      <c r="C17" s="5" t="n">
        <v>391.04</v>
      </c>
      <c r="D17" s="5" t="n">
        <v>24.6</v>
      </c>
      <c r="E17" s="5" t="n">
        <v>12.9</v>
      </c>
      <c r="F17" s="5" t="n">
        <v>74</v>
      </c>
    </row>
    <row r="18">
      <c r="A18" s="7" t="inlineStr">
        <is>
          <t>FY 2025</t>
        </is>
      </c>
      <c r="B18" s="8" t="n">
        <v>109.16</v>
      </c>
      <c r="C18" s="8" t="n">
        <v>416.16</v>
      </c>
      <c r="D18" s="8" t="n">
        <v>26.2</v>
      </c>
      <c r="E18" s="8" t="n">
        <v>13.5</v>
      </c>
      <c r="F18" s="8" t="n">
        <v>75.3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4C759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Apple Services Revenue — Quarterly Time Series</t>
        </is>
      </c>
    </row>
    <row r="2">
      <c r="A2" s="2" t="inlineStr">
        <is>
          <t>Apple fiscal quarters: Q1=Oct-Dec, Q2=Jan-Mar, Q3=Apr-Jun, Q4=Jul-Sep. Figures in USD billions.</t>
        </is>
      </c>
    </row>
    <row r="4">
      <c r="A4" s="3" t="inlineStr">
        <is>
          <t>Fiscal Quarter</t>
        </is>
      </c>
      <c r="B4" s="3" t="inlineStr">
        <is>
          <t>Calendar Period</t>
        </is>
      </c>
      <c r="C4" s="3" t="inlineStr">
        <is>
          <t>Services Revenue ($B)</t>
        </is>
      </c>
      <c r="D4" s="3" t="inlineStr">
        <is>
          <t>QoQ Change (%)</t>
        </is>
      </c>
      <c r="E4" s="3" t="inlineStr">
        <is>
          <t>YoY Change (%)</t>
        </is>
      </c>
    </row>
    <row r="5">
      <c r="A5" s="4" t="inlineStr">
        <is>
          <t>FY20 Q1</t>
        </is>
      </c>
      <c r="B5" s="5" t="inlineStr">
        <is>
          <t>Oct–Dec 2019</t>
        </is>
      </c>
      <c r="C5" s="5" t="n">
        <v>12.72</v>
      </c>
      <c r="D5" s="6" t="n"/>
      <c r="E5" s="6" t="n"/>
    </row>
    <row r="6">
      <c r="A6" s="7" t="inlineStr">
        <is>
          <t>FY20 Q2</t>
        </is>
      </c>
      <c r="B6" s="8" t="inlineStr">
        <is>
          <t>Jan–Mar 2020</t>
        </is>
      </c>
      <c r="C6" s="8" t="n">
        <v>13.35</v>
      </c>
      <c r="D6" s="8" t="n">
        <v>5</v>
      </c>
      <c r="E6" s="9" t="n"/>
    </row>
    <row r="7">
      <c r="A7" s="4" t="inlineStr">
        <is>
          <t>FY20 Q3</t>
        </is>
      </c>
      <c r="B7" s="5" t="inlineStr">
        <is>
          <t>Apr–Jun 2020</t>
        </is>
      </c>
      <c r="C7" s="5" t="n">
        <v>13.16</v>
      </c>
      <c r="D7" s="5" t="n">
        <v>-1.4</v>
      </c>
      <c r="E7" s="6" t="n"/>
    </row>
    <row r="8">
      <c r="A8" s="7" t="inlineStr">
        <is>
          <t>FY20 Q4</t>
        </is>
      </c>
      <c r="B8" s="8" t="inlineStr">
        <is>
          <t>Jul–Sep 2020</t>
        </is>
      </c>
      <c r="C8" s="8" t="n">
        <v>14.55</v>
      </c>
      <c r="D8" s="8" t="n">
        <v>10.6</v>
      </c>
      <c r="E8" s="9" t="n"/>
    </row>
    <row r="9">
      <c r="A9" s="4" t="inlineStr">
        <is>
          <t>FY21 Q1</t>
        </is>
      </c>
      <c r="B9" s="5" t="inlineStr">
        <is>
          <t>Oct–Dec 2020</t>
        </is>
      </c>
      <c r="C9" s="5" t="n">
        <v>15.76</v>
      </c>
      <c r="D9" s="5" t="n">
        <v>8.300000000000001</v>
      </c>
      <c r="E9" s="5" t="n">
        <v>23.9</v>
      </c>
    </row>
    <row r="10">
      <c r="A10" s="7" t="inlineStr">
        <is>
          <t>FY21 Q2</t>
        </is>
      </c>
      <c r="B10" s="8" t="inlineStr">
        <is>
          <t>Jan–Mar 2021</t>
        </is>
      </c>
      <c r="C10" s="8" t="n">
        <v>16.9</v>
      </c>
      <c r="D10" s="8" t="n">
        <v>7.2</v>
      </c>
      <c r="E10" s="8" t="n">
        <v>26.6</v>
      </c>
    </row>
    <row r="11">
      <c r="A11" s="4" t="inlineStr">
        <is>
          <t>FY21 Q3</t>
        </is>
      </c>
      <c r="B11" s="5" t="inlineStr">
        <is>
          <t>Apr–Jun 2021</t>
        </is>
      </c>
      <c r="C11" s="5" t="n">
        <v>17.49</v>
      </c>
      <c r="D11" s="5" t="n">
        <v>3.5</v>
      </c>
      <c r="E11" s="5" t="n">
        <v>32.9</v>
      </c>
    </row>
    <row r="12">
      <c r="A12" s="7" t="inlineStr">
        <is>
          <t>FY21 Q4</t>
        </is>
      </c>
      <c r="B12" s="8" t="inlineStr">
        <is>
          <t>Jul–Sep 2021</t>
        </is>
      </c>
      <c r="C12" s="8" t="n">
        <v>18.28</v>
      </c>
      <c r="D12" s="8" t="n">
        <v>4.5</v>
      </c>
      <c r="E12" s="8" t="n">
        <v>25.6</v>
      </c>
    </row>
    <row r="13">
      <c r="A13" s="4" t="inlineStr">
        <is>
          <t>FY22 Q1</t>
        </is>
      </c>
      <c r="B13" s="5" t="inlineStr">
        <is>
          <t>Oct–Dec 2021</t>
        </is>
      </c>
      <c r="C13" s="5" t="n">
        <v>19.52</v>
      </c>
      <c r="D13" s="5" t="n">
        <v>6.8</v>
      </c>
      <c r="E13" s="5" t="n">
        <v>23.9</v>
      </c>
    </row>
    <row r="14">
      <c r="A14" s="7" t="inlineStr">
        <is>
          <t>FY22 Q2</t>
        </is>
      </c>
      <c r="B14" s="8" t="inlineStr">
        <is>
          <t>Jan–Mar 2022</t>
        </is>
      </c>
      <c r="C14" s="8" t="n">
        <v>19.82</v>
      </c>
      <c r="D14" s="8" t="n">
        <v>1.5</v>
      </c>
      <c r="E14" s="8" t="n">
        <v>17.3</v>
      </c>
    </row>
    <row r="15">
      <c r="A15" s="4" t="inlineStr">
        <is>
          <t>FY22 Q3</t>
        </is>
      </c>
      <c r="B15" s="5" t="inlineStr">
        <is>
          <t>Apr–Jun 2022</t>
        </is>
      </c>
      <c r="C15" s="5" t="n">
        <v>19.6</v>
      </c>
      <c r="D15" s="5" t="n">
        <v>-1.1</v>
      </c>
      <c r="E15" s="5" t="n">
        <v>12.1</v>
      </c>
    </row>
    <row r="16">
      <c r="A16" s="7" t="inlineStr">
        <is>
          <t>FY22 Q4</t>
        </is>
      </c>
      <c r="B16" s="8" t="inlineStr">
        <is>
          <t>Jul–Sep 2022</t>
        </is>
      </c>
      <c r="C16" s="8" t="n">
        <v>19.19</v>
      </c>
      <c r="D16" s="8" t="n">
        <v>-2.1</v>
      </c>
      <c r="E16" s="8" t="n">
        <v>5</v>
      </c>
    </row>
    <row r="17">
      <c r="A17" s="4" t="inlineStr">
        <is>
          <t>FY23 Q1</t>
        </is>
      </c>
      <c r="B17" s="5" t="inlineStr">
        <is>
          <t>Oct–Dec 2022</t>
        </is>
      </c>
      <c r="C17" s="5" t="n">
        <v>20.77</v>
      </c>
      <c r="D17" s="5" t="n">
        <v>8.199999999999999</v>
      </c>
      <c r="E17" s="5" t="n">
        <v>6.4</v>
      </c>
    </row>
    <row r="18">
      <c r="A18" s="7" t="inlineStr">
        <is>
          <t>FY23 Q2</t>
        </is>
      </c>
      <c r="B18" s="8" t="inlineStr">
        <is>
          <t>Jan–Mar 2023</t>
        </is>
      </c>
      <c r="C18" s="8" t="n">
        <v>20.91</v>
      </c>
      <c r="D18" s="8" t="n">
        <v>0.7</v>
      </c>
      <c r="E18" s="8" t="n">
        <v>5.5</v>
      </c>
    </row>
    <row r="19">
      <c r="A19" s="4" t="inlineStr">
        <is>
          <t>FY23 Q3</t>
        </is>
      </c>
      <c r="B19" s="5" t="inlineStr">
        <is>
          <t>Apr–Jun 2023</t>
        </is>
      </c>
      <c r="C19" s="5" t="n">
        <v>21.21</v>
      </c>
      <c r="D19" s="5" t="n">
        <v>1.4</v>
      </c>
      <c r="E19" s="5" t="n">
        <v>8.199999999999999</v>
      </c>
    </row>
    <row r="20">
      <c r="A20" s="7" t="inlineStr">
        <is>
          <t>FY23 Q4</t>
        </is>
      </c>
      <c r="B20" s="8" t="inlineStr">
        <is>
          <t>Jul–Sep 2023</t>
        </is>
      </c>
      <c r="C20" s="8" t="n">
        <v>22.31</v>
      </c>
      <c r="D20" s="8" t="n">
        <v>5.2</v>
      </c>
      <c r="E20" s="8" t="n">
        <v>16.3</v>
      </c>
    </row>
    <row r="21">
      <c r="A21" s="4" t="inlineStr">
        <is>
          <t>FY24 Q1</t>
        </is>
      </c>
      <c r="B21" s="5" t="inlineStr">
        <is>
          <t>Oct–Dec 2023</t>
        </is>
      </c>
      <c r="C21" s="5" t="n">
        <v>23.12</v>
      </c>
      <c r="D21" s="5" t="n">
        <v>3.6</v>
      </c>
      <c r="E21" s="5" t="n">
        <v>11.3</v>
      </c>
    </row>
    <row r="22">
      <c r="A22" s="7" t="inlineStr">
        <is>
          <t>FY24 Q2</t>
        </is>
      </c>
      <c r="B22" s="8" t="inlineStr">
        <is>
          <t>Jan–Mar 2024</t>
        </is>
      </c>
      <c r="C22" s="8" t="n">
        <v>23.87</v>
      </c>
      <c r="D22" s="8" t="n">
        <v>3.2</v>
      </c>
      <c r="E22" s="8" t="n">
        <v>14.2</v>
      </c>
    </row>
    <row r="23">
      <c r="A23" s="4" t="inlineStr">
        <is>
          <t>FY24 Q3</t>
        </is>
      </c>
      <c r="B23" s="5" t="inlineStr">
        <is>
          <t>Apr–Jun 2024</t>
        </is>
      </c>
      <c r="C23" s="5" t="n">
        <v>24.21</v>
      </c>
      <c r="D23" s="5" t="n">
        <v>1.4</v>
      </c>
      <c r="E23" s="5" t="n">
        <v>14.1</v>
      </c>
    </row>
    <row r="24">
      <c r="A24" s="7" t="inlineStr">
        <is>
          <t>FY24 Q4</t>
        </is>
      </c>
      <c r="B24" s="8" t="inlineStr">
        <is>
          <t>Jul–Sep 2024</t>
        </is>
      </c>
      <c r="C24" s="8" t="n">
        <v>24.97</v>
      </c>
      <c r="D24" s="8" t="n">
        <v>3.1</v>
      </c>
      <c r="E24" s="8" t="n">
        <v>11.9</v>
      </c>
    </row>
    <row r="25">
      <c r="A25" s="4" t="inlineStr">
        <is>
          <t>FY25 Q1</t>
        </is>
      </c>
      <c r="B25" s="5" t="inlineStr">
        <is>
          <t>Oct–Dec 2024</t>
        </is>
      </c>
      <c r="C25" s="5" t="n">
        <v>26.34</v>
      </c>
      <c r="D25" s="5" t="n">
        <v>5.5</v>
      </c>
      <c r="E25" s="5" t="n">
        <v>13.9</v>
      </c>
    </row>
    <row r="26">
      <c r="A26" s="7" t="inlineStr">
        <is>
          <t>FY25 Q2</t>
        </is>
      </c>
      <c r="B26" s="8" t="inlineStr">
        <is>
          <t>Jan–Mar 2025</t>
        </is>
      </c>
      <c r="C26" s="8" t="n">
        <v>26.64</v>
      </c>
      <c r="D26" s="8" t="n">
        <v>1.1</v>
      </c>
      <c r="E26" s="8" t="n">
        <v>11.6</v>
      </c>
    </row>
    <row r="27">
      <c r="A27" s="4" t="inlineStr">
        <is>
          <t>FY25 Q3</t>
        </is>
      </c>
      <c r="B27" s="5" t="inlineStr">
        <is>
          <t>Apr–Jun 2025</t>
        </is>
      </c>
      <c r="C27" s="5" t="n">
        <v>27.42</v>
      </c>
      <c r="D27" s="5" t="n">
        <v>2.9</v>
      </c>
      <c r="E27" s="5" t="n">
        <v>13.3</v>
      </c>
    </row>
    <row r="28">
      <c r="A28" s="7" t="inlineStr">
        <is>
          <t>FY25 Q4</t>
        </is>
      </c>
      <c r="B28" s="8" t="inlineStr">
        <is>
          <t>Jul–Sep 2025</t>
        </is>
      </c>
      <c r="C28" s="8" t="n">
        <v>28.75</v>
      </c>
      <c r="D28" s="8" t="n">
        <v>4.9</v>
      </c>
      <c r="E28" s="8" t="n">
        <v>15.1</v>
      </c>
    </row>
    <row r="29">
      <c r="A29" s="4" t="inlineStr">
        <is>
          <t>FY26 Q1</t>
        </is>
      </c>
      <c r="B29" s="5" t="inlineStr">
        <is>
          <t>Oct–Dec 2025</t>
        </is>
      </c>
      <c r="C29" s="5" t="n">
        <v>30.01</v>
      </c>
      <c r="D29" s="5" t="n">
        <v>4.4</v>
      </c>
      <c r="E29" s="5" t="n">
        <v>13.9</v>
      </c>
    </row>
    <row r="30">
      <c r="A30" s="7" t="inlineStr">
        <is>
          <t>FY26 Q2</t>
        </is>
      </c>
      <c r="B30" s="8" t="inlineStr">
        <is>
          <t>Jan–Mar 2026</t>
        </is>
      </c>
      <c r="C30" s="8" t="n">
        <v>30.98</v>
      </c>
      <c r="D30" s="8" t="n">
        <v>3.2</v>
      </c>
      <c r="E30" s="8" t="n">
        <v>16.3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950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2" customWidth="1" min="8" max="8"/>
  </cols>
  <sheetData>
    <row r="1">
      <c r="A1" s="1" t="inlineStr">
        <is>
          <t>Apple Services Revenue — Estimated Breakdown by Category</t>
        </is>
      </c>
    </row>
    <row r="2">
      <c r="A2" s="2" t="inlineStr">
        <is>
          <t>Note: Apple does not disclose individual service revenues. Estimates from analyst reports (TechLila, Trefis, industry sources). Figures in USD billions.</t>
        </is>
      </c>
    </row>
    <row r="4">
      <c r="A4" s="3" t="inlineStr">
        <is>
          <t>Category</t>
        </is>
      </c>
      <c r="B4" s="3" t="inlineStr">
        <is>
          <t>FY 2020 ($B)</t>
        </is>
      </c>
      <c r="C4" s="3" t="inlineStr">
        <is>
          <t>FY 2021 ($B)</t>
        </is>
      </c>
      <c r="D4" s="3" t="inlineStr">
        <is>
          <t>FY 2022 ($B)</t>
        </is>
      </c>
      <c r="E4" s="3" t="inlineStr">
        <is>
          <t>FY 2023 ($B)</t>
        </is>
      </c>
      <c r="F4" s="3" t="inlineStr">
        <is>
          <t>FY 2024 ($B)</t>
        </is>
      </c>
      <c r="G4" s="3" t="inlineStr">
        <is>
          <t>FY 2025 ($B)</t>
        </is>
      </c>
      <c r="H4" s="3" t="inlineStr">
        <is>
          <t>Description</t>
        </is>
      </c>
    </row>
    <row r="5">
      <c r="A5" s="4" t="inlineStr">
        <is>
          <t>App Store</t>
        </is>
      </c>
      <c r="B5" s="10" t="n">
        <v>18</v>
      </c>
      <c r="C5" s="10" t="n">
        <v>22</v>
      </c>
      <c r="D5" s="10" t="n">
        <v>24</v>
      </c>
      <c r="E5" s="10" t="n">
        <v>26</v>
      </c>
      <c r="F5" s="10" t="n">
        <v>30</v>
      </c>
      <c r="G5" s="10" t="n">
        <v>33</v>
      </c>
      <c r="H5" s="10" t="inlineStr">
        <is>
          <t>Commissions on app sales &amp; in-app purchases</t>
        </is>
      </c>
    </row>
    <row r="6">
      <c r="A6" s="7" t="inlineStr">
        <is>
          <t>Licensing &amp; Search</t>
        </is>
      </c>
      <c r="B6" s="11" t="n">
        <v>8.5</v>
      </c>
      <c r="C6" s="11" t="n">
        <v>12</v>
      </c>
      <c r="D6" s="11" t="n">
        <v>14</v>
      </c>
      <c r="E6" s="11" t="n">
        <v>16</v>
      </c>
      <c r="F6" s="11" t="n">
        <v>18</v>
      </c>
      <c r="G6" s="11" t="n">
        <v>20</v>
      </c>
      <c r="H6" s="11" t="inlineStr">
        <is>
          <t>Google search deal, other licensing agreements</t>
        </is>
      </c>
    </row>
    <row r="7">
      <c r="A7" s="4" t="inlineStr">
        <is>
          <t>iCloud</t>
        </is>
      </c>
      <c r="B7" s="10" t="n">
        <v>4.5</v>
      </c>
      <c r="C7" s="10" t="n">
        <v>5.5</v>
      </c>
      <c r="D7" s="10" t="n">
        <v>7</v>
      </c>
      <c r="E7" s="10" t="n">
        <v>8</v>
      </c>
      <c r="F7" s="10" t="n">
        <v>9</v>
      </c>
      <c r="G7" s="10" t="n">
        <v>10.5</v>
      </c>
      <c r="H7" s="10" t="inlineStr">
        <is>
          <t>Paid cloud storage subscriptions</t>
        </is>
      </c>
    </row>
    <row r="8">
      <c r="A8" s="7" t="inlineStr">
        <is>
          <t>AppleCare</t>
        </is>
      </c>
      <c r="B8" s="11" t="n">
        <v>6</v>
      </c>
      <c r="C8" s="11" t="n">
        <v>6.5</v>
      </c>
      <c r="D8" s="11" t="n">
        <v>7</v>
      </c>
      <c r="E8" s="11" t="n">
        <v>7.5</v>
      </c>
      <c r="F8" s="11" t="n">
        <v>8</v>
      </c>
      <c r="G8" s="11" t="n">
        <v>8.5</v>
      </c>
      <c r="H8" s="11" t="inlineStr">
        <is>
          <t>Extended warranty &amp; support services</t>
        </is>
      </c>
    </row>
    <row r="9">
      <c r="A9" s="4" t="inlineStr">
        <is>
          <t>Apple Music</t>
        </is>
      </c>
      <c r="B9" s="10" t="n">
        <v>5</v>
      </c>
      <c r="C9" s="10" t="n">
        <v>6</v>
      </c>
      <c r="D9" s="10" t="n">
        <v>7</v>
      </c>
      <c r="E9" s="10" t="n">
        <v>7.5</v>
      </c>
      <c r="F9" s="10" t="n">
        <v>8.5</v>
      </c>
      <c r="G9" s="10" t="n">
        <v>9</v>
      </c>
      <c r="H9" s="10" t="inlineStr">
        <is>
          <t>Music streaming subscriptions</t>
        </is>
      </c>
    </row>
    <row r="10">
      <c r="A10" s="7" t="inlineStr">
        <is>
          <t>Apple Pay &amp; Financial</t>
        </is>
      </c>
      <c r="B10" s="11" t="n">
        <v>1.5</v>
      </c>
      <c r="C10" s="11" t="n">
        <v>2.5</v>
      </c>
      <c r="D10" s="11" t="n">
        <v>3.5</v>
      </c>
      <c r="E10" s="11" t="n">
        <v>4</v>
      </c>
      <c r="F10" s="11" t="n">
        <v>5</v>
      </c>
      <c r="G10" s="11" t="n">
        <v>6</v>
      </c>
      <c r="H10" s="11" t="inlineStr">
        <is>
          <t>Transaction fees, Apple Card, Apple Pay Later</t>
        </is>
      </c>
    </row>
    <row r="11">
      <c r="A11" s="4" t="inlineStr">
        <is>
          <t>Apple TV+</t>
        </is>
      </c>
      <c r="B11" s="10" t="n">
        <v>1</v>
      </c>
      <c r="C11" s="10" t="n">
        <v>2</v>
      </c>
      <c r="D11" s="10" t="n">
        <v>2.5</v>
      </c>
      <c r="E11" s="10" t="n">
        <v>2.5</v>
      </c>
      <c r="F11" s="10" t="n">
        <v>2.7</v>
      </c>
      <c r="G11" s="10" t="n">
        <v>3</v>
      </c>
      <c r="H11" s="10" t="inlineStr">
        <is>
          <t>Streaming subscriptions &amp; content licensing</t>
        </is>
      </c>
    </row>
    <row r="12">
      <c r="A12" s="7" t="inlineStr">
        <is>
          <t>Advertising</t>
        </is>
      </c>
      <c r="B12" s="11" t="n">
        <v>3</v>
      </c>
      <c r="C12" s="11" t="n">
        <v>4</v>
      </c>
      <c r="D12" s="11" t="n">
        <v>5</v>
      </c>
      <c r="E12" s="11" t="n">
        <v>5.5</v>
      </c>
      <c r="F12" s="11" t="n">
        <v>6</v>
      </c>
      <c r="G12" s="11" t="n">
        <v>7</v>
      </c>
      <c r="H12" s="11" t="inlineStr">
        <is>
          <t>Search Ads, News, Stocks, App Store ads</t>
        </is>
      </c>
    </row>
    <row r="13">
      <c r="A13" s="4" t="inlineStr">
        <is>
          <t>Other Services</t>
        </is>
      </c>
      <c r="B13" s="10" t="n">
        <v>6.3</v>
      </c>
      <c r="C13" s="10" t="n">
        <v>7.9</v>
      </c>
      <c r="D13" s="10" t="n">
        <v>8.1</v>
      </c>
      <c r="E13" s="10" t="n">
        <v>8.199999999999999</v>
      </c>
      <c r="F13" s="10" t="n">
        <v>9</v>
      </c>
      <c r="G13" s="10" t="n">
        <v>12.2</v>
      </c>
      <c r="H13" s="10" t="inlineStr">
        <is>
          <t>Fitness+, Arcade, News+, Maps, other</t>
        </is>
      </c>
    </row>
    <row r="14">
      <c r="A14" s="7" t="inlineStr">
        <is>
          <t>TOTAL (Reported)</t>
        </is>
      </c>
      <c r="B14" s="11" t="n">
        <v>53.8</v>
      </c>
      <c r="C14" s="11" t="n">
        <v>68.40000000000001</v>
      </c>
      <c r="D14" s="11" t="n">
        <v>78.09999999999999</v>
      </c>
      <c r="E14" s="11" t="n">
        <v>85.2</v>
      </c>
      <c r="F14" s="11" t="n">
        <v>96.2</v>
      </c>
      <c r="G14" s="11" t="n">
        <v>109.2</v>
      </c>
      <c r="H14" s="9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2D55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Apple Services vs Hardware — Revenue &amp; Profitability Comparison</t>
        </is>
      </c>
    </row>
    <row r="2">
      <c r="A2" s="2" t="inlineStr">
        <is>
          <t>Sources: Apple 10-K filings. Figures in USD billions.</t>
        </is>
      </c>
    </row>
    <row r="4">
      <c r="A4" s="3" t="inlineStr">
        <is>
          <t>Fiscal Year</t>
        </is>
      </c>
      <c r="B4" s="3" t="inlineStr">
        <is>
          <t>Services Rev ($B)</t>
        </is>
      </c>
      <c r="C4" s="3" t="inlineStr">
        <is>
          <t>Products Rev ($B)</t>
        </is>
      </c>
      <c r="D4" s="3" t="inlineStr">
        <is>
          <t>Services Gross Margin (%)</t>
        </is>
      </c>
      <c r="E4" s="3" t="inlineStr">
        <is>
          <t>Products Gross Margin (%)</t>
        </is>
      </c>
      <c r="F4" s="3" t="inlineStr">
        <is>
          <t>Services % of Total Rev</t>
        </is>
      </c>
    </row>
    <row r="5">
      <c r="A5" s="4" t="inlineStr">
        <is>
          <t>FY 2019</t>
        </is>
      </c>
      <c r="B5" s="5" t="n">
        <v>46.29</v>
      </c>
      <c r="C5" s="5" t="n">
        <v>213.88</v>
      </c>
      <c r="D5" s="5" t="n">
        <v>63.7</v>
      </c>
      <c r="E5" s="5" t="n">
        <v>32.2</v>
      </c>
      <c r="F5" s="5" t="n">
        <v>17.8</v>
      </c>
    </row>
    <row r="6">
      <c r="A6" s="7" t="inlineStr">
        <is>
          <t>FY 2020</t>
        </is>
      </c>
      <c r="B6" s="8" t="n">
        <v>53.77</v>
      </c>
      <c r="C6" s="8" t="n">
        <v>220.75</v>
      </c>
      <c r="D6" s="8" t="n">
        <v>66</v>
      </c>
      <c r="E6" s="8" t="n">
        <v>31.5</v>
      </c>
      <c r="F6" s="8" t="n">
        <v>19.6</v>
      </c>
    </row>
    <row r="7">
      <c r="A7" s="4" t="inlineStr">
        <is>
          <t>FY 2021</t>
        </is>
      </c>
      <c r="B7" s="5" t="n">
        <v>68.42</v>
      </c>
      <c r="C7" s="5" t="n">
        <v>297.39</v>
      </c>
      <c r="D7" s="5" t="n">
        <v>69.7</v>
      </c>
      <c r="E7" s="5" t="n">
        <v>35.3</v>
      </c>
      <c r="F7" s="5" t="n">
        <v>18.7</v>
      </c>
    </row>
    <row r="8">
      <c r="A8" s="7" t="inlineStr">
        <is>
          <t>FY 2022</t>
        </is>
      </c>
      <c r="B8" s="8" t="n">
        <v>78.13</v>
      </c>
      <c r="C8" s="8" t="n">
        <v>316.2</v>
      </c>
      <c r="D8" s="8" t="n">
        <v>71.7</v>
      </c>
      <c r="E8" s="8" t="n">
        <v>36.3</v>
      </c>
      <c r="F8" s="8" t="n">
        <v>19.8</v>
      </c>
    </row>
    <row r="9">
      <c r="A9" s="4" t="inlineStr">
        <is>
          <t>FY 2023</t>
        </is>
      </c>
      <c r="B9" s="5" t="n">
        <v>85.2</v>
      </c>
      <c r="C9" s="5" t="n">
        <v>298.09</v>
      </c>
      <c r="D9" s="5" t="n">
        <v>70.8</v>
      </c>
      <c r="E9" s="5" t="n">
        <v>36.5</v>
      </c>
      <c r="F9" s="5" t="n">
        <v>22.2</v>
      </c>
    </row>
    <row r="10">
      <c r="A10" s="7" t="inlineStr">
        <is>
          <t>FY 2024</t>
        </is>
      </c>
      <c r="B10" s="8" t="n">
        <v>96.17</v>
      </c>
      <c r="C10" s="8" t="n">
        <v>294.87</v>
      </c>
      <c r="D10" s="8" t="n">
        <v>74</v>
      </c>
      <c r="E10" s="8" t="n">
        <v>36.2</v>
      </c>
      <c r="F10" s="8" t="n">
        <v>24.6</v>
      </c>
    </row>
    <row r="11">
      <c r="A11" s="4" t="inlineStr">
        <is>
          <t>FY 2025</t>
        </is>
      </c>
      <c r="B11" s="5" t="n">
        <v>109.16</v>
      </c>
      <c r="C11" s="5" t="n">
        <v>307</v>
      </c>
      <c r="D11" s="5" t="n">
        <v>75.3</v>
      </c>
      <c r="E11" s="5" t="n">
        <v>36.2</v>
      </c>
      <c r="F11" s="5" t="n">
        <v>26.2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856D6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Apple Services — Key Metrics &amp; Subscriber Data (2025)</t>
        </is>
      </c>
    </row>
    <row r="2">
      <c r="A2" s="2" t="inlineStr">
        <is>
          <t>Sources: Apple earnings calls, TechLila, analyst estimates.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Period</t>
        </is>
      </c>
      <c r="D4" s="3" t="inlineStr">
        <is>
          <t>Notes</t>
        </is>
      </c>
    </row>
    <row r="5">
      <c r="A5" s="4" t="inlineStr">
        <is>
          <t>Total Paid Subscriptions</t>
        </is>
      </c>
      <c r="B5" s="6" t="inlineStr">
        <is>
          <t>1+ billion</t>
        </is>
      </c>
      <c r="C5" s="6" t="inlineStr">
        <is>
          <t>2025</t>
        </is>
      </c>
      <c r="D5" s="6" t="n"/>
    </row>
    <row r="6">
      <c r="A6" s="7" t="inlineStr">
        <is>
          <t>App Store Weekly Active Users</t>
        </is>
      </c>
      <c r="B6" s="9" t="inlineStr">
        <is>
          <t>850 million</t>
        </is>
      </c>
      <c r="C6" s="9" t="inlineStr">
        <is>
          <t>2025</t>
        </is>
      </c>
      <c r="D6" s="9" t="n"/>
    </row>
    <row r="7">
      <c r="A7" s="4" t="inlineStr">
        <is>
          <t>Apple Music Subscribers</t>
        </is>
      </c>
      <c r="B7" s="6" t="inlineStr">
        <is>
          <t>~100 million</t>
        </is>
      </c>
      <c r="C7" s="6" t="inlineStr">
        <is>
          <t>2025</t>
        </is>
      </c>
      <c r="D7" s="6" t="n"/>
    </row>
    <row r="8">
      <c r="A8" s="7" t="inlineStr">
        <is>
          <t>Apple TV+ Subscribers</t>
        </is>
      </c>
      <c r="B8" s="9" t="inlineStr">
        <is>
          <t>~40–50 million</t>
        </is>
      </c>
      <c r="C8" s="9" t="inlineStr">
        <is>
          <t>2025 est.</t>
        </is>
      </c>
      <c r="D8" s="9" t="n"/>
    </row>
    <row r="9">
      <c r="A9" s="4" t="inlineStr">
        <is>
          <t>iCloud Active Users</t>
        </is>
      </c>
      <c r="B9" s="6" t="inlineStr">
        <is>
          <t>850+ million</t>
        </is>
      </c>
      <c r="C9" s="6" t="inlineStr">
        <is>
          <t>2025</t>
        </is>
      </c>
      <c r="D9" s="6" t="n"/>
    </row>
    <row r="10">
      <c r="A10" s="7" t="inlineStr">
        <is>
          <t>Apple Pay Markets</t>
        </is>
      </c>
      <c r="B10" s="9" t="inlineStr">
        <is>
          <t>90+</t>
        </is>
      </c>
      <c r="C10" s="9" t="inlineStr">
        <is>
          <t>2026</t>
        </is>
      </c>
      <c r="D10" s="9" t="n"/>
    </row>
    <row r="11">
      <c r="A11" s="4" t="inlineStr">
        <is>
          <t>Apple Pay Bank/Network Partners</t>
        </is>
      </c>
      <c r="B11" s="6" t="inlineStr">
        <is>
          <t>11,000+</t>
        </is>
      </c>
      <c r="C11" s="6" t="inlineStr">
        <is>
          <t>2025</t>
        </is>
      </c>
      <c r="D11" s="6" t="n"/>
    </row>
    <row r="12">
      <c r="A12" s="7" t="inlineStr">
        <is>
          <t>Apple TV+ Viewing Hours Growth</t>
        </is>
      </c>
      <c r="B12" s="9" t="inlineStr">
        <is>
          <t>+36% YoY</t>
        </is>
      </c>
      <c r="C12" s="9" t="inlineStr">
        <is>
          <t>Dec 2025</t>
        </is>
      </c>
      <c r="D12" s="9" t="n"/>
    </row>
    <row r="13">
      <c r="A13" s="4" t="inlineStr">
        <is>
          <t>Services Gross Margin</t>
        </is>
      </c>
      <c r="B13" s="6" t="inlineStr">
        <is>
          <t>75.3%</t>
        </is>
      </c>
      <c r="C13" s="6" t="inlineStr">
        <is>
          <t>FY25 Q4</t>
        </is>
      </c>
      <c r="D13" s="6" t="n"/>
    </row>
    <row r="14">
      <c r="A14" s="7" t="inlineStr">
        <is>
          <t>Products Gross Margin</t>
        </is>
      </c>
      <c r="B14" s="9" t="inlineStr">
        <is>
          <t>36.2%</t>
        </is>
      </c>
      <c r="C14" s="9" t="inlineStr">
        <is>
          <t>FY25 Q4</t>
        </is>
      </c>
      <c r="D14" s="9" t="n"/>
    </row>
    <row r="15">
      <c r="A15" s="4" t="inlineStr">
        <is>
          <t>Services Revenue CAGR (FY15–FY25)</t>
        </is>
      </c>
      <c r="B15" s="6" t="inlineStr">
        <is>
          <t>~18.6%</t>
        </is>
      </c>
      <c r="C15" s="6" t="inlineStr">
        <is>
          <t>10-year</t>
        </is>
      </c>
      <c r="D15" s="6" t="n"/>
    </row>
    <row r="16">
      <c r="A16" s="7" t="inlineStr">
        <is>
          <t>App Store Annual Revenue</t>
        </is>
      </c>
      <c r="B16" s="9" t="inlineStr">
        <is>
          <t>~$33B</t>
        </is>
      </c>
      <c r="C16" s="9" t="inlineStr">
        <is>
          <t>FY 2025 est.</t>
        </is>
      </c>
      <c r="D16" s="9" t="n"/>
    </row>
    <row r="17">
      <c r="A17" s="4" t="inlineStr">
        <is>
          <t>iCloud Annual Revenue</t>
        </is>
      </c>
      <c r="B17" s="6" t="inlineStr">
        <is>
          <t>~$10.5B</t>
        </is>
      </c>
      <c r="C17" s="6" t="inlineStr">
        <is>
          <t>FY 2025 est.</t>
        </is>
      </c>
      <c r="D17" s="6" t="n"/>
    </row>
    <row r="18">
      <c r="A18" s="7" t="inlineStr">
        <is>
          <t>Licensing/Search Annual Revenue</t>
        </is>
      </c>
      <c r="B18" s="9" t="inlineStr">
        <is>
          <t>~$20B</t>
        </is>
      </c>
      <c r="C18" s="9" t="inlineStr">
        <is>
          <t>FY 2025 est.</t>
        </is>
      </c>
      <c r="D18" s="9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2026-05-01T17:44:06Z</dcterms:created>
  <dcterms:modified xsi:type="dcterms:W3CDTF">2026-05-01T17:44:06Z</dcterms:modified>
</cp:coreProperties>
</file>