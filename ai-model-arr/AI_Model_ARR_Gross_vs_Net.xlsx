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ontier" sheetId="2" state="visible" r:id="rId2"/>
    <sheet name="Open_Weight" sheetId="3" state="visible" r:id="rId3"/>
    <sheet name="Assumptions" sheetId="4" state="visible" r:id="rId4"/>
    <sheet name="Anthropic_Sensitivity" sheetId="5" state="visible" r:id="rId5"/>
    <sheet name="Methodology" sheetId="6" state="visible" r:id="rId6"/>
    <sheet name="Sources" sheetId="7" state="visible" r:id="rId7"/>
  </sheets>
  <definedNames>
    <definedName name="_xlnm._FilterDatabase" localSheetId="1" hidden="1">'Frontier'!$A$4:$P$9</definedName>
    <definedName name="_xlnm._FilterDatabase" localSheetId="2" hidden="1">'Open_Weight'!$A$4:$P$14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–&quot;"/>
    <numFmt numFmtId="165" formatCode="#,##0.00;[Red](#,##0.00);&quot;–&quot;"/>
    <numFmt numFmtId="166" formatCode="0.00;[Red]-0.00;&quot;OK&quot;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1F3864"/>
      <sz val="11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1F3864"/>
      </top>
      <bottom style="double">
        <color rgb="001F3864"/>
      </bottom>
    </border>
    <border/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3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3" borderId="2" pivotButton="0" quotePrefix="0" xfId="0"/>
    <xf numFmtId="1" fontId="6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0" fontId="4" fillId="0" borderId="0" pivotButton="0" quotePrefix="0" xfId="0"/>
    <xf numFmtId="164" fontId="6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166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165" fontId="6" fillId="3" borderId="2" pivotButton="0" quotePrefix="0" xfId="0"/>
    <xf numFmtId="164" fontId="6" fillId="3" borderId="2" pivotButton="0" quotePrefix="0" xfId="0"/>
    <xf numFmtId="165" fontId="5" fillId="0" borderId="1" pivotButton="0" quotePrefix="0" xfId="0"/>
    <xf numFmtId="0" fontId="2" fillId="0" borderId="1" pivotButton="0" quotePrefix="0" xfId="0"/>
    <xf numFmtId="0" fontId="0" fillId="3" borderId="2" pivotButton="0" quotePrefix="0" xfId="0"/>
    <xf numFmtId="165" fontId="6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5" fillId="0" borderId="1" pivotButton="0" quotePrefix="0" xfId="0"/>
    <xf numFmtId="165" fontId="6" fillId="3" borderId="1" pivotButton="0" quotePrefix="0" xfId="0"/>
    <xf numFmtId="164" fontId="6" fillId="3" borderId="1" pivotButton="0" quotePrefix="0" xfId="0"/>
    <xf numFmtId="164" fontId="7" fillId="4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i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vs. net ARR by lab ($B)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'Summary'!D15</f>
            </strRef>
          </tx>
          <spPr>
            <a:ln>
              <a:prstDash val="solid"/>
            </a:ln>
          </spPr>
          <cat>
            <numRef>
              <f>'Summary'!$B$16:$B$30</f>
            </numRef>
          </cat>
          <val>
            <numRef>
              <f>'Summary'!$D$16:$D$30</f>
            </numRef>
          </val>
        </ser>
        <ser>
          <idx val="1"/>
          <order val="1"/>
          <tx>
            <strRef>
              <f>'Summary'!E15</f>
            </strRef>
          </tx>
          <spPr>
            <a:ln>
              <a:prstDash val="solid"/>
            </a:ln>
          </spPr>
          <cat>
            <numRef>
              <f>'Summary'!$B$16:$B$30</f>
            </numRef>
          </cat>
          <val>
            <numRef>
              <f>'Summary'!$E$16:$E$30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$B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vesting.com/news/stock-market-news/openais-annualized-revenue-20-billion-less-than-previously-signaled-ft-reports-4939854" TargetMode="External" Id="rId1" /><Relationship Type="http://schemas.openxmlformats.org/officeDocument/2006/relationships/hyperlink" Target="https://www.cnbc.com/2026/10/08/open-ai-revenue-nvidia-oracle-coreweave.html" TargetMode="External" Id="rId2" /><Relationship Type="http://schemas.openxmlformats.org/officeDocument/2006/relationships/hyperlink" Target="https://www.axios.com/2026/10/08/openai-50-billion-arr-anthropic-revenue-accounting" TargetMode="External" Id="rId3" /><Relationship Type="http://schemas.openxmlformats.org/officeDocument/2006/relationships/hyperlink" Target="https://finance.yahoo.com/technology/ai/articles/openai-expects-70-billion-annualized-014338719.html" TargetMode="External" Id="rId4" /><Relationship Type="http://schemas.openxmlformats.org/officeDocument/2006/relationships/hyperlink" Target="https://techcrunch.com/2025/11/14/leaked-documents-shed-light-into-how-much-openai-pays-microsoft/" TargetMode="External" Id="rId5" /><Relationship Type="http://schemas.openxmlformats.org/officeDocument/2006/relationships/hyperlink" Target="https://openai.com/index/next-phase-of-microsoft-partnership/" TargetMode="External" Id="rId6" /><Relationship Type="http://schemas.openxmlformats.org/officeDocument/2006/relationships/hyperlink" Target="https://www.forbes.com/sites/josipamajic/2026/03/25/openai-and-anthropic-count-revenue-differently-and-investors-are-looking-into-it/" TargetMode="External" Id="rId7" /><Relationship Type="http://schemas.openxmlformats.org/officeDocument/2006/relationships/hyperlink" Target="https://www.reuters.com/technology/anthropic-revenue-run-rate-tops-65-billion-source-says-2026-08-17/" TargetMode="External" Id="rId8" /><Relationship Type="http://schemas.openxmlformats.org/officeDocument/2006/relationships/hyperlink" Target="https://www.axios.com/2026/08/17/anthropic-revenue-run-rate-ipo-openai" TargetMode="External" Id="rId9" /><Relationship Type="http://schemas.openxmlformats.org/officeDocument/2006/relationships/hyperlink" Target="https://www.cnbc.com/2026/10/15/anthropics-third-quarter-revenue-hits-16point8-billion-ipo.html" TargetMode="External" Id="rId10" /><Relationship Type="http://schemas.openxmlformats.org/officeDocument/2006/relationships/hyperlink" Target="https://www.investing.com/news/stock-market-news/exclusiveanthropic-ipo-prospectus-lays-bare-deep-dependence-on-big-tech-partners-4923585" TargetMode="External" Id="rId11" /><Relationship Type="http://schemas.openxmlformats.org/officeDocument/2006/relationships/hyperlink" Target="https://newsletter.semianalysis.com/p/anthropic-growth-and-bedrock-mix" TargetMode="External" Id="rId12" /><Relationship Type="http://schemas.openxmlformats.org/officeDocument/2006/relationships/hyperlink" Target="https://newsletter.semianalysis.com/p/gemini-is-cooked-but-gcp-is-cooking" TargetMode="External" Id="rId13" /><Relationship Type="http://schemas.openxmlformats.org/officeDocument/2006/relationships/hyperlink" Target="https://thecomputechain.substack.com/p/beyond-openai-and-anthropic-how-much" TargetMode="External" Id="rId14" /><Relationship Type="http://schemas.openxmlformats.org/officeDocument/2006/relationships/hyperlink" Target="https://presenc.ai/research/ai-lab-revenue-and-valuation-2026" TargetMode="External" Id="rId15" /><Relationship Type="http://schemas.openxmlformats.org/officeDocument/2006/relationships/hyperlink" Target="https://valueaddvc.com/blog/xai-revenue-how-grok-and-the-api-actually-make-money" TargetMode="External" Id="rId16" /><Relationship Type="http://schemas.openxmlformats.org/officeDocument/2006/relationships/hyperlink" Target="https://sacra.com/research/why-spacex-acquired-xai/" TargetMode="External" Id="rId17" /><Relationship Type="http://schemas.openxmlformats.org/officeDocument/2006/relationships/hyperlink" Target="https://finance.yahoo.com/technology/ai/articles/meta-launches-paid-muse-spark-205823294.html" TargetMode="External" Id="rId18" /><Relationship Type="http://schemas.openxmlformats.org/officeDocument/2006/relationships/hyperlink" Target="https://routers.vantage.sh/providers/meta" TargetMode="External" Id="rId19" /><Relationship Type="http://schemas.openxmlformats.org/officeDocument/2006/relationships/hyperlink" Target="https://wiki.licenseware.io/vendors/meta/" TargetMode="External" Id="rId20" /><Relationship Type="http://schemas.openxmlformats.org/officeDocument/2006/relationships/hyperlink" Target="https://www.wsj.com/tech/ai/mistral-ai-exceeds-24-billion-valuation-after-samsung-led-investment-round-ea377b82" TargetMode="External" Id="rId21" /><Relationship Type="http://schemas.openxmlformats.org/officeDocument/2006/relationships/hyperlink" Target="https://www.reuters.com/world/europe/french-ai-company-mistral-hits-24-billion-valuation-funding-round-2026-09-08/" TargetMode="External" Id="rId22" /><Relationship Type="http://schemas.openxmlformats.org/officeDocument/2006/relationships/hyperlink" Target="https://epoch.ai/publications/how-do-chinese-ai-companies-make-money" TargetMode="External" Id="rId23" /><Relationship Type="http://schemas.openxmlformats.org/officeDocument/2006/relationships/hyperlink" Target="https://finance.biggo.com/news/6f6fb5ef-6493-41f1-849c-d6fd0d4bfeab" TargetMode="External" Id="rId24" /><Relationship Type="http://schemas.openxmlformats.org/officeDocument/2006/relationships/hyperlink" Target="https://www.opentechwire.com/article/open-weight-paradox-chinese-ai-labs-revenue-third-party" TargetMode="External" Id="rId25" /><Relationship Type="http://schemas.openxmlformats.org/officeDocument/2006/relationships/hyperlink" Target="https://nexuswild.com/news/ai-revenue-openai-claude-gemini-grok-deepseek-kimi-competition/" TargetMode="External" Id="rId26" /><Relationship Type="http://schemas.openxmlformats.org/officeDocument/2006/relationships/hyperlink" Target="https://www.cnbc.com/2026/02/13/ai-startup-cohere-revenue-ipo.html" TargetMode="External" Id="rId27" /><Relationship Type="http://schemas.openxmlformats.org/officeDocument/2006/relationships/hyperlink" Target="https://clinkbill.com/arr-leaderboard/ai21" TargetMode="External" Id="rId28" /><Relationship Type="http://schemas.openxmlformats.org/officeDocument/2006/relationships/hyperlink" Target="https://newmarketpitch.com/blogs/news/ai-infrastructure-top-revenue" TargetMode="External" Id="rId29" /><Relationship Type="http://schemas.openxmlformats.org/officeDocument/2006/relationships/hyperlink" Target="https://sacra.com/c/together-ai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" customWidth="1" min="8" max="8"/>
    <col width="60" customWidth="1" min="9" max="9"/>
  </cols>
  <sheetData>
    <row r="2">
      <c r="B2" s="1" t="inlineStr">
        <is>
          <t>AI model labs: gross vs. net ARR - frontier (closed-weight) vs. open-weight</t>
        </is>
      </c>
    </row>
    <row r="3" ht="28" customHeight="1">
      <c r="B3" s="2" t="inlineStr">
        <is>
          <t>USD billions, latest reported run rates as of 15-Oct-2026. Gross = end-customer billings incl. partner channel; Net = retained by the lab after partner revenue share. Figures are run rates from different months and are not audited.</t>
        </is>
      </c>
    </row>
    <row r="5" ht="32" customHeight="1">
      <c r="A5" s="3" t="n"/>
      <c r="B5" s="4" t="inlineStr">
        <is>
          <t>Segment</t>
        </is>
      </c>
      <c r="C5" s="4" t="inlineStr">
        <is>
          <t># labs included</t>
        </is>
      </c>
      <c r="D5" s="4" t="inlineStr">
        <is>
          <t>Gross ARR ($B)</t>
        </is>
      </c>
      <c r="E5" s="4" t="inlineStr">
        <is>
          <t>Net ARR ($B)</t>
        </is>
      </c>
      <c r="F5" s="4" t="inlineStr">
        <is>
          <t>Gross-to-net haircut</t>
        </is>
      </c>
      <c r="G5" s="4" t="inlineStr">
        <is>
          <t>Share of total net</t>
        </is>
      </c>
    </row>
    <row r="6">
      <c r="B6" s="5" t="inlineStr">
        <is>
          <t>Frontier (closed-weight) labs</t>
        </is>
      </c>
      <c r="C6" s="6">
        <f>Frontier!D10</f>
        <v/>
      </c>
      <c r="D6" s="7">
        <f>Frontier!K10</f>
        <v/>
      </c>
      <c r="E6" s="7">
        <f>Frontier!L10</f>
        <v/>
      </c>
      <c r="F6" s="8">
        <f>IF(D6=0,0,1-E6/D6)</f>
        <v/>
      </c>
      <c r="G6" s="8">
        <f>IF($E$8=0,0,E6/$E$8)</f>
        <v/>
      </c>
    </row>
    <row r="7">
      <c r="B7" s="5" t="inlineStr">
        <is>
          <t>Open-weight labs</t>
        </is>
      </c>
      <c r="C7" s="6">
        <f>Open_Weight!D15</f>
        <v/>
      </c>
      <c r="D7" s="7">
        <f>Open_Weight!K15</f>
        <v/>
      </c>
      <c r="E7" s="7">
        <f>Open_Weight!L15</f>
        <v/>
      </c>
      <c r="F7" s="8">
        <f>IF(D7=0,0,1-E7/D7)</f>
        <v/>
      </c>
      <c r="G7" s="8">
        <f>IF($E$8=0,0,E7/$E$8)</f>
        <v/>
      </c>
    </row>
    <row r="8">
      <c r="B8" s="9" t="inlineStr">
        <is>
          <t>Total</t>
        </is>
      </c>
      <c r="C8" s="10">
        <f>C6+C7</f>
        <v/>
      </c>
      <c r="D8" s="11">
        <f>D6+D7</f>
        <v/>
      </c>
      <c r="E8" s="11">
        <f>E6+E7</f>
        <v/>
      </c>
      <c r="F8" s="12">
        <f>IF(D8=0,0,1-E8/D8)</f>
        <v/>
      </c>
      <c r="G8" s="12">
        <f>G6+G7</f>
        <v/>
      </c>
    </row>
    <row r="10">
      <c r="B10" s="13" t="inlineStr">
        <is>
          <t>Open-weight net ARR as % of frontier net ARR</t>
        </is>
      </c>
      <c r="C10" s="14">
        <f>IF(E6=0,0,E7/E6)</f>
        <v/>
      </c>
    </row>
    <row r="11">
      <c r="B11" s="13" t="inlineStr">
        <is>
          <t>Open-weight gross ARR as % of frontier gross ARR</t>
        </is>
      </c>
      <c r="C11" s="14">
        <f>IF(D6=0,0,D7/D6)</f>
        <v/>
      </c>
    </row>
    <row r="12">
      <c r="B12" s="13" t="inlineStr">
        <is>
          <t>OpenAI + Anthropic share of total net ARR</t>
        </is>
      </c>
      <c r="C12" s="14">
        <f>IF(E8=0,0,(Frontier!L5+Frontier!L6)/E8)</f>
        <v/>
      </c>
    </row>
    <row r="14">
      <c r="B14" s="15" t="inlineStr">
        <is>
          <t>By lab (included rows only)</t>
        </is>
      </c>
    </row>
    <row r="15" ht="22" customHeight="1">
      <c r="A15" s="3" t="n"/>
      <c r="B15" s="4" t="inlineStr">
        <is>
          <t>Lab</t>
        </is>
      </c>
      <c r="C15" s="4" t="inlineStr">
        <is>
          <t>Segment</t>
        </is>
      </c>
      <c r="D15" s="4" t="inlineStr">
        <is>
          <t>Gross ARR ($B)</t>
        </is>
      </c>
      <c r="E15" s="4" t="inlineStr">
        <is>
          <t>Net ARR ($B)</t>
        </is>
      </c>
      <c r="F15" s="4" t="inlineStr">
        <is>
          <t>Haircut</t>
        </is>
      </c>
      <c r="G15" s="4" t="inlineStr">
        <is>
          <t>As of</t>
        </is>
      </c>
    </row>
    <row r="16">
      <c r="B16" s="16">
        <f>Frontier!A5</f>
        <v/>
      </c>
      <c r="C16" s="17" t="inlineStr">
        <is>
          <t>Frontier</t>
        </is>
      </c>
      <c r="D16" s="7">
        <f>IF(Frontier!D5="Y",Frontier!K5,0)</f>
        <v/>
      </c>
      <c r="E16" s="7">
        <f>IF(Frontier!D5="Y",Frontier!L5,0)</f>
        <v/>
      </c>
      <c r="F16" s="8">
        <f>Frontier!M5</f>
        <v/>
      </c>
      <c r="G16" s="17">
        <f>Frontier!E5</f>
        <v/>
      </c>
    </row>
    <row r="17">
      <c r="B17" s="16">
        <f>Frontier!A6</f>
        <v/>
      </c>
      <c r="C17" s="17" t="inlineStr">
        <is>
          <t>Frontier</t>
        </is>
      </c>
      <c r="D17" s="7">
        <f>IF(Frontier!D6="Y",Frontier!K6,0)</f>
        <v/>
      </c>
      <c r="E17" s="7">
        <f>IF(Frontier!D6="Y",Frontier!L6,0)</f>
        <v/>
      </c>
      <c r="F17" s="8">
        <f>Frontier!M6</f>
        <v/>
      </c>
      <c r="G17" s="17">
        <f>Frontier!E6</f>
        <v/>
      </c>
    </row>
    <row r="18">
      <c r="B18" s="16">
        <f>Frontier!A7</f>
        <v/>
      </c>
      <c r="C18" s="17" t="inlineStr">
        <is>
          <t>Frontier</t>
        </is>
      </c>
      <c r="D18" s="7">
        <f>IF(Frontier!D7="Y",Frontier!K7,0)</f>
        <v/>
      </c>
      <c r="E18" s="7">
        <f>IF(Frontier!D7="Y",Frontier!L7,0)</f>
        <v/>
      </c>
      <c r="F18" s="8">
        <f>Frontier!M7</f>
        <v/>
      </c>
      <c r="G18" s="17">
        <f>Frontier!E7</f>
        <v/>
      </c>
    </row>
    <row r="19">
      <c r="B19" s="16">
        <f>Frontier!A8</f>
        <v/>
      </c>
      <c r="C19" s="17" t="inlineStr">
        <is>
          <t>Frontier</t>
        </is>
      </c>
      <c r="D19" s="7">
        <f>IF(Frontier!D8="Y",Frontier!K8,0)</f>
        <v/>
      </c>
      <c r="E19" s="7">
        <f>IF(Frontier!D8="Y",Frontier!L8,0)</f>
        <v/>
      </c>
      <c r="F19" s="8">
        <f>Frontier!M8</f>
        <v/>
      </c>
      <c r="G19" s="17">
        <f>Frontier!E8</f>
        <v/>
      </c>
    </row>
    <row r="20">
      <c r="B20" s="16">
        <f>Frontier!A9</f>
        <v/>
      </c>
      <c r="C20" s="17" t="inlineStr">
        <is>
          <t>Frontier</t>
        </is>
      </c>
      <c r="D20" s="7">
        <f>IF(Frontier!D9="Y",Frontier!K9,0)</f>
        <v/>
      </c>
      <c r="E20" s="7">
        <f>IF(Frontier!D9="Y",Frontier!L9,0)</f>
        <v/>
      </c>
      <c r="F20" s="8">
        <f>Frontier!M9</f>
        <v/>
      </c>
      <c r="G20" s="17">
        <f>Frontier!E9</f>
        <v/>
      </c>
    </row>
    <row r="21">
      <c r="B21" s="16">
        <f>Open_Weight!A5</f>
        <v/>
      </c>
      <c r="C21" s="17" t="inlineStr">
        <is>
          <t>Open-weight</t>
        </is>
      </c>
      <c r="D21" s="7">
        <f>IF(Open_Weight!D5="Y",Open_Weight!K5,0)</f>
        <v/>
      </c>
      <c r="E21" s="7">
        <f>IF(Open_Weight!D5="Y",Open_Weight!L5,0)</f>
        <v/>
      </c>
      <c r="F21" s="8">
        <f>Open_Weight!M5</f>
        <v/>
      </c>
      <c r="G21" s="17">
        <f>Open_Weight!E5</f>
        <v/>
      </c>
    </row>
    <row r="22">
      <c r="B22" s="16">
        <f>Open_Weight!A6</f>
        <v/>
      </c>
      <c r="C22" s="17" t="inlineStr">
        <is>
          <t>Open-weight</t>
        </is>
      </c>
      <c r="D22" s="7">
        <f>IF(Open_Weight!D6="Y",Open_Weight!K6,0)</f>
        <v/>
      </c>
      <c r="E22" s="7">
        <f>IF(Open_Weight!D6="Y",Open_Weight!L6,0)</f>
        <v/>
      </c>
      <c r="F22" s="8">
        <f>Open_Weight!M6</f>
        <v/>
      </c>
      <c r="G22" s="17">
        <f>Open_Weight!E6</f>
        <v/>
      </c>
    </row>
    <row r="23">
      <c r="B23" s="16">
        <f>Open_Weight!A7</f>
        <v/>
      </c>
      <c r="C23" s="17" t="inlineStr">
        <is>
          <t>Open-weight</t>
        </is>
      </c>
      <c r="D23" s="7">
        <f>IF(Open_Weight!D7="Y",Open_Weight!K7,0)</f>
        <v/>
      </c>
      <c r="E23" s="7">
        <f>IF(Open_Weight!D7="Y",Open_Weight!L7,0)</f>
        <v/>
      </c>
      <c r="F23" s="8">
        <f>Open_Weight!M7</f>
        <v/>
      </c>
      <c r="G23" s="17">
        <f>Open_Weight!E7</f>
        <v/>
      </c>
    </row>
    <row r="24">
      <c r="B24" s="16">
        <f>Open_Weight!A8</f>
        <v/>
      </c>
      <c r="C24" s="17" t="inlineStr">
        <is>
          <t>Open-weight</t>
        </is>
      </c>
      <c r="D24" s="7">
        <f>IF(Open_Weight!D8="Y",Open_Weight!K8,0)</f>
        <v/>
      </c>
      <c r="E24" s="7">
        <f>IF(Open_Weight!D8="Y",Open_Weight!L8,0)</f>
        <v/>
      </c>
      <c r="F24" s="8">
        <f>Open_Weight!M8</f>
        <v/>
      </c>
      <c r="G24" s="17">
        <f>Open_Weight!E8</f>
        <v/>
      </c>
    </row>
    <row r="25">
      <c r="B25" s="16">
        <f>Open_Weight!A9</f>
        <v/>
      </c>
      <c r="C25" s="17" t="inlineStr">
        <is>
          <t>Open-weight</t>
        </is>
      </c>
      <c r="D25" s="7">
        <f>IF(Open_Weight!D9="Y",Open_Weight!K9,0)</f>
        <v/>
      </c>
      <c r="E25" s="7">
        <f>IF(Open_Weight!D9="Y",Open_Weight!L9,0)</f>
        <v/>
      </c>
      <c r="F25" s="8">
        <f>Open_Weight!M9</f>
        <v/>
      </c>
      <c r="G25" s="17">
        <f>Open_Weight!E9</f>
        <v/>
      </c>
    </row>
    <row r="26">
      <c r="B26" s="16">
        <f>Open_Weight!A10</f>
        <v/>
      </c>
      <c r="C26" s="17" t="inlineStr">
        <is>
          <t>Open-weight</t>
        </is>
      </c>
      <c r="D26" s="7">
        <f>IF(Open_Weight!D10="Y",Open_Weight!K10,0)</f>
        <v/>
      </c>
      <c r="E26" s="7">
        <f>IF(Open_Weight!D10="Y",Open_Weight!L10,0)</f>
        <v/>
      </c>
      <c r="F26" s="8">
        <f>Open_Weight!M10</f>
        <v/>
      </c>
      <c r="G26" s="17">
        <f>Open_Weight!E10</f>
        <v/>
      </c>
    </row>
    <row r="27">
      <c r="B27" s="16">
        <f>Open_Weight!A11</f>
        <v/>
      </c>
      <c r="C27" s="17" t="inlineStr">
        <is>
          <t>Open-weight</t>
        </is>
      </c>
      <c r="D27" s="7">
        <f>IF(Open_Weight!D11="Y",Open_Weight!K11,0)</f>
        <v/>
      </c>
      <c r="E27" s="7">
        <f>IF(Open_Weight!D11="Y",Open_Weight!L11,0)</f>
        <v/>
      </c>
      <c r="F27" s="8">
        <f>Open_Weight!M11</f>
        <v/>
      </c>
      <c r="G27" s="17">
        <f>Open_Weight!E11</f>
        <v/>
      </c>
    </row>
    <row r="28">
      <c r="B28" s="16">
        <f>Open_Weight!A12</f>
        <v/>
      </c>
      <c r="C28" s="17" t="inlineStr">
        <is>
          <t>Open-weight</t>
        </is>
      </c>
      <c r="D28" s="7">
        <f>IF(Open_Weight!D12="Y",Open_Weight!K12,0)</f>
        <v/>
      </c>
      <c r="E28" s="7">
        <f>IF(Open_Weight!D12="Y",Open_Weight!L12,0)</f>
        <v/>
      </c>
      <c r="F28" s="8">
        <f>Open_Weight!M12</f>
        <v/>
      </c>
      <c r="G28" s="17">
        <f>Open_Weight!E12</f>
        <v/>
      </c>
    </row>
    <row r="29">
      <c r="B29" s="16">
        <f>Open_Weight!A13</f>
        <v/>
      </c>
      <c r="C29" s="17" t="inlineStr">
        <is>
          <t>Open-weight</t>
        </is>
      </c>
      <c r="D29" s="7">
        <f>IF(Open_Weight!D13="Y",Open_Weight!K13,0)</f>
        <v/>
      </c>
      <c r="E29" s="7">
        <f>IF(Open_Weight!D13="Y",Open_Weight!L13,0)</f>
        <v/>
      </c>
      <c r="F29" s="8">
        <f>Open_Weight!M13</f>
        <v/>
      </c>
      <c r="G29" s="17">
        <f>Open_Weight!E13</f>
        <v/>
      </c>
    </row>
    <row r="30">
      <c r="B30" s="16">
        <f>Open_Weight!A14</f>
        <v/>
      </c>
      <c r="C30" s="17" t="inlineStr">
        <is>
          <t>Open-weight</t>
        </is>
      </c>
      <c r="D30" s="7">
        <f>IF(Open_Weight!D14="Y",Open_Weight!K14,0)</f>
        <v/>
      </c>
      <c r="E30" s="7">
        <f>IF(Open_Weight!D14="Y",Open_Weight!L14,0)</f>
        <v/>
      </c>
      <c r="F30" s="8">
        <f>Open_Weight!M14</f>
        <v/>
      </c>
      <c r="G30" s="17">
        <f>Open_Weight!E14</f>
        <v/>
      </c>
    </row>
    <row r="31">
      <c r="B31" s="18" t="inlineStr">
        <is>
          <t>Check: sum of per-lab net = segment total</t>
        </is>
      </c>
      <c r="E31" s="19">
        <f>SUM(E16:E30)-E8</f>
        <v/>
      </c>
    </row>
    <row r="33" ht="15" customHeight="1">
      <c r="B33" s="20" t="inlineStr">
        <is>
          <t>Reading the numbers</t>
        </is>
      </c>
    </row>
    <row r="34" ht="30" customHeight="1">
      <c r="B34" s="2" t="inlineStr">
        <is>
          <t>1. The gross/net gap is concentrated in the two leaders: OpenAI reports net of Microsoft's ~20% share (the $68B 'gross' figure was an investor gross-up), while Anthropic books cloud-marketplace sales gross and expenses the partner cut.</t>
        </is>
      </c>
    </row>
    <row r="35" ht="30" customHeight="1">
      <c r="B35" s="2" t="inlineStr">
        <is>
          <t>2. Google, xAI and the Chinese labs sell predominantly first-party, so gross = net for them in this model; their uncertainty is in the reported figure itself (yellow = estimate).</t>
        </is>
      </c>
    </row>
    <row r="36" ht="30" customHeight="1">
      <c r="B36" s="2" t="inlineStr">
        <is>
          <t>3. Open-weight labs capture only part of the spend on their models: third-party hosts (Fireworks, Together, Baseten, fal) and clouds serve most tokens. DeepSeek is estimated to receive ~8% of OpenRouter spend on DeepSeek models. See memo on the Open_Weight sheet.</t>
        </is>
      </c>
    </row>
    <row r="37" ht="30" customHeight="1">
      <c r="B37" s="2" t="inlineStr">
        <is>
          <t>4. ByteDance (~$4B MaaS) is excluded by default because its flagship Doubao models are closed and the figure includes third-party models; flip Open_Weight!D14 to 'Y' to include.</t>
        </is>
      </c>
    </row>
    <row r="38" ht="30" customHeight="1">
      <c r="B38" s="2" t="inlineStr">
        <is>
          <t>5. Run rates are month-of-record figures and are not comparable across labs without the 'As of' date; Anthropic's Q3-2026 quarterly revenue ($16.8B) annualizes to $67.2B and YE-2026 targets are ~$110B (Anthropic) and &gt;=$70B net (OpenAI).</t>
        </is>
      </c>
    </row>
  </sheetData>
  <mergeCells count="7">
    <mergeCell ref="B38:G38"/>
    <mergeCell ref="B34:G34"/>
    <mergeCell ref="B36:G36"/>
    <mergeCell ref="B37:G37"/>
    <mergeCell ref="B35:G35"/>
    <mergeCell ref="B3:I3"/>
    <mergeCell ref="B33:G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22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44" customWidth="1" min="15" max="15"/>
    <col width="90" customWidth="1" min="16" max="16"/>
  </cols>
  <sheetData>
    <row r="1">
      <c r="A1" s="1" t="inlineStr">
        <is>
          <t>Frontier (closed-weight) model labs: gross vs. net ARR</t>
        </is>
      </c>
    </row>
    <row r="2">
      <c r="A2" s="18" t="inlineStr">
        <is>
          <t>Gross ARR = annualized end-customer billings incl. cloud-marketplace / partner channel sales at full value. Net ARR = retained by the lab after partner revenue share. Blue = input; yellow fill = estimate or assumption. $B.</t>
        </is>
      </c>
    </row>
    <row r="3">
      <c r="A3" s="18" t="inlineStr">
        <is>
          <t>As of 15-Oct-2026. Run rates are from different months; see 'As of' column. Toggle column D to include/exclude a row from totals.</t>
        </is>
      </c>
    </row>
    <row r="4" ht="42" customHeight="1">
      <c r="A4" s="4" t="inlineStr">
        <is>
          <t>Company</t>
        </is>
      </c>
      <c r="B4" s="4" t="inlineStr">
        <is>
          <t>Flagship model(s)</t>
        </is>
      </c>
      <c r="C4" s="4" t="inlineStr">
        <is>
          <t>Weights</t>
        </is>
      </c>
      <c r="D4" s="4" t="inlineStr">
        <is>
          <t>Include in totals? (Y/N)</t>
        </is>
      </c>
      <c r="E4" s="4" t="inlineStr">
        <is>
          <t>As of</t>
        </is>
      </c>
      <c r="F4" s="4" t="inlineStr">
        <is>
          <t>Reported ARR ($B)</t>
        </is>
      </c>
      <c r="G4" s="4" t="inlineStr">
        <is>
          <t>Reported basis</t>
        </is>
      </c>
      <c r="H4" s="4" t="inlineStr">
        <is>
          <t>Channel share of billings</t>
        </is>
      </c>
      <c r="I4" s="4" t="inlineStr">
        <is>
          <t>Partner take rate</t>
        </is>
      </c>
      <c r="J4" s="4" t="inlineStr">
        <is>
          <t>Gross override ($B)</t>
        </is>
      </c>
      <c r="K4" s="4" t="inlineStr">
        <is>
          <t>Gross ARR ($B)</t>
        </is>
      </c>
      <c r="L4" s="4" t="inlineStr">
        <is>
          <t>Net ARR ($B)</t>
        </is>
      </c>
      <c r="M4" s="4" t="inlineStr">
        <is>
          <t>Gross-to-net haircut</t>
        </is>
      </c>
      <c r="N4" s="4" t="inlineStr">
        <is>
          <t>Confidence</t>
        </is>
      </c>
      <c r="O4" s="4" t="inlineStr">
        <is>
          <t>Source(s)</t>
        </is>
      </c>
      <c r="P4" s="4" t="inlineStr">
        <is>
          <t>Notes</t>
        </is>
      </c>
    </row>
    <row r="5" ht="92" customHeight="1">
      <c r="A5" s="16" t="inlineStr">
        <is>
          <t>OpenAI</t>
        </is>
      </c>
      <c r="B5" s="16" t="inlineStr">
        <is>
          <t>GPT-5.6 family / ChatGPT</t>
        </is>
      </c>
      <c r="C5" s="16" t="inlineStr">
        <is>
          <t>Closed</t>
        </is>
      </c>
      <c r="D5" s="21" t="inlineStr">
        <is>
          <t>Y</t>
        </is>
      </c>
      <c r="E5" s="21" t="inlineStr">
        <is>
          <t>Sep-2026</t>
        </is>
      </c>
      <c r="F5" s="22" t="n">
        <v>50</v>
      </c>
      <c r="G5" s="21" t="inlineStr">
        <is>
          <t>Net</t>
        </is>
      </c>
      <c r="H5" s="23">
        <f>Assumptions!$C$7</f>
        <v/>
      </c>
      <c r="I5" s="23">
        <f>Assumptions!$C$6</f>
        <v/>
      </c>
      <c r="J5" s="24">
        <f>Assumptions!$C$8</f>
        <v/>
      </c>
      <c r="K5" s="24">
        <f>IF(J5&lt;&gt;"",J5,IF(G5="Gross",F5,F5/(1-H5*I5)))</f>
        <v/>
      </c>
      <c r="L5" s="24">
        <f>IF(G5="Net",F5,K5*(1-H5*I5))</f>
        <v/>
      </c>
      <c r="M5" s="8">
        <f>IF(K5=0,0,1-L5/K5)</f>
        <v/>
      </c>
      <c r="N5" s="17" t="inlineStr">
        <is>
          <t>High</t>
        </is>
      </c>
      <c r="O5" s="16" t="inlineStr">
        <is>
          <t>Reuters, CNBC, Axios, Bloomberg (8-Oct-2026)</t>
        </is>
      </c>
      <c r="P5" s="16" t="inlineStr">
        <is>
          <t>OpenAI reports NET of the ~20% Microsoft revenue share. $50B is the Sep-2026 run rate told to investors; the $68B figure circulated in Sep-2026 was a gross-up to Anthropic's methodology and is used as the gross override. Model-based gross at 20% share would be $62.5B (cross-check). Guided to &gt;=$70B (net) by YE-2026. Q3 run-rate growth +77%; enterprise +107%. MSFT rev share continues to 2030 at the same % subject to a cap (Apr-2026 amended agreement).</t>
        </is>
      </c>
    </row>
    <row r="6" ht="92" customHeight="1">
      <c r="A6" s="16" t="inlineStr">
        <is>
          <t>Anthropic</t>
        </is>
      </c>
      <c r="B6" s="16" t="inlineStr">
        <is>
          <t>Claude (Fable 5 / Opus / Sonnet)</t>
        </is>
      </c>
      <c r="C6" s="16" t="inlineStr">
        <is>
          <t>Closed</t>
        </is>
      </c>
      <c r="D6" s="21" t="inlineStr">
        <is>
          <t>Y</t>
        </is>
      </c>
      <c r="E6" s="21" t="inlineStr">
        <is>
          <t>Jul-2026</t>
        </is>
      </c>
      <c r="F6" s="22" t="n">
        <v>65</v>
      </c>
      <c r="G6" s="21" t="inlineStr">
        <is>
          <t>Gross</t>
        </is>
      </c>
      <c r="H6" s="23">
        <f>Assumptions!$C$12</f>
        <v/>
      </c>
      <c r="I6" s="23">
        <f>Assumptions!$C$13</f>
        <v/>
      </c>
      <c r="J6" s="22" t="n"/>
      <c r="K6" s="24">
        <f>IF(J6&lt;&gt;"",J6,IF(G6="Gross",F6,F6/(1-H6*I6)))</f>
        <v/>
      </c>
      <c r="L6" s="24">
        <f>IF(G6="Net",F6,K6*(1-H6*I6))</f>
        <v/>
      </c>
      <c r="M6" s="8">
        <f>IF(K6=0,0,1-L6/K6)</f>
        <v/>
      </c>
      <c r="N6" s="17" t="inlineStr">
        <is>
          <t>High</t>
        </is>
      </c>
      <c r="O6" s="16" t="inlineStr">
        <is>
          <t>Reuters, Bloomberg (17-Aug-2026); Reuters on IPO prospectus; CNBC (15-Oct-2026)</t>
        </is>
      </c>
      <c r="P6" s="16" t="inlineStr">
        <is>
          <t>Anthropic reports GROSS: marketplace (AWS Bedrock, Google Vertex) sales booked at full value with the partner cut expensed in S&amp;M. Prospectus: 2025 revenue ~$4.6B, 47% via marketplaces ($2.16B), distribution fees ~$351M (~16% take). Q3-2026 revenue $16.8B (x4 = $67.2B). Analysts see ~$110B run rate by YE-2026. BofA (Mar-2026) est. up to $6.4B of 2026 hyperscaler payouts - see sensitivity.</t>
        </is>
      </c>
    </row>
    <row r="7" ht="92" customHeight="1">
      <c r="A7" s="16" t="inlineStr">
        <is>
          <t>Google DeepMind</t>
        </is>
      </c>
      <c r="B7" s="16" t="inlineStr">
        <is>
          <t>Gemini 3 (Pro / Flash)</t>
        </is>
      </c>
      <c r="C7" s="16" t="inlineStr">
        <is>
          <t>Closed</t>
        </is>
      </c>
      <c r="D7" s="21" t="inlineStr">
        <is>
          <t>Y</t>
        </is>
      </c>
      <c r="E7" s="21" t="inlineStr">
        <is>
          <t>Q2-2026</t>
        </is>
      </c>
      <c r="F7" s="25" t="n">
        <v>12</v>
      </c>
      <c r="G7" s="21" t="inlineStr">
        <is>
          <t>Gross</t>
        </is>
      </c>
      <c r="H7" s="26" t="n">
        <v>0</v>
      </c>
      <c r="I7" s="26" t="n">
        <v>0</v>
      </c>
      <c r="J7" s="22" t="n"/>
      <c r="K7" s="27">
        <f>IF(J7&lt;&gt;"",J7,IF(G7="Gross",F7,F7/(1-H7*I7)))</f>
        <v/>
      </c>
      <c r="L7" s="27">
        <f>IF(G7="Net",F7,K7*(1-H7*I7))</f>
        <v/>
      </c>
      <c r="M7" s="8">
        <f>IF(K7=0,0,1-L7/K7)</f>
        <v/>
      </c>
      <c r="N7" s="17" t="inlineStr">
        <is>
          <t>Low</t>
        </is>
      </c>
      <c r="O7" s="16" t="inlineStr">
        <is>
          <t>SemiAnalysis Tokenomics (Gemini ARR est.); The Compute Chain ($7-10B est.)</t>
        </is>
      </c>
      <c r="P7" s="16" t="inlineStr">
        <is>
          <t>ESTIMATE. Alphabet does not disclose Gemini revenue. SemiAnalysis est. $12B 1P Gemini ARR in 2Q26; The Compute Chain est. $7-10B now / $10-14B by YE. First-party sales, so gross = net. Excludes GCP infrastructure and 3P model resale (Claude on Vertex). Broader 'Google AI' bundle incl. Workspace add-ons est. ~$28B (Presenc, May-2026) - not used.</t>
        </is>
      </c>
    </row>
    <row r="8" ht="92" customHeight="1">
      <c r="A8" s="16" t="inlineStr">
        <is>
          <t>xAI (SpaceX AI segment)</t>
        </is>
      </c>
      <c r="B8" s="16" t="inlineStr">
        <is>
          <t>Grok 4 / SuperGrok</t>
        </is>
      </c>
      <c r="C8" s="16" t="inlineStr">
        <is>
          <t>Closed</t>
        </is>
      </c>
      <c r="D8" s="21" t="inlineStr">
        <is>
          <t>Y</t>
        </is>
      </c>
      <c r="E8" s="21" t="inlineStr">
        <is>
          <t>Mid-2026</t>
        </is>
      </c>
      <c r="F8" s="22" t="n">
        <v>0.5</v>
      </c>
      <c r="G8" s="21" t="inlineStr">
        <is>
          <t>Gross</t>
        </is>
      </c>
      <c r="H8" s="26" t="n">
        <v>0</v>
      </c>
      <c r="I8" s="26" t="n">
        <v>0</v>
      </c>
      <c r="J8" s="22" t="n"/>
      <c r="K8" s="24">
        <f>IF(J8&lt;&gt;"",J8,IF(G8="Gross",F8,F8/(1-H8*I8)))</f>
        <v/>
      </c>
      <c r="L8" s="24">
        <f>IF(G8="Net",F8,K8*(1-H8*I8))</f>
        <v/>
      </c>
      <c r="M8" s="8">
        <f>IF(K8=0,0,1-L8/K8)</f>
        <v/>
      </c>
      <c r="N8" s="17" t="inlineStr">
        <is>
          <t>Medium</t>
        </is>
      </c>
      <c r="O8" s="16" t="inlineStr">
        <is>
          <t>Bloomberg via Sacra; SpaceX 10-Q (Q2-2026 AI segment)</t>
        </is>
      </c>
      <c r="P8" s="16" t="inlineStr">
        <is>
          <t>Standalone Grok ARR (subscriptions + API, ex-X advertising). SpaceX AI segment did $2.56B in Q2-2026 (~$10.2B annualized) but that includes X ads ($367M/qtr), compute-rental / AI infrastructure (~$1.6B/qtr) and data licensing, so it is not a model-revenue figure. Company 2026 target ~$2B.</t>
        </is>
      </c>
    </row>
    <row r="9" ht="92" customHeight="1">
      <c r="A9" s="16" t="inlineStr">
        <is>
          <t>Meta (Superintelligence Labs)</t>
        </is>
      </c>
      <c r="B9" s="16" t="inlineStr">
        <is>
          <t>Muse Spark 1.x (closed since Apr-2026)</t>
        </is>
      </c>
      <c r="C9" s="16" t="inlineStr">
        <is>
          <t>Closed</t>
        </is>
      </c>
      <c r="D9" s="21" t="inlineStr">
        <is>
          <t>Y</t>
        </is>
      </c>
      <c r="E9" s="21" t="inlineStr">
        <is>
          <t>Oct-2026</t>
        </is>
      </c>
      <c r="F9" s="25" t="n">
        <v>0.13</v>
      </c>
      <c r="G9" s="21" t="inlineStr">
        <is>
          <t>Gross</t>
        </is>
      </c>
      <c r="H9" s="26" t="n">
        <v>0</v>
      </c>
      <c r="I9" s="26" t="n">
        <v>0</v>
      </c>
      <c r="J9" s="22" t="n"/>
      <c r="K9" s="27">
        <f>IF(J9&lt;&gt;"",J9,IF(G9="Gross",F9,F9/(1-H9*I9)))</f>
        <v/>
      </c>
      <c r="L9" s="27">
        <f>IF(G9="Net",F9,K9*(1-H9*I9))</f>
        <v/>
      </c>
      <c r="M9" s="8">
        <f>IF(K9=0,0,1-L9/K9)</f>
        <v/>
      </c>
      <c r="N9" s="17" t="inlineStr">
        <is>
          <t>Low</t>
        </is>
      </c>
      <c r="O9" s="16" t="inlineStr">
        <is>
          <t>Vantage OpenRouter provider economics (13-Oct-2026); Bloomberg/CNBC on Meta Model API launch</t>
        </is>
      </c>
      <c r="P9" s="16" t="inlineStr">
        <is>
          <t>FLOOR ESTIMATE. Meta Model API launched Jul-2026 ($1.25/$4.25 per M tokens). Only OpenRouter-attributable billings are observable (~$131M annualized); direct API and Muse Code subscriptions not disclosed. Meta's open-weight Llama line is shown on the Open-Weight sheet at $0 licensing revenue.</t>
        </is>
      </c>
    </row>
    <row r="10">
      <c r="A10" s="9" t="inlineStr">
        <is>
          <t>Total (included rows)</t>
        </is>
      </c>
      <c r="B10" s="9" t="n"/>
      <c r="C10" s="9" t="n"/>
      <c r="D10" s="28">
        <f>COUNTIF(D5:D9,"Y")</f>
        <v/>
      </c>
      <c r="E10" s="9" t="n"/>
      <c r="F10" s="9" t="n"/>
      <c r="G10" s="9" t="n"/>
      <c r="H10" s="9" t="n"/>
      <c r="I10" s="9" t="n"/>
      <c r="J10" s="9" t="n"/>
      <c r="K10" s="29">
        <f>SUMIF($D$5:$D$9,"Y",K5:K9)</f>
        <v/>
      </c>
      <c r="L10" s="29">
        <f>SUMIF($D$5:$D$9,"Y",L5:L9)</f>
        <v/>
      </c>
      <c r="M10" s="30">
        <f>IF(K10=0,0,1-L10/K10)</f>
        <v/>
      </c>
      <c r="N10" s="9" t="n"/>
      <c r="O10" s="9" t="n"/>
      <c r="P10" s="9" t="n"/>
    </row>
  </sheetData>
  <autoFilter ref="A4:P9"/>
  <mergeCells count="2">
    <mergeCell ref="A3:P3"/>
    <mergeCell ref="A2:P2"/>
  </mergeCells>
  <conditionalFormatting sqref="A5:P9">
    <cfRule type="expression" priority="1" dxfId="0">
      <formula>$D5="N"</formula>
    </cfRule>
  </conditionalFormatting>
  <dataValidations count="2">
    <dataValidation sqref="D5:D9" showDropDown="0" showInputMessage="0" showErrorMessage="0" allowBlank="0" type="list">
      <formula1>"Y,N"</formula1>
    </dataValidation>
    <dataValidation sqref="G5:G9" showDropDown="0" showInputMessage="0" showErrorMessage="0" allowBlank="0" type="list">
      <formula1>"Gross,Net"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22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44" customWidth="1" min="15" max="15"/>
    <col width="90" customWidth="1" min="16" max="16"/>
  </cols>
  <sheetData>
    <row r="1">
      <c r="A1" s="1" t="inlineStr">
        <is>
          <t>Open-weight model labs: gross vs. net ARR</t>
        </is>
      </c>
    </row>
    <row r="2">
      <c r="A2" s="18" t="inlineStr">
        <is>
          <t>Gross ARR = annualized end-customer billings incl. cloud-marketplace / partner channel sales at full value. Net ARR = retained by the lab after partner revenue share. Blue = input; yellow fill = estimate or assumption. $B.</t>
        </is>
      </c>
    </row>
    <row r="3">
      <c r="A3" s="18" t="inlineStr">
        <is>
          <t>As of 15-Oct-2026. Run rates are from different months; see 'As of' column. Toggle column D to include/exclude a row from totals.</t>
        </is>
      </c>
    </row>
    <row r="4" ht="42" customHeight="1">
      <c r="A4" s="4" t="inlineStr">
        <is>
          <t>Company</t>
        </is>
      </c>
      <c r="B4" s="4" t="inlineStr">
        <is>
          <t>Flagship model(s)</t>
        </is>
      </c>
      <c r="C4" s="4" t="inlineStr">
        <is>
          <t>Weights</t>
        </is>
      </c>
      <c r="D4" s="4" t="inlineStr">
        <is>
          <t>Include in totals? (Y/N)</t>
        </is>
      </c>
      <c r="E4" s="4" t="inlineStr">
        <is>
          <t>As of</t>
        </is>
      </c>
      <c r="F4" s="4" t="inlineStr">
        <is>
          <t>Reported ARR ($B)</t>
        </is>
      </c>
      <c r="G4" s="4" t="inlineStr">
        <is>
          <t>Reported basis</t>
        </is>
      </c>
      <c r="H4" s="4" t="inlineStr">
        <is>
          <t>Channel share of billings</t>
        </is>
      </c>
      <c r="I4" s="4" t="inlineStr">
        <is>
          <t>Partner take rate</t>
        </is>
      </c>
      <c r="J4" s="4" t="inlineStr">
        <is>
          <t>Gross override ($B)</t>
        </is>
      </c>
      <c r="K4" s="4" t="inlineStr">
        <is>
          <t>Gross ARR ($B)</t>
        </is>
      </c>
      <c r="L4" s="4" t="inlineStr">
        <is>
          <t>Net ARR ($B)</t>
        </is>
      </c>
      <c r="M4" s="4" t="inlineStr">
        <is>
          <t>Gross-to-net haircut</t>
        </is>
      </c>
      <c r="N4" s="4" t="inlineStr">
        <is>
          <t>Confidence</t>
        </is>
      </c>
      <c r="O4" s="4" t="inlineStr">
        <is>
          <t>Source(s)</t>
        </is>
      </c>
      <c r="P4" s="4" t="inlineStr">
        <is>
          <t>Notes</t>
        </is>
      </c>
    </row>
    <row r="5" ht="92" customHeight="1">
      <c r="A5" s="16" t="inlineStr">
        <is>
          <t>Mistral AI</t>
        </is>
      </c>
      <c r="B5" s="16" t="inlineStr">
        <is>
          <t>Mistral Large 3 / Medium (Apache 2.0)</t>
        </is>
      </c>
      <c r="C5" s="16" t="inlineStr">
        <is>
          <t>Open (Apache 2.0) + some closed</t>
        </is>
      </c>
      <c r="D5" s="21" t="inlineStr">
        <is>
          <t>Y</t>
        </is>
      </c>
      <c r="E5" s="21" t="inlineStr">
        <is>
          <t>Sep-2026</t>
        </is>
      </c>
      <c r="F5" s="22" t="n">
        <v>1</v>
      </c>
      <c r="G5" s="21" t="inlineStr">
        <is>
          <t>Gross</t>
        </is>
      </c>
      <c r="H5" s="23">
        <f>Assumptions!$C$17</f>
        <v/>
      </c>
      <c r="I5" s="23">
        <f>Assumptions!$C$18</f>
        <v/>
      </c>
      <c r="J5" s="22" t="n"/>
      <c r="K5" s="24">
        <f>IF(J5&lt;&gt;"",J5,IF(G5="Gross",F5,F5/(1-H5*I5)))</f>
        <v/>
      </c>
      <c r="L5" s="24">
        <f>IF(G5="Net",F5,K5*(1-H5*I5))</f>
        <v/>
      </c>
      <c r="M5" s="8">
        <f>IF(K5=0,0,1-L5/K5)</f>
        <v/>
      </c>
      <c r="N5" s="17" t="inlineStr">
        <is>
          <t>High</t>
        </is>
      </c>
      <c r="O5" s="16" t="inlineStr">
        <is>
          <t>WSJ, Reuters (8-Sep-2026, CFO); CNBC Disruptor 50</t>
        </is>
      </c>
      <c r="P5" s="16" t="inlineStr">
        <is>
          <t>CFO: ARR 'slightly above $1B' at the Samsung-led EUR3B round. Was &gt;$400M in Jan-2026, ~$20M a year earlier. ~60% of revenue in Europe; sells direct plus via Azure/AWS/GCP marketplaces (split not disclosed - generic channel assumption applied).</t>
        </is>
      </c>
    </row>
    <row r="6" ht="92" customHeight="1">
      <c r="A6" s="16" t="inlineStr">
        <is>
          <t>DeepSeek</t>
        </is>
      </c>
      <c r="B6" s="16" t="inlineStr">
        <is>
          <t>DeepSeek V4 Pro / Flash (MIT)</t>
        </is>
      </c>
      <c r="C6" s="16" t="inlineStr">
        <is>
          <t>Open (MIT)</t>
        </is>
      </c>
      <c r="D6" s="21" t="inlineStr">
        <is>
          <t>Y</t>
        </is>
      </c>
      <c r="E6" s="21" t="inlineStr">
        <is>
          <t>Sep-2026</t>
        </is>
      </c>
      <c r="F6" s="22" t="n">
        <v>1</v>
      </c>
      <c r="G6" s="21" t="inlineStr">
        <is>
          <t>Gross</t>
        </is>
      </c>
      <c r="H6" s="26" t="n">
        <v>0</v>
      </c>
      <c r="I6" s="26" t="n">
        <v>0</v>
      </c>
      <c r="J6" s="22" t="n"/>
      <c r="K6" s="24">
        <f>IF(J6&lt;&gt;"",J6,IF(G6="Gross",F6,F6/(1-H6*I6)))</f>
        <v/>
      </c>
      <c r="L6" s="24">
        <f>IF(G6="Net",F6,K6*(1-H6*I6))</f>
        <v/>
      </c>
      <c r="M6" s="8">
        <f>IF(K6=0,0,1-L6/K6)</f>
        <v/>
      </c>
      <c r="N6" s="17" t="inlineStr">
        <is>
          <t>Medium</t>
        </is>
      </c>
      <c r="O6" s="16" t="inlineStr">
        <is>
          <t>Epoch AI 'How do Chinese AI companies make money?' (Oct-2026); Reuters Breakingviews (Jul-2026)</t>
        </is>
      </c>
      <c r="P6" s="16" t="inlineStr">
        <is>
          <t>Epoch est. ~$1B run rate, mostly first-party API (Reuters had $400-500M in Jul-2026). Est. API gross margin 70-80%. Only ~8% of OpenRouter spend on DeepSeek models flows to DeepSeek -&gt; implied total ecosystem spend on the model family ~$12B+ (memo). Third-party hosts pay DeepSeek nothing.</t>
        </is>
      </c>
    </row>
    <row r="7" ht="92" customHeight="1">
      <c r="A7" s="16" t="inlineStr">
        <is>
          <t>Alibaba (Qwen)</t>
        </is>
      </c>
      <c r="B7" s="16" t="inlineStr">
        <is>
          <t>Qwen3.x (small/mid open; Qwen3.7-Max proprietary)</t>
        </is>
      </c>
      <c r="C7" s="16" t="inlineStr">
        <is>
          <t>Mixed (open small tiers; closed flagship)</t>
        </is>
      </c>
      <c r="D7" s="21" t="inlineStr">
        <is>
          <t>Y</t>
        </is>
      </c>
      <c r="E7" s="21" t="inlineStr">
        <is>
          <t>Aug-2026</t>
        </is>
      </c>
      <c r="F7" s="22" t="n">
        <v>2.4</v>
      </c>
      <c r="G7" s="21" t="inlineStr">
        <is>
          <t>Gross</t>
        </is>
      </c>
      <c r="H7" s="26" t="n">
        <v>0</v>
      </c>
      <c r="I7" s="26" t="n">
        <v>0</v>
      </c>
      <c r="J7" s="22" t="n"/>
      <c r="K7" s="24">
        <f>IF(J7&lt;&gt;"",J7,IF(G7="Gross",F7,F7/(1-H7*I7)))</f>
        <v/>
      </c>
      <c r="L7" s="24">
        <f>IF(G7="Net",F7,K7*(1-H7*I7))</f>
        <v/>
      </c>
      <c r="M7" s="8">
        <f>IF(K7=0,0,1-L7/K7)</f>
        <v/>
      </c>
      <c r="N7" s="17" t="inlineStr">
        <is>
          <t>Medium</t>
        </is>
      </c>
      <c r="O7" s="16" t="inlineStr">
        <is>
          <t>Epoch AI (Model Studio / MaaS annualized); Alibaba Q2-FY27 results</t>
        </is>
      </c>
      <c r="P7" s="16" t="inlineStr">
        <is>
          <t>Model-and-application-services (MaaS) run rate; includes third-party model hosting on Model Studio (Bailian), so overstates Qwen-only revenue. Alibaba AI Cloud &amp; Compute revenue was $7.1B in the Jun-2026 quarter (not model revenue). First-party cloud sale -&gt; gross = net.</t>
        </is>
      </c>
    </row>
    <row r="8" ht="92" customHeight="1">
      <c r="A8" s="16" t="inlineStr">
        <is>
          <t>Z.ai (Zhipu)</t>
        </is>
      </c>
      <c r="B8" s="16" t="inlineStr">
        <is>
          <t>GLM-5 / GLM-5.2 (MIT)</t>
        </is>
      </c>
      <c r="C8" s="16" t="inlineStr">
        <is>
          <t>Open (MIT)</t>
        </is>
      </c>
      <c r="D8" s="21" t="inlineStr">
        <is>
          <t>Y</t>
        </is>
      </c>
      <c r="E8" s="21" t="inlineStr">
        <is>
          <t>Sep-2026</t>
        </is>
      </c>
      <c r="F8" s="25" t="n">
        <v>1.8</v>
      </c>
      <c r="G8" s="21" t="inlineStr">
        <is>
          <t>Gross</t>
        </is>
      </c>
      <c r="H8" s="26" t="n">
        <v>0</v>
      </c>
      <c r="I8" s="26" t="n">
        <v>0</v>
      </c>
      <c r="J8" s="22" t="n"/>
      <c r="K8" s="27">
        <f>IF(J8&lt;&gt;"",J8,IF(G8="Gross",F8,F8/(1-H8*I8)))</f>
        <v/>
      </c>
      <c r="L8" s="27">
        <f>IF(G8="Net",F8,K8*(1-H8*I8))</f>
        <v/>
      </c>
      <c r="M8" s="8">
        <f>IF(K8=0,0,1-L8/K8)</f>
        <v/>
      </c>
      <c r="N8" s="17" t="inlineStr">
        <is>
          <t>Low</t>
        </is>
      </c>
      <c r="O8" s="16" t="inlineStr">
        <is>
          <t>Epoch AI (management ARR); Zhipu H1-2026 interim report (HKEX)</t>
        </is>
      </c>
      <c r="P8" s="16" t="inlineStr">
        <is>
          <t>Management-cited $1.8B ARR conflicts with reported H1-2026 revenue of RMB954M (~$142M); Epoch's interim-based 2026 estimate is ~$0.87B (API $805M + enterprise $60M). API gross margin 24.6% in H1-2026. ~25% of GLM-5 tokens served via Z.ai's own API (rest via third-party hosts).</t>
        </is>
      </c>
    </row>
    <row r="9" ht="92" customHeight="1">
      <c r="A9" s="16" t="inlineStr">
        <is>
          <t>Moonshot AI (Kimi)</t>
        </is>
      </c>
      <c r="B9" s="16" t="inlineStr">
        <is>
          <t>Kimi K3 (Modified MIT)</t>
        </is>
      </c>
      <c r="C9" s="16" t="inlineStr">
        <is>
          <t>Open (Modified MIT)</t>
        </is>
      </c>
      <c r="D9" s="21" t="inlineStr">
        <is>
          <t>Y</t>
        </is>
      </c>
      <c r="E9" s="21" t="inlineStr">
        <is>
          <t>Aug-2026</t>
        </is>
      </c>
      <c r="F9" s="22" t="n">
        <v>1</v>
      </c>
      <c r="G9" s="21" t="inlineStr">
        <is>
          <t>Gross</t>
        </is>
      </c>
      <c r="H9" s="26" t="n">
        <v>0</v>
      </c>
      <c r="I9" s="26" t="n">
        <v>0</v>
      </c>
      <c r="J9" s="22" t="n"/>
      <c r="K9" s="24">
        <f>IF(J9&lt;&gt;"",J9,IF(G9="Gross",F9,F9/(1-H9*I9)))</f>
        <v/>
      </c>
      <c r="L9" s="24">
        <f>IF(G9="Net",F9,K9*(1-H9*I9))</f>
        <v/>
      </c>
      <c r="M9" s="8">
        <f>IF(K9=0,0,1-L9/K9)</f>
        <v/>
      </c>
      <c r="N9" s="17" t="inlineStr">
        <is>
          <t>Medium</t>
        </is>
      </c>
      <c r="O9" s="16" t="inlineStr">
        <is>
          <t>Epoch AI; Reuters on K3 hosting revenue-share talks</t>
        </is>
      </c>
      <c r="P9" s="16" t="inlineStr">
        <is>
          <t>~70% of revenue from model access (Jun-2026). ARR was &gt;$200M in Apr and ~$300M in Jun-2026 before the K3 step-up. Seeking up to 30% revenue share on K3 hosted by Azure/AWS/GCP - would create a net-basis stream (Moonshot receives 30% of partner gross).</t>
        </is>
      </c>
    </row>
    <row r="10" ht="92" customHeight="1">
      <c r="A10" s="16" t="inlineStr">
        <is>
          <t>MiniMax</t>
        </is>
      </c>
      <c r="B10" s="16" t="inlineStr">
        <is>
          <t>MiniMax M3 (open weights, non-commercial)</t>
        </is>
      </c>
      <c r="C10" s="16" t="inlineStr">
        <is>
          <t>Open (non-commercial)</t>
        </is>
      </c>
      <c r="D10" s="21" t="inlineStr">
        <is>
          <t>Y</t>
        </is>
      </c>
      <c r="E10" s="21" t="inlineStr">
        <is>
          <t>Aug-2026</t>
        </is>
      </c>
      <c r="F10" s="25" t="n">
        <v>0.8</v>
      </c>
      <c r="G10" s="21" t="inlineStr">
        <is>
          <t>Gross</t>
        </is>
      </c>
      <c r="H10" s="26" t="n">
        <v>0</v>
      </c>
      <c r="I10" s="26" t="n">
        <v>0</v>
      </c>
      <c r="J10" s="22" t="n"/>
      <c r="K10" s="27">
        <f>IF(J10&lt;&gt;"",J10,IF(G10="Gross",F10,F10/(1-H10*I10)))</f>
        <v/>
      </c>
      <c r="L10" s="27">
        <f>IF(G10="Net",F10,K10*(1-H10*I10))</f>
        <v/>
      </c>
      <c r="M10" s="8">
        <f>IF(K10=0,0,1-L10/K10)</f>
        <v/>
      </c>
      <c r="N10" s="17" t="inlineStr">
        <is>
          <t>Low</t>
        </is>
      </c>
      <c r="O10" s="16" t="inlineStr">
        <is>
          <t>Epoch AI (annualized from H1-2026 interim report); MiniMax HKEX filings</t>
        </is>
      </c>
      <c r="P10" s="16" t="inlineStr">
        <is>
          <t>H1-2026 revenue $116.6M (+283% YoY). Consumer app (Talkie) gross margin ~5% vs ~69% for enterprise services. Management run rate used; interim-based estimate ~$0.3B.</t>
        </is>
      </c>
    </row>
    <row r="11" ht="92" customHeight="1">
      <c r="A11" s="16" t="inlineStr">
        <is>
          <t>Cohere</t>
        </is>
      </c>
      <c r="B11" s="16" t="inlineStr">
        <is>
          <t>Command A (open weights, CC-BY-NC)</t>
        </is>
      </c>
      <c r="C11" s="16" t="inlineStr">
        <is>
          <t>Open (non-commercial)</t>
        </is>
      </c>
      <c r="D11" s="21" t="inlineStr">
        <is>
          <t>Y</t>
        </is>
      </c>
      <c r="E11" s="21" t="inlineStr">
        <is>
          <t>May-2026</t>
        </is>
      </c>
      <c r="F11" s="25" t="n">
        <v>0.5</v>
      </c>
      <c r="G11" s="21" t="inlineStr">
        <is>
          <t>Gross</t>
        </is>
      </c>
      <c r="H11" s="23">
        <f>Assumptions!$C$17</f>
        <v/>
      </c>
      <c r="I11" s="23">
        <f>Assumptions!$C$18</f>
        <v/>
      </c>
      <c r="J11" s="22" t="n"/>
      <c r="K11" s="27">
        <f>IF(J11&lt;&gt;"",J11,IF(G11="Gross",F11,F11/(1-H11*I11)))</f>
        <v/>
      </c>
      <c r="L11" s="27">
        <f>IF(G11="Net",F11,K11*(1-H11*I11))</f>
        <v/>
      </c>
      <c r="M11" s="8">
        <f>IF(K11=0,0,1-L11/K11)</f>
        <v/>
      </c>
      <c r="N11" s="17" t="inlineStr">
        <is>
          <t>Low</t>
        </is>
      </c>
      <c r="O11" s="16" t="inlineStr">
        <is>
          <t>CNBC (13-Feb-2026 investor memo: $240M ARR FY2025); Presenc AI est. May-2026</t>
        </is>
      </c>
      <c r="P11" s="16" t="inlineStr">
        <is>
          <t>Disclosed $240M ARR for 2025 (beat $200M target; ~70% gross margin). $500M is a third-party May-2026 estimate. Sells direct and via Oracle/Azure/AWS marketplaces - generic channel assumption applied.</t>
        </is>
      </c>
    </row>
    <row r="12" ht="92" customHeight="1">
      <c r="A12" s="16" t="inlineStr">
        <is>
          <t>AI21 Labs</t>
        </is>
      </c>
      <c r="B12" s="16" t="inlineStr">
        <is>
          <t>Jamba (open weights)</t>
        </is>
      </c>
      <c r="C12" s="16" t="inlineStr">
        <is>
          <t>Open</t>
        </is>
      </c>
      <c r="D12" s="21" t="inlineStr">
        <is>
          <t>Y</t>
        </is>
      </c>
      <c r="E12" s="21" t="inlineStr">
        <is>
          <t>2026E</t>
        </is>
      </c>
      <c r="F12" s="25" t="n">
        <v>0.35</v>
      </c>
      <c r="G12" s="21" t="inlineStr">
        <is>
          <t>Gross</t>
        </is>
      </c>
      <c r="H12" s="23">
        <f>Assumptions!$C$17</f>
        <v/>
      </c>
      <c r="I12" s="23">
        <f>Assumptions!$C$18</f>
        <v/>
      </c>
      <c r="J12" s="22" t="n"/>
      <c r="K12" s="27">
        <f>IF(J12&lt;&gt;"",J12,IF(G12="Gross",F12,F12/(1-H12*I12)))</f>
        <v/>
      </c>
      <c r="L12" s="27">
        <f>IF(G12="Net",F12,K12*(1-H12*I12))</f>
        <v/>
      </c>
      <c r="M12" s="8">
        <f>IF(K12=0,0,1-L12/K12)</f>
        <v/>
      </c>
      <c r="N12" s="17" t="inlineStr">
        <is>
          <t>Low</t>
        </is>
      </c>
      <c r="O12" s="16" t="inlineStr">
        <is>
          <t>Presenc AI / Clink third-party estimates</t>
        </is>
      </c>
      <c r="P12" s="16" t="inlineStr">
        <is>
          <t>ESTIMATE - AI21 has never disclosed revenue. Generic channel assumption applied.</t>
        </is>
      </c>
    </row>
    <row r="13" ht="92" customHeight="1">
      <c r="A13" s="16" t="inlineStr">
        <is>
          <t>Meta (Llama)</t>
        </is>
      </c>
      <c r="B13" s="16" t="inlineStr">
        <is>
          <t>Llama 4 (community license)</t>
        </is>
      </c>
      <c r="C13" s="16" t="inlineStr">
        <is>
          <t>Open (community license, 700M MAU cap)</t>
        </is>
      </c>
      <c r="D13" s="21" t="inlineStr">
        <is>
          <t>Y</t>
        </is>
      </c>
      <c r="E13" s="21" t="inlineStr">
        <is>
          <t>2026</t>
        </is>
      </c>
      <c r="F13" s="22" t="n">
        <v>0</v>
      </c>
      <c r="G13" s="21" t="inlineStr">
        <is>
          <t>Gross</t>
        </is>
      </c>
      <c r="H13" s="26" t="n">
        <v>0</v>
      </c>
      <c r="I13" s="26" t="n">
        <v>0</v>
      </c>
      <c r="J13" s="22" t="n"/>
      <c r="K13" s="24">
        <f>IF(J13&lt;&gt;"",J13,IF(G13="Gross",F13,F13/(1-H13*I13)))</f>
        <v/>
      </c>
      <c r="L13" s="24">
        <f>IF(G13="Net",F13,K13*(1-H13*I13))</f>
        <v/>
      </c>
      <c r="M13" s="8">
        <f>IF(K13=0,0,1-L13/K13)</f>
        <v/>
      </c>
      <c r="N13" s="17" t="inlineStr">
        <is>
          <t>High</t>
        </is>
      </c>
      <c r="O13" s="16" t="inlineStr">
        <is>
          <t>Meta Llama Community License; Licenseware</t>
        </is>
      </c>
      <c r="P13" s="16" t="inlineStr">
        <is>
          <t>Royalty-free: $0 direct licensing ARR. Meta has undisclosed revenue-share arrangements with some Llama hosts. Shown so open-weight totals reflect the largest US open-weight line. Meta's paid Muse Spark API is on the Frontier sheet.</t>
        </is>
      </c>
    </row>
    <row r="14" ht="92" customHeight="1">
      <c r="A14" s="16" t="inlineStr">
        <is>
          <t>ByteDance (Doubao / Seed)</t>
        </is>
      </c>
      <c r="B14" s="16" t="inlineStr">
        <is>
          <t>Doubao (closed) / Seed-OSS (open)</t>
        </is>
      </c>
      <c r="C14" s="16" t="inlineStr">
        <is>
          <t>Mixed (flagship closed)</t>
        </is>
      </c>
      <c r="D14" s="21" t="inlineStr">
        <is>
          <t>N</t>
        </is>
      </c>
      <c r="E14" s="21" t="inlineStr">
        <is>
          <t>Jul-2026</t>
        </is>
      </c>
      <c r="F14" s="25" t="n">
        <v>4</v>
      </c>
      <c r="G14" s="21" t="inlineStr">
        <is>
          <t>Gross</t>
        </is>
      </c>
      <c r="H14" s="26" t="n">
        <v>0</v>
      </c>
      <c r="I14" s="26" t="n">
        <v>0</v>
      </c>
      <c r="J14" s="22" t="n"/>
      <c r="K14" s="27">
        <f>IF(J14&lt;&gt;"",J14,IF(G14="Gross",F14,F14/(1-H14*I14)))</f>
        <v/>
      </c>
      <c r="L14" s="27">
        <f>IF(G14="Net",F14,K14*(1-H14*I14))</f>
        <v/>
      </c>
      <c r="M14" s="8">
        <f>IF(K14=0,0,1-L14/K14)</f>
        <v/>
      </c>
      <c r="N14" s="17" t="inlineStr">
        <is>
          <t>Low</t>
        </is>
      </c>
      <c r="O14" s="16" t="inlineStr">
        <is>
          <t>Epoch AI (Volcano Engine MaaS ARR); IDC</t>
        </is>
      </c>
      <c r="P14" s="16" t="inlineStr">
        <is>
          <t>EXCLUDED from totals by default: flagship Doubao models are closed and the ~$4B Volcano Engine MaaS run rate includes third-party models (DeepSeek, Kimi, GLM). 2025 MaaS revenue was only ~$221M. Flip column D to 'Y' to include.</t>
        </is>
      </c>
    </row>
    <row r="15">
      <c r="A15" s="9" t="inlineStr">
        <is>
          <t>Total (included rows)</t>
        </is>
      </c>
      <c r="B15" s="9" t="n"/>
      <c r="C15" s="9" t="n"/>
      <c r="D15" s="28">
        <f>COUNTIF(D5:D14,"Y")</f>
        <v/>
      </c>
      <c r="E15" s="9" t="n"/>
      <c r="F15" s="9" t="n"/>
      <c r="G15" s="9" t="n"/>
      <c r="H15" s="9" t="n"/>
      <c r="I15" s="9" t="n"/>
      <c r="J15" s="9" t="n"/>
      <c r="K15" s="29">
        <f>SUMIF($D$5:$D$14,"Y",K5:K14)</f>
        <v/>
      </c>
      <c r="L15" s="29">
        <f>SUMIF($D$5:$D$14,"Y",L5:L14)</f>
        <v/>
      </c>
      <c r="M15" s="30">
        <f>IF(K15=0,0,1-L15/K15)</f>
        <v/>
      </c>
      <c r="N15" s="9" t="n"/>
      <c r="O15" s="9" t="n"/>
      <c r="P15" s="9" t="n"/>
    </row>
    <row r="18">
      <c r="A18" s="15" t="inlineStr">
        <is>
          <t>Memo: open-weight inference hosts (where third-party spend on open models accrues; NOT model-lab ARR, excluded from totals)</t>
        </is>
      </c>
    </row>
    <row r="19" ht="20" customHeight="1">
      <c r="A19" s="4" t="inlineStr">
        <is>
          <t>Provider</t>
        </is>
      </c>
      <c r="B19" s="4" t="inlineStr">
        <is>
          <t>Annualized ($B)</t>
        </is>
      </c>
      <c r="C19" s="4" t="inlineStr">
        <is>
          <t>Metric</t>
        </is>
      </c>
      <c r="D19" s="4" t="inlineStr">
        <is>
          <t>As of</t>
        </is>
      </c>
      <c r="E19" s="4" t="inlineStr">
        <is>
          <t>Note</t>
        </is>
      </c>
    </row>
    <row r="20">
      <c r="A20" s="5" t="inlineStr">
        <is>
          <t>Fireworks AI</t>
        </is>
      </c>
      <c r="B20" s="31" t="n">
        <v>1</v>
      </c>
      <c r="C20" s="5" t="inlineStr">
        <is>
          <t>Annualized run rate</t>
        </is>
      </c>
      <c r="D20" s="5" t="inlineStr">
        <is>
          <t>Jul-2026</t>
        </is>
      </c>
      <c r="E20" s="32" t="inlineStr">
        <is>
          <t>Company disclosed (&gt;$1B; &gt;40T tokens/day)</t>
        </is>
      </c>
    </row>
    <row r="21">
      <c r="A21" s="5" t="inlineStr">
        <is>
          <t>Together AI</t>
        </is>
      </c>
      <c r="B21" s="31" t="n">
        <v>1</v>
      </c>
      <c r="C21" s="5" t="inlineStr">
        <is>
          <t>Annualized revenue (est.)</t>
        </is>
      </c>
      <c r="D21" s="5" t="inlineStr">
        <is>
          <t>Feb-2026</t>
        </is>
      </c>
      <c r="E21" s="32" t="inlineStr">
        <is>
          <t>Sacra estimate; company cites &gt;$1.15B annual bookings (Q2-2026)</t>
        </is>
      </c>
    </row>
    <row r="22">
      <c r="A22" s="5" t="inlineStr">
        <is>
          <t>Baseten</t>
        </is>
      </c>
      <c r="B22" s="31" t="n">
        <v>0.6</v>
      </c>
      <c r="C22" s="5" t="inlineStr">
        <is>
          <t>Annualized revenue (est.)</t>
        </is>
      </c>
      <c r="D22" s="5" t="inlineStr">
        <is>
          <t>2026</t>
        </is>
      </c>
      <c r="E22" s="32" t="inlineStr">
        <is>
          <t>Third-party estimate</t>
        </is>
      </c>
    </row>
    <row r="23">
      <c r="A23" s="5" t="inlineStr">
        <is>
          <t>fal</t>
        </is>
      </c>
      <c r="B23" s="31" t="n">
        <v>0.4</v>
      </c>
      <c r="C23" s="5" t="inlineStr">
        <is>
          <t>Annualized revenue (est.)</t>
        </is>
      </c>
      <c r="D23" s="5" t="inlineStr">
        <is>
          <t>2026</t>
        </is>
      </c>
      <c r="E23" s="32" t="inlineStr">
        <is>
          <t>Third-party estimate</t>
        </is>
      </c>
    </row>
    <row r="24">
      <c r="A24" s="9" t="inlineStr">
        <is>
          <t>Total hosts (memo)</t>
        </is>
      </c>
      <c r="B24" s="29">
        <f>SUM(B20:B23)</f>
        <v/>
      </c>
      <c r="C24" s="33" t="n"/>
      <c r="D24" s="33" t="n"/>
      <c r="E24" s="33" t="n"/>
    </row>
    <row r="26">
      <c r="A26" s="13" t="inlineStr">
        <is>
          <t>Memo: DeepSeek ecosystem spend implied by its ~8% capture of OpenRouter spend on its models ($B)</t>
        </is>
      </c>
      <c r="K26" s="34">
        <f>Open_Weight!F6/0.08</f>
        <v/>
      </c>
      <c r="L26" s="18" t="inlineStr">
        <is>
          <t>(Epoch AI; illustrative)</t>
        </is>
      </c>
    </row>
  </sheetData>
  <autoFilter ref="A4:P14"/>
  <mergeCells count="2">
    <mergeCell ref="A3:P3"/>
    <mergeCell ref="A2:P2"/>
  </mergeCells>
  <conditionalFormatting sqref="A5:P14">
    <cfRule type="expression" priority="1" dxfId="0">
      <formula>$D5="N"</formula>
    </cfRule>
  </conditionalFormatting>
  <dataValidations count="2">
    <dataValidation sqref="D5:D14" showDropDown="0" showInputMessage="0" showErrorMessage="0" allowBlank="0" type="list">
      <formula1>"Y,N"</formula1>
    </dataValidation>
    <dataValidation sqref="G5:G14" showDropDown="0" showInputMessage="0" showErrorMessage="0" allowBlank="0" type="list">
      <formula1>"Gross,Net"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4" customWidth="1" min="3" max="3"/>
    <col width="70" customWidth="1" min="4" max="4"/>
  </cols>
  <sheetData>
    <row r="2">
      <c r="B2" s="1" t="inlineStr">
        <is>
          <t>Assumptions &amp; inputs</t>
        </is>
      </c>
    </row>
    <row r="3">
      <c r="B3" s="18" t="inlineStr">
        <is>
          <t>Blue = hard-coded input (editable). All $ in billions. As of 15-Oct-2026.</t>
        </is>
      </c>
    </row>
    <row r="5">
      <c r="B5" s="35" t="inlineStr">
        <is>
          <t>OpenAI (reports NET)</t>
        </is>
      </c>
      <c r="C5" s="36" t="n"/>
      <c r="D5" s="36" t="n"/>
    </row>
    <row r="6">
      <c r="B6" s="13" t="inlineStr">
        <is>
          <t>Microsoft revenue share on OpenAI revenue</t>
        </is>
      </c>
      <c r="C6" s="37" t="n">
        <v>0.2</v>
      </c>
      <c r="D6" s="2" t="inlineStr">
        <is>
          <t>Widely reported ~20% of ChatGPT + API revenue; OpenAI reports net of this. Continues to 2030 subject to a cap.</t>
        </is>
      </c>
    </row>
    <row r="7">
      <c r="B7" s="13" t="inlineStr">
        <is>
          <t>Share of OpenAI billings subject to the MSFT share</t>
        </is>
      </c>
      <c r="C7" s="37" t="n">
        <v>1</v>
      </c>
      <c r="D7" s="2" t="inlineStr">
        <is>
          <t>Set to 100%: the share applies to OpenAI's total revenue, not just Azure channel sales.</t>
        </is>
      </c>
    </row>
    <row r="8">
      <c r="B8" s="13" t="inlineStr">
        <is>
          <t>OpenAI gross ARR per investor gross-up ($B)</t>
        </is>
      </c>
      <c r="C8" s="31" t="n">
        <v>68</v>
      </c>
      <c r="D8" s="2" t="inlineStr">
        <is>
          <t>Sep-2026 figure shared with investors on Anthropic's gross methodology (CNBC/FT). Blank this cell to fall back to the model-based gross-up (= Net / (1 - share x rate)).</t>
        </is>
      </c>
    </row>
    <row r="9">
      <c r="B9" s="13" t="inlineStr">
        <is>
          <t>OpenAI model-based gross ARR ($B) - cross-check</t>
        </is>
      </c>
      <c r="C9" s="38">
        <f>Frontier!F5/(1-C7*C6)</f>
        <v/>
      </c>
      <c r="D9" s="2" t="inlineStr">
        <is>
          <t>Formula: reported net / (1 - channel share x take rate).</t>
        </is>
      </c>
    </row>
    <row r="11">
      <c r="B11" s="35" t="inlineStr">
        <is>
          <t>Anthropic (reports GROSS)</t>
        </is>
      </c>
      <c r="C11" s="36" t="n"/>
      <c r="D11" s="36" t="n"/>
    </row>
    <row r="12">
      <c r="B12" s="13" t="inlineStr">
        <is>
          <t>Channel share of billings via cloud marketplaces</t>
        </is>
      </c>
      <c r="C12" s="37" t="n">
        <v>0.47</v>
      </c>
      <c r="D12" s="2" t="inlineStr">
        <is>
          <t>2025 actual from IPO prospectus ($2.16B of ~$4.6B). Trend: 11% (2023) -&gt; 32% (2024) -&gt; 47% (2025); likely higher in 2026.</t>
        </is>
      </c>
    </row>
    <row r="13">
      <c r="B13" s="13" t="inlineStr">
        <is>
          <t>Blended partner take rate on marketplace sales</t>
        </is>
      </c>
      <c r="C13" s="37" t="n">
        <v>0.16</v>
      </c>
      <c r="D13" s="2" t="inlineStr">
        <is>
          <t>2025 realized: ~$351M fees / $2.16B marketplace sales. SemiAnalysis puts Anthropic's Bedrock share at ~75% (25% take) on newer deals.</t>
        </is>
      </c>
    </row>
    <row r="14">
      <c r="B14" s="13" t="inlineStr">
        <is>
          <t>Implied gross-to-net haircut</t>
        </is>
      </c>
      <c r="C14" s="39">
        <f>C12*C13</f>
        <v/>
      </c>
      <c r="D14" s="2" t="inlineStr">
        <is>
          <t>Channel share x take rate.</t>
        </is>
      </c>
    </row>
    <row r="16">
      <c r="B16" s="35" t="inlineStr">
        <is>
          <t>Generic open-weight lab channel assumption (Mistral, Cohere, AI21)</t>
        </is>
      </c>
      <c r="C16" s="36" t="n"/>
      <c r="D16" s="36" t="n"/>
    </row>
    <row r="17">
      <c r="B17" s="13" t="inlineStr">
        <is>
          <t>Assumed channel share of billings via marketplaces</t>
        </is>
      </c>
      <c r="C17" s="37" t="n">
        <v>0.25</v>
      </c>
      <c r="D17" s="2" t="inlineStr">
        <is>
          <t>ASSUMPTION - none of these labs disclose the marketplace share of sales. Set to 0% to treat as fully direct.</t>
        </is>
      </c>
    </row>
    <row r="18">
      <c r="B18" s="13" t="inlineStr">
        <is>
          <t>Assumed partner take rate</t>
        </is>
      </c>
      <c r="C18" s="37" t="n">
        <v>0.2</v>
      </c>
      <c r="D18" s="2" t="inlineStr">
        <is>
          <t>ASSUMPTION - typical hyperscaler marketplace resale cut is 20-30%; Anthropic realized ~16% in 2025.</t>
        </is>
      </c>
    </row>
    <row r="19">
      <c r="B19" s="13" t="inlineStr">
        <is>
          <t>Implied gross-to-net haircut</t>
        </is>
      </c>
      <c r="C19" s="39">
        <f>C17*C18</f>
        <v/>
      </c>
      <c r="D19" s="2" t="inlineStr"/>
    </row>
    <row r="21">
      <c r="B21" s="35" t="inlineStr">
        <is>
          <t>Memo: BofA estimate of Anthropic hyperscaler payouts ($B)</t>
        </is>
      </c>
      <c r="C21" s="36" t="n"/>
      <c r="D21" s="36" t="n"/>
    </row>
    <row r="22">
      <c r="B22" s="13" t="inlineStr">
        <is>
          <t>2025E payouts</t>
        </is>
      </c>
      <c r="C22" s="31" t="n">
        <v>1.9</v>
      </c>
      <c r="D22" s="2" t="inlineStr">
        <is>
          <t>BofA, Mar-2026. Note: broader than the $351M of distribution fees disclosed in the prospectus (likely includes other cost-sharing).</t>
        </is>
      </c>
    </row>
    <row r="23">
      <c r="B23" s="13" t="inlineStr">
        <is>
          <t>2026E payouts</t>
        </is>
      </c>
      <c r="C23" s="31" t="n">
        <v>6.4</v>
      </c>
      <c r="D23" s="2" t="inlineStr">
        <is>
          <t>BofA, Mar-2026 ('up to').</t>
        </is>
      </c>
    </row>
    <row r="24">
      <c r="B24" s="13" t="inlineStr">
        <is>
          <t>2026E payouts as % of YE-2026 $110B run rate</t>
        </is>
      </c>
      <c r="C24" s="39">
        <f>C23/110</f>
        <v/>
      </c>
      <c r="D24" s="2" t="inlineStr">
        <is>
          <t>Alternative haircut lens; compare with C14.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Anthropic net ARR sensitivity ($B)</t>
        </is>
      </c>
    </row>
    <row r="3">
      <c r="B3" s="18" t="inlineStr">
        <is>
          <t>Net ARR = Gross ARR x (1 - channel share x partner take rate). Gross ARR links to the Frontier sheet.</t>
        </is>
      </c>
    </row>
    <row r="5">
      <c r="B5" s="13" t="inlineStr">
        <is>
          <t>Gross ARR ($B)</t>
        </is>
      </c>
      <c r="C5" s="38">
        <f>Frontier!K6</f>
        <v/>
      </c>
    </row>
    <row r="7">
      <c r="B7" s="4" t="inlineStr">
        <is>
          <t>Channel share  \  Partner take rate</t>
        </is>
      </c>
      <c r="C7" s="40" t="n">
        <v>0.12</v>
      </c>
      <c r="D7" s="40" t="n">
        <v>0.16</v>
      </c>
      <c r="E7" s="40" t="n">
        <v>0.2</v>
      </c>
      <c r="F7" s="40" t="n">
        <v>0.25</v>
      </c>
      <c r="G7" s="40" t="n">
        <v>0.3</v>
      </c>
    </row>
    <row r="8">
      <c r="B8" s="41" t="n">
        <v>0.35</v>
      </c>
      <c r="C8" s="7">
        <f>$C$5*(1-$B8*C$7)</f>
        <v/>
      </c>
      <c r="D8" s="7">
        <f>$C$5*(1-$B8*D$7)</f>
        <v/>
      </c>
      <c r="E8" s="7">
        <f>$C$5*(1-$B8*E$7)</f>
        <v/>
      </c>
      <c r="F8" s="7">
        <f>$C$5*(1-$B8*F$7)</f>
        <v/>
      </c>
      <c r="G8" s="7">
        <f>$C$5*(1-$B8*G$7)</f>
        <v/>
      </c>
    </row>
    <row r="9">
      <c r="B9" s="41" t="n">
        <v>0.47</v>
      </c>
      <c r="C9" s="7">
        <f>$C$5*(1-$B9*C$7)</f>
        <v/>
      </c>
      <c r="D9" s="7">
        <f>$C$5*(1-$B9*D$7)</f>
        <v/>
      </c>
      <c r="E9" s="7">
        <f>$C$5*(1-$B9*E$7)</f>
        <v/>
      </c>
      <c r="F9" s="7">
        <f>$C$5*(1-$B9*F$7)</f>
        <v/>
      </c>
      <c r="G9" s="7">
        <f>$C$5*(1-$B9*G$7)</f>
        <v/>
      </c>
    </row>
    <row r="10">
      <c r="B10" s="41" t="n">
        <v>0.55</v>
      </c>
      <c r="C10" s="7">
        <f>$C$5*(1-$B10*C$7)</f>
        <v/>
      </c>
      <c r="D10" s="7">
        <f>$C$5*(1-$B10*D$7)</f>
        <v/>
      </c>
      <c r="E10" s="7">
        <f>$C$5*(1-$B10*E$7)</f>
        <v/>
      </c>
      <c r="F10" s="7">
        <f>$C$5*(1-$B10*F$7)</f>
        <v/>
      </c>
      <c r="G10" s="7">
        <f>$C$5*(1-$B10*G$7)</f>
        <v/>
      </c>
    </row>
    <row r="11">
      <c r="B11" s="41" t="n">
        <v>0.6</v>
      </c>
      <c r="C11" s="7">
        <f>$C$5*(1-$B11*C$7)</f>
        <v/>
      </c>
      <c r="D11" s="7">
        <f>$C$5*(1-$B11*D$7)</f>
        <v/>
      </c>
      <c r="E11" s="7">
        <f>$C$5*(1-$B11*E$7)</f>
        <v/>
      </c>
      <c r="F11" s="7">
        <f>$C$5*(1-$B11*F$7)</f>
        <v/>
      </c>
      <c r="G11" s="7">
        <f>$C$5*(1-$B11*G$7)</f>
        <v/>
      </c>
    </row>
    <row r="12">
      <c r="B12" s="41" t="n">
        <v>0.7</v>
      </c>
      <c r="C12" s="7">
        <f>$C$5*(1-$B12*C$7)</f>
        <v/>
      </c>
      <c r="D12" s="7">
        <f>$C$5*(1-$B12*D$7)</f>
        <v/>
      </c>
      <c r="E12" s="7">
        <f>$C$5*(1-$B12*E$7)</f>
        <v/>
      </c>
      <c r="F12" s="7">
        <f>$C$5*(1-$B12*F$7)</f>
        <v/>
      </c>
      <c r="G12" s="7">
        <f>$C$5*(1-$B12*G$7)</f>
        <v/>
      </c>
    </row>
    <row r="14">
      <c r="B14" s="15" t="inlineStr">
        <is>
          <t>Haircut (1 - Net/Gross)</t>
        </is>
      </c>
    </row>
    <row r="15">
      <c r="B15" s="4" t="inlineStr">
        <is>
          <t>Channel share  \  Partner take rate</t>
        </is>
      </c>
      <c r="C15" s="40" t="n">
        <v>0.12</v>
      </c>
      <c r="D15" s="40" t="n">
        <v>0.16</v>
      </c>
      <c r="E15" s="40" t="n">
        <v>0.2</v>
      </c>
      <c r="F15" s="40" t="n">
        <v>0.25</v>
      </c>
      <c r="G15" s="40" t="n">
        <v>0.3</v>
      </c>
    </row>
    <row r="16">
      <c r="B16" s="41" t="n">
        <v>0.35</v>
      </c>
      <c r="C16" s="8">
        <f>$B16*C$15</f>
        <v/>
      </c>
      <c r="D16" s="8">
        <f>$B16*D$15</f>
        <v/>
      </c>
      <c r="E16" s="8">
        <f>$B16*E$15</f>
        <v/>
      </c>
      <c r="F16" s="8">
        <f>$B16*F$15</f>
        <v/>
      </c>
      <c r="G16" s="8">
        <f>$B16*G$15</f>
        <v/>
      </c>
    </row>
    <row r="17">
      <c r="B17" s="41" t="n">
        <v>0.47</v>
      </c>
      <c r="C17" s="8">
        <f>$B17*C$15</f>
        <v/>
      </c>
      <c r="D17" s="8">
        <f>$B17*D$15</f>
        <v/>
      </c>
      <c r="E17" s="8">
        <f>$B17*E$15</f>
        <v/>
      </c>
      <c r="F17" s="8">
        <f>$B17*F$15</f>
        <v/>
      </c>
      <c r="G17" s="8">
        <f>$B17*G$15</f>
        <v/>
      </c>
    </row>
    <row r="18">
      <c r="B18" s="41" t="n">
        <v>0.55</v>
      </c>
      <c r="C18" s="8">
        <f>$B18*C$15</f>
        <v/>
      </c>
      <c r="D18" s="8">
        <f>$B18*D$15</f>
        <v/>
      </c>
      <c r="E18" s="8">
        <f>$B18*E$15</f>
        <v/>
      </c>
      <c r="F18" s="8">
        <f>$B18*F$15</f>
        <v/>
      </c>
      <c r="G18" s="8">
        <f>$B18*G$15</f>
        <v/>
      </c>
    </row>
    <row r="19">
      <c r="B19" s="41" t="n">
        <v>0.6</v>
      </c>
      <c r="C19" s="8">
        <f>$B19*C$15</f>
        <v/>
      </c>
      <c r="D19" s="8">
        <f>$B19*D$15</f>
        <v/>
      </c>
      <c r="E19" s="8">
        <f>$B19*E$15</f>
        <v/>
      </c>
      <c r="F19" s="8">
        <f>$B19*F$15</f>
        <v/>
      </c>
      <c r="G19" s="8">
        <f>$B19*G$15</f>
        <v/>
      </c>
    </row>
    <row r="20">
      <c r="B20" s="41" t="n">
        <v>0.7</v>
      </c>
      <c r="C20" s="8">
        <f>$B20*C$15</f>
        <v/>
      </c>
      <c r="D20" s="8">
        <f>$B20*D$15</f>
        <v/>
      </c>
      <c r="E20" s="8">
        <f>$B20*E$15</f>
        <v/>
      </c>
      <c r="F20" s="8">
        <f>$B20*F$15</f>
        <v/>
      </c>
      <c r="G20" s="8">
        <f>$B20*G$15</f>
        <v/>
      </c>
    </row>
    <row r="23">
      <c r="B23" s="15" t="inlineStr">
        <is>
          <t>Reference points</t>
        </is>
      </c>
    </row>
    <row r="24">
      <c r="B24" s="13" t="inlineStr">
        <is>
          <t>Base case (prospectus 2025: 47% share x 16% take)</t>
        </is>
      </c>
      <c r="C24" s="38">
        <f>Frontier!L6</f>
        <v/>
      </c>
    </row>
    <row r="25">
      <c r="B25" s="13" t="inlineStr">
        <is>
          <t>Share of 2025 billings via marketplaces</t>
        </is>
      </c>
      <c r="C25" s="39">
        <f>Assumptions!C12</f>
        <v/>
      </c>
    </row>
    <row r="26">
      <c r="B26" s="13" t="inlineStr">
        <is>
          <t>2025 realized take rate</t>
        </is>
      </c>
      <c r="C26" s="39">
        <f>Assumptions!C13</f>
        <v/>
      </c>
    </row>
    <row r="27">
      <c r="B27" s="13" t="inlineStr">
        <is>
          <t>BofA 2026E payouts / $110B YE run rate</t>
        </is>
      </c>
      <c r="C27" s="39">
        <f>Assumptions!C24</f>
        <v/>
      </c>
    </row>
    <row r="28">
      <c r="B28" s="13" t="inlineStr">
        <is>
          <t>OpenAI implied haircut (1 - 50/68) for comparison</t>
        </is>
      </c>
      <c r="C28" s="39">
        <f>Frontier!M5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2">
      <c r="B2" s="1" t="inlineStr">
        <is>
          <t>Methodology &amp; definitions</t>
        </is>
      </c>
    </row>
    <row r="4">
      <c r="B4" s="42" t="inlineStr">
        <is>
          <t>Definitions</t>
        </is>
      </c>
    </row>
    <row r="5" ht="30" customHeight="1">
      <c r="B5" s="43" t="inlineStr">
        <is>
          <t>ARR / annualized run rate: the most recent month's (or quarter's) revenue extrapolated to a year. Labs disclose these to investors or the press; none are audited annual revenue. Where only quarterly revenue exists, x4 is shown in the notes, not in the ARR column.</t>
        </is>
      </c>
    </row>
    <row r="6" ht="30" customHeight="1">
      <c r="B6" s="43" t="inlineStr">
        <is>
          <t>Gross ARR: annualized value of end-customer billings for the lab's models, including sales that clear through cloud marketplaces (AWS Bedrock, Google Vertex / Gemini Enterprise Agent Platform, Azure Foundry) or other distribution partners at full value. This is Anthropic's GAAP presentation (lab is the principal; partner fee is an S&amp;M expense).</t>
        </is>
      </c>
    </row>
    <row r="7" ht="30" customHeight="1">
      <c r="B7" s="43" t="inlineStr">
        <is>
          <t>Net ARR: annualized revenue retained by the lab after the distribution partner's revenue share. This is OpenAI's GAAP presentation (reports net of the ~20% Microsoft share).</t>
        </is>
      </c>
    </row>
    <row r="8" ht="30" customHeight="1">
      <c r="B8" s="43" t="inlineStr">
        <is>
          <t>Gross-to-net haircut: 1 - Net / Gross = channel share of billings x partner take rate.</t>
        </is>
      </c>
    </row>
    <row r="9">
      <c r="B9" s="43" t="inlineStr"/>
    </row>
    <row r="10">
      <c r="B10" s="42" t="inlineStr">
        <is>
          <t>Calculation logic (Frontier and Open_Weight sheets)</t>
        </is>
      </c>
    </row>
    <row r="11" ht="30" customHeight="1">
      <c r="B11" s="43" t="inlineStr">
        <is>
          <t>Gross ARR = Gross override if provided; otherwise the reported figure if the basis is 'Gross'; otherwise reported net / (1 - channel share x take rate).</t>
        </is>
      </c>
    </row>
    <row r="12" ht="30" customHeight="1">
      <c r="B12" s="43" t="inlineStr">
        <is>
          <t>Net ARR = reported figure if the basis is 'Net'; otherwise Gross ARR x (1 - channel share x take rate).</t>
        </is>
      </c>
    </row>
    <row r="13" ht="30" customHeight="1">
      <c r="B13" s="43" t="inlineStr">
        <is>
          <t>Rows with 'N' in the Include column are excluded from totals and the Summary via SUMIF. Totals are not adjusted for differing 'As of' dates.</t>
        </is>
      </c>
    </row>
    <row r="14">
      <c r="B14" s="43" t="inlineStr"/>
    </row>
    <row r="15">
      <c r="B15" s="42" t="inlineStr">
        <is>
          <t>Classification</t>
        </is>
      </c>
    </row>
    <row r="16" ht="30" customHeight="1">
      <c r="B16" s="43" t="inlineStr">
        <is>
          <t>Frontier (closed-weight): labs whose flagship models are API/subscription-only - OpenAI, Anthropic, Google DeepMind, xAI, Meta (Muse Spark, closed since Apr-2026).</t>
        </is>
      </c>
    </row>
    <row r="17" ht="30" customHeight="1">
      <c r="B17" s="43" t="inlineStr">
        <is>
          <t>Open-weight: labs whose current flagship or main commercial line ships downloadable weights - Mistral, DeepSeek, Alibaba Qwen (small/mid tiers open; Max proprietary), Z.ai, Moonshot, MiniMax (non-commercial license), Cohere (CC-BY-NC), AI21, Meta Llama. ByteDance is listed but excluded by default.</t>
        </is>
      </c>
    </row>
    <row r="18" ht="30" customHeight="1">
      <c r="B18" s="43" t="inlineStr">
        <is>
          <t>Open-weight artefacts from closed labs (OpenAI gpt-oss, Google Gemma) generate no separate revenue and are not listed.</t>
        </is>
      </c>
    </row>
    <row r="19" ht="30" customHeight="1">
      <c r="B19" s="43" t="inlineStr">
        <is>
          <t>Inference hosts (Fireworks, Together, Baseten, fal) are a memo item: they monetise open weights but are not model labs, so they are excluded from lab totals.</t>
        </is>
      </c>
    </row>
    <row r="20">
      <c r="B20" s="43" t="inlineStr"/>
    </row>
    <row r="21">
      <c r="B21" s="42" t="inlineStr">
        <is>
          <t>Confidence flags</t>
        </is>
      </c>
    </row>
    <row r="22" ht="30" customHeight="1">
      <c r="B22" s="43" t="inlineStr">
        <is>
          <t>High: company disclosure or multiple major outlets citing investor materials. Medium: single credible report or management figure. Low: third-party estimate or a management figure that conflicts with filed financials (yellow fill).</t>
        </is>
      </c>
    </row>
    <row r="23">
      <c r="B23" s="43" t="inlineStr"/>
    </row>
    <row r="24">
      <c r="B24" s="42" t="inlineStr">
        <is>
          <t>Known limitations</t>
        </is>
      </c>
    </row>
    <row r="25" ht="30" customHeight="1">
      <c r="B25" s="43" t="inlineStr">
        <is>
          <t>Anthropic's channel share and take rate are 2025 full-year actuals from the IPO prospectus; 2026 marketplace mix is likely higher and newer Bedrock terms reportedly carry ~25% take. Use the Anthropic_Sensitivity sheet.</t>
        </is>
      </c>
    </row>
    <row r="26" ht="30" customHeight="1">
      <c r="B26" s="43" t="inlineStr">
        <is>
          <t>OpenAI's gross figure is an investor construct; OpenAI itself has not published a gross number. Model-based gross at 20% is $62.5B.</t>
        </is>
      </c>
    </row>
    <row r="27" ht="30" customHeight="1">
      <c r="B27" s="43" t="inlineStr">
        <is>
          <t>Gemini, Grok and Muse Spark revenue are not disclosed by their parents; estimates vary widely (Gemini $7-14B).</t>
        </is>
      </c>
    </row>
    <row r="28" ht="30" customHeight="1">
      <c r="B28" s="43" t="inlineStr">
        <is>
          <t>Chinese lab run rates mix management claims and interim-report annualisations; Z.ai's $1.8B ARR vs ~$142M H1-2026 revenue is the largest discrepancy.</t>
        </is>
      </c>
    </row>
    <row r="29" ht="30" customHeight="1">
      <c r="B29" s="43" t="inlineStr">
        <is>
          <t>Generic 25% channel / 20% take assumption for Mistral, Cohere and AI21 is a placeholder; set Assumptions!C17 to 0% to treat them as fully direct.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6" customWidth="1" min="2" max="2"/>
    <col width="30" customWidth="1" min="3" max="3"/>
    <col width="110" customWidth="1" min="4" max="4"/>
  </cols>
  <sheetData>
    <row r="2">
      <c r="B2" s="1" t="inlineStr">
        <is>
          <t>Sources</t>
        </is>
      </c>
    </row>
    <row r="3">
      <c r="B3" s="18" t="inlineStr">
        <is>
          <t>Accessed 15-Oct-2026.</t>
        </is>
      </c>
    </row>
    <row r="5" ht="20" customHeight="1">
      <c r="A5" s="3" t="n"/>
      <c r="B5" s="4" t="inlineStr">
        <is>
          <t>Data point</t>
        </is>
      </c>
      <c r="C5" s="4" t="inlineStr">
        <is>
          <t>Outlet</t>
        </is>
      </c>
      <c r="D5" s="4" t="inlineStr">
        <is>
          <t>URL</t>
        </is>
      </c>
    </row>
    <row r="6">
      <c r="B6" s="16" t="inlineStr">
        <is>
          <t>OpenAI $50B net ARR; $68-70B gross-up</t>
        </is>
      </c>
      <c r="C6" s="16" t="inlineStr">
        <is>
          <t>Reuters via Investing.com</t>
        </is>
      </c>
      <c r="D6" s="44" t="inlineStr">
        <is>
          <t>https://www.investing.com/news/stock-market-news/openais-annualized-revenue-20-billion-less-than-previously-signaled-ft-reports-4939854</t>
        </is>
      </c>
    </row>
    <row r="7">
      <c r="B7" s="16" t="inlineStr">
        <is>
          <t>OpenAI $50B vs $68B gross partner revenue</t>
        </is>
      </c>
      <c r="C7" s="16" t="inlineStr">
        <is>
          <t>CNBC</t>
        </is>
      </c>
      <c r="D7" s="44" t="inlineStr">
        <is>
          <t>https://www.cnbc.com/2026/10/08/open-ai-revenue-nvidia-oracle-coreweave.html</t>
        </is>
      </c>
    </row>
    <row r="8">
      <c r="B8" s="16" t="inlineStr">
        <is>
          <t>OpenAI / Anthropic revenue accounting difference</t>
        </is>
      </c>
      <c r="C8" s="16" t="inlineStr">
        <is>
          <t>Axios</t>
        </is>
      </c>
      <c r="D8" s="44" t="inlineStr">
        <is>
          <t>https://www.axios.com/2026/10/08/openai-50-billion-arr-anthropic-revenue-accounting</t>
        </is>
      </c>
    </row>
    <row r="9">
      <c r="B9" s="16" t="inlineStr">
        <is>
          <t>OpenAI expects &gt;=$70B ARR by YE-2026</t>
        </is>
      </c>
      <c r="C9" s="16" t="inlineStr">
        <is>
          <t>Bloomberg via Yahoo Finance</t>
        </is>
      </c>
      <c r="D9" s="44" t="inlineStr">
        <is>
          <t>https://finance.yahoo.com/technology/ai/articles/openai-expects-70-billion-annualized-014338719.html</t>
        </is>
      </c>
    </row>
    <row r="10">
      <c r="B10" s="16" t="inlineStr">
        <is>
          <t>OpenAI 20% Microsoft revenue share; net reporting</t>
        </is>
      </c>
      <c r="C10" s="16" t="inlineStr">
        <is>
          <t>TechCrunch</t>
        </is>
      </c>
      <c r="D10" s="44" t="inlineStr">
        <is>
          <t>https://techcrunch.com/2025/11/14/leaked-documents-shed-light-into-how-much-openai-pays-microsoft/</t>
        </is>
      </c>
    </row>
    <row r="11">
      <c r="B11" s="16" t="inlineStr">
        <is>
          <t>OpenAI-Microsoft amended agreement (rev share to 2030, capped)</t>
        </is>
      </c>
      <c r="C11" s="16" t="inlineStr">
        <is>
          <t>OpenAI</t>
        </is>
      </c>
      <c r="D11" s="44" t="inlineStr">
        <is>
          <t>https://openai.com/index/next-phase-of-microsoft-partnership/</t>
        </is>
      </c>
    </row>
    <row r="12">
      <c r="B12" s="16" t="inlineStr">
        <is>
          <t>Net vs gross reporting conventions; BofA $6.4B 2026 payout est.</t>
        </is>
      </c>
      <c r="C12" s="16" t="inlineStr">
        <is>
          <t>Forbes</t>
        </is>
      </c>
      <c r="D12" s="44" t="inlineStr">
        <is>
          <t>https://www.forbes.com/sites/josipamajic/2026/03/25/openai-and-anthropic-count-revenue-differently-and-investors-are-looking-into-it/</t>
        </is>
      </c>
    </row>
    <row r="13">
      <c r="B13" s="16" t="inlineStr">
        <is>
          <t>Anthropic $65B run rate (end-Jul-2026)</t>
        </is>
      </c>
      <c r="C13" s="16" t="inlineStr">
        <is>
          <t>Reuters</t>
        </is>
      </c>
      <c r="D13" s="44" t="inlineStr">
        <is>
          <t>https://www.reuters.com/technology/anthropic-revenue-run-rate-tops-65-billion-source-says-2026-08-17/</t>
        </is>
      </c>
    </row>
    <row r="14">
      <c r="B14" s="16" t="inlineStr">
        <is>
          <t>Anthropic Q2-2026 revenue $11.5B</t>
        </is>
      </c>
      <c r="C14" s="16" t="inlineStr">
        <is>
          <t>Axios</t>
        </is>
      </c>
      <c r="D14" s="44" t="inlineStr">
        <is>
          <t>https://www.axios.com/2026/08/17/anthropic-revenue-run-rate-ipo-openai</t>
        </is>
      </c>
    </row>
    <row r="15">
      <c r="B15" s="16" t="inlineStr">
        <is>
          <t>Anthropic Q3-2026 revenue $16.8B; $110B YE target</t>
        </is>
      </c>
      <c r="C15" s="16" t="inlineStr">
        <is>
          <t>CNBC</t>
        </is>
      </c>
      <c r="D15" s="44" t="inlineStr">
        <is>
          <t>https://www.cnbc.com/2026/10/15/anthropics-third-quarter-revenue-hits-16point8-billion-ipo.html</t>
        </is>
      </c>
    </row>
    <row r="16">
      <c r="B16" s="16" t="inlineStr">
        <is>
          <t>Anthropic prospectus: 47% via marketplaces, $351M fees</t>
        </is>
      </c>
      <c r="C16" s="16" t="inlineStr">
        <is>
          <t>Reuters via Investing.com</t>
        </is>
      </c>
      <c r="D16" s="44" t="inlineStr">
        <is>
          <t>https://www.investing.com/news/stock-market-news/exclusiveanthropic-ipo-prospectus-lays-bare-deep-dependence-on-big-tech-partners-4923585</t>
        </is>
      </c>
    </row>
    <row r="17">
      <c r="B17" s="16" t="inlineStr">
        <is>
          <t>Anthropic Bedrock economics (~75% lab share)</t>
        </is>
      </c>
      <c r="C17" s="16" t="inlineStr">
        <is>
          <t>SemiAnalysis</t>
        </is>
      </c>
      <c r="D17" s="44" t="inlineStr">
        <is>
          <t>https://newsletter.semianalysis.com/p/anthropic-growth-and-bedrock-mix</t>
        </is>
      </c>
    </row>
    <row r="18">
      <c r="B18" s="16" t="inlineStr">
        <is>
          <t>Gemini ARR est. $12B (2Q26)</t>
        </is>
      </c>
      <c r="C18" s="16" t="inlineStr">
        <is>
          <t>SemiAnalysis</t>
        </is>
      </c>
      <c r="D18" s="44" t="inlineStr">
        <is>
          <t>https://newsletter.semianalysis.com/p/gemini-is-cooked-but-gcp-is-cooking</t>
        </is>
      </c>
    </row>
    <row r="19">
      <c r="B19" s="16" t="inlineStr">
        <is>
          <t>Gemini direct model revenue est. $7-10B</t>
        </is>
      </c>
      <c r="C19" s="16" t="inlineStr">
        <is>
          <t>The Compute Chain</t>
        </is>
      </c>
      <c r="D19" s="44" t="inlineStr">
        <is>
          <t>https://thecomputechain.substack.com/p/beyond-openai-and-anthropic-how-much</t>
        </is>
      </c>
    </row>
    <row r="20">
      <c r="B20" s="16" t="inlineStr">
        <is>
          <t>Google AI bundle ~$28B; lab comparison table</t>
        </is>
      </c>
      <c r="C20" s="16" t="inlineStr">
        <is>
          <t>Presenc AI</t>
        </is>
      </c>
      <c r="D20" s="44" t="inlineStr">
        <is>
          <t>https://presenc.ai/research/ai-lab-revenue-and-valuation-2026</t>
        </is>
      </c>
    </row>
    <row r="21">
      <c r="B21" s="16" t="inlineStr">
        <is>
          <t>xAI standalone ~$500M ARR; SpaceX AI segment</t>
        </is>
      </c>
      <c r="C21" s="16" t="inlineStr">
        <is>
          <t>Value Add VC</t>
        </is>
      </c>
      <c r="D21" s="44" t="inlineStr">
        <is>
          <t>https://valueaddvc.com/blog/xai-revenue-how-grok-and-the-api-actually-make-money</t>
        </is>
      </c>
    </row>
    <row r="22">
      <c r="B22" s="16" t="inlineStr">
        <is>
          <t>xAI / X combined revenue; Grok standalone</t>
        </is>
      </c>
      <c r="C22" s="16" t="inlineStr">
        <is>
          <t>Sacra</t>
        </is>
      </c>
      <c r="D22" s="44" t="inlineStr">
        <is>
          <t>https://sacra.com/research/why-spacex-acquired-xai/</t>
        </is>
      </c>
    </row>
    <row r="23">
      <c r="B23" s="16" t="inlineStr">
        <is>
          <t>Meta Muse Spark paid API launch</t>
        </is>
      </c>
      <c r="C23" s="16" t="inlineStr">
        <is>
          <t>Bloomberg via Yahoo Finance</t>
        </is>
      </c>
      <c r="D23" s="44" t="inlineStr">
        <is>
          <t>https://finance.yahoo.com/technology/ai/articles/meta-launches-paid-muse-spark-205823294.html</t>
        </is>
      </c>
    </row>
    <row r="24">
      <c r="B24" s="16" t="inlineStr">
        <is>
          <t>Meta OpenRouter-attributable API billings</t>
        </is>
      </c>
      <c r="C24" s="16" t="inlineStr">
        <is>
          <t>Vantage</t>
        </is>
      </c>
      <c r="D24" s="44" t="inlineStr">
        <is>
          <t>https://routers.vantage.sh/providers/meta</t>
        </is>
      </c>
    </row>
    <row r="25">
      <c r="B25" s="16" t="inlineStr">
        <is>
          <t>Llama royalty-free community license</t>
        </is>
      </c>
      <c r="C25" s="16" t="inlineStr">
        <is>
          <t>Licenseware</t>
        </is>
      </c>
      <c r="D25" s="44" t="inlineStr">
        <is>
          <t>https://wiki.licenseware.io/vendors/meta/</t>
        </is>
      </c>
    </row>
    <row r="26">
      <c r="B26" s="16" t="inlineStr">
        <is>
          <t>Mistral ARR slightly above $1B (CFO)</t>
        </is>
      </c>
      <c r="C26" s="16" t="inlineStr">
        <is>
          <t>WSJ</t>
        </is>
      </c>
      <c r="D26" s="44" t="inlineStr">
        <is>
          <t>https://www.wsj.com/tech/ai/mistral-ai-exceeds-24-billion-valuation-after-samsung-led-investment-round-ea377b82</t>
        </is>
      </c>
    </row>
    <row r="27">
      <c r="B27" s="16" t="inlineStr">
        <is>
          <t>Mistral EUR3B round; $1B ARR track</t>
        </is>
      </c>
      <c r="C27" s="16" t="inlineStr">
        <is>
          <t>Reuters</t>
        </is>
      </c>
      <c r="D27" s="44" t="inlineStr">
        <is>
          <t>https://www.reuters.com/world/europe/french-ai-company-mistral-hits-24-billion-valuation-funding-round-2026-09-08/</t>
        </is>
      </c>
    </row>
    <row r="28">
      <c r="B28" s="16" t="inlineStr">
        <is>
          <t>Chinese labs: DeepSeek, Z.ai, Moonshot, MiniMax, Alibaba, ByteDance</t>
        </is>
      </c>
      <c r="C28" s="16" t="inlineStr">
        <is>
          <t>Epoch AI</t>
        </is>
      </c>
      <c r="D28" s="44" t="inlineStr">
        <is>
          <t>https://epoch.ai/publications/how-do-chinese-ai-companies-make-money</t>
        </is>
      </c>
    </row>
    <row r="29">
      <c r="B29" s="16" t="inlineStr">
        <is>
          <t>Chinese lab revenue summary; DeepSeek 8% capture</t>
        </is>
      </c>
      <c r="C29" s="16" t="inlineStr">
        <is>
          <t>BigGo Finance (Epoch summary)</t>
        </is>
      </c>
      <c r="D29" s="44" t="inlineStr">
        <is>
          <t>https://finance.biggo.com/news/6f6fb5ef-6493-41f1-849c-d6fd0d4bfeab</t>
        </is>
      </c>
    </row>
    <row r="30">
      <c r="B30" s="16" t="inlineStr">
        <is>
          <t>Open-weight revenue leakage to third-party hosts</t>
        </is>
      </c>
      <c r="C30" s="16" t="inlineStr">
        <is>
          <t>Opentechwire</t>
        </is>
      </c>
      <c r="D30" s="44" t="inlineStr">
        <is>
          <t>https://www.opentechwire.com/article/open-weight-paradox-chinese-ai-labs-revenue-third-party</t>
        </is>
      </c>
    </row>
    <row r="31">
      <c r="B31" s="16" t="inlineStr">
        <is>
          <t>Zhipu / MiniMax H1-2026 revenue; Kimi run rate</t>
        </is>
      </c>
      <c r="C31" s="16" t="inlineStr">
        <is>
          <t>Nexuswild</t>
        </is>
      </c>
      <c r="D31" s="44" t="inlineStr">
        <is>
          <t>https://nexuswild.com/news/ai-revenue-openai-claude-gemini-grok-deepseek-kimi-competition/</t>
        </is>
      </c>
    </row>
    <row r="32">
      <c r="B32" s="16" t="inlineStr">
        <is>
          <t>Cohere $240M ARR (FY2025)</t>
        </is>
      </c>
      <c r="C32" s="16" t="inlineStr">
        <is>
          <t>CNBC</t>
        </is>
      </c>
      <c r="D32" s="44" t="inlineStr">
        <is>
          <t>https://www.cnbc.com/2026/02/13/ai-startup-cohere-revenue-ipo.html</t>
        </is>
      </c>
    </row>
    <row r="33">
      <c r="B33" s="16" t="inlineStr">
        <is>
          <t>AI21 Labs ~$350M est.</t>
        </is>
      </c>
      <c r="C33" s="16" t="inlineStr">
        <is>
          <t>Clink</t>
        </is>
      </c>
      <c r="D33" s="44" t="inlineStr">
        <is>
          <t>https://clinkbill.com/arr-leaderboard/ai21</t>
        </is>
      </c>
    </row>
    <row r="34">
      <c r="B34" s="16" t="inlineStr">
        <is>
          <t>Fireworks / Together / Baseten / fal run rates</t>
        </is>
      </c>
      <c r="C34" s="16" t="inlineStr">
        <is>
          <t>New Market Pitch</t>
        </is>
      </c>
      <c r="D34" s="44" t="inlineStr">
        <is>
          <t>https://newmarketpitch.com/blogs/news/ai-infrastructure-top-revenue</t>
        </is>
      </c>
    </row>
    <row r="35">
      <c r="B35" s="16" t="inlineStr">
        <is>
          <t>Together AI $1B annualized est.</t>
        </is>
      </c>
      <c r="C35" s="16" t="inlineStr">
        <is>
          <t>Sacra</t>
        </is>
      </c>
      <c r="D35" s="44" t="inlineStr">
        <is>
          <t>https://sacra.com/c/together-ai/</t>
        </is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2026-10-15T12:46:06Z</dcterms:created>
  <dcterms:modified xsi:type="dcterms:W3CDTF">2026-10-15T12:46:06Z</dcterms:modified>
</cp:coreProperties>
</file>