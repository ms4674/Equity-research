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Notes" sheetId="1" state="visible" r:id="rId1"/>
    <sheet name="Summary - Owned vs Leased" sheetId="2" state="visible" r:id="rId2"/>
    <sheet name="Owned - Site Energy" sheetId="3" state="visible" r:id="rId3"/>
    <sheet name="Owned - Campus Detail" sheetId="4" state="visible" r:id="rId4"/>
    <sheet name="Leased &amp; Colocation" sheetId="5" state="visible" r:id="rId5"/>
    <sheet name="AI Buildout (GW)" sheetId="6" state="visible" r:id="rId6"/>
    <sheet name="Sources &amp; 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1F3864"/>
      <sz val="11"/>
    </font>
    <font>
      <name val="Calibri"/>
      <sz val="10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AF0F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3" fontId="0" fillId="4" borderId="1" pivotButton="0" quotePrefix="0" xfId="0"/>
    <xf numFmtId="164" fontId="0" fillId="4" borderId="1" pivotButton="0" quotePrefix="0" xfId="0"/>
    <xf numFmtId="0" fontId="7" fillId="5" borderId="1" applyAlignment="1" pivotButton="0" quotePrefix="0" xfId="0">
      <alignment horizontal="left" vertical="center" wrapText="1"/>
    </xf>
    <xf numFmtId="3" fontId="0" fillId="5" borderId="1" pivotButton="0" quotePrefix="0" xfId="0"/>
    <xf numFmtId="164" fontId="0" fillId="5" borderId="1" pivotButton="0" quotePrefix="0" xfId="0"/>
    <xf numFmtId="0" fontId="4" fillId="6" borderId="1" applyAlignment="1" pivotButton="0" quotePrefix="0" xfId="0">
      <alignment horizontal="left" vertical="center" wrapText="1"/>
    </xf>
    <xf numFmtId="3" fontId="0" fillId="6" borderId="1" pivotButton="0" quotePrefix="0" xfId="0"/>
    <xf numFmtId="164" fontId="0" fillId="6" borderId="1" pivotButton="0" quotePrefix="0" xfId="0"/>
    <xf numFmtId="0" fontId="7" fillId="7" borderId="1" pivotButton="0" quotePrefix="0" xfId="0"/>
    <xf numFmtId="3" fontId="7" fillId="7" borderId="1" pivotButton="0" quotePrefix="0" xfId="0"/>
    <xf numFmtId="164" fontId="7" fillId="7" borderId="1" pivotButton="0" quotePrefix="0" xfId="0"/>
    <xf numFmtId="0" fontId="0" fillId="7" borderId="1" pivotButton="0" quotePrefix="0" xfId="0"/>
    <xf numFmtId="3" fontId="5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1" pivotButton="0" quotePrefix="0" xfId="0"/>
    <xf numFmtId="3" fontId="0" fillId="0" borderId="1" pivotButton="0" quotePrefix="0" xfId="0"/>
    <xf numFmtId="0" fontId="0" fillId="8" borderId="1" applyAlignment="1" pivotButton="0" quotePrefix="0" xfId="0">
      <alignment horizontal="left" vertical="center" wrapText="1"/>
    </xf>
    <xf numFmtId="3" fontId="0" fillId="8" borderId="1" pivotButton="0" quotePrefix="0" xfId="0"/>
    <xf numFmtId="164" fontId="0" fillId="8" borderId="1" pivotButton="0" quotePrefix="0" xfId="0"/>
    <xf numFmtId="0" fontId="7" fillId="4" borderId="1" pivotButton="0" quotePrefix="0" xfId="0"/>
    <xf numFmtId="3" fontId="7" fillId="4" borderId="1" pivotButton="0" quotePrefix="0" xfId="0"/>
    <xf numFmtId="164" fontId="7" fillId="4" borderId="1" pivotButton="0" quotePrefix="0" xfId="0"/>
    <xf numFmtId="0" fontId="4" fillId="5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4" fillId="0" borderId="0" pivotButton="0" quotePrefix="0" xfId="0"/>
    <xf numFmtId="3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5" fontId="7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pivotButton="0" quotePrefix="0" xfId="0"/>
    <xf numFmtId="165" fontId="7" fillId="0" borderId="1" pivotButton="0" quotePrefix="0" xfId="0"/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FY2024 DC electricity: Owned vs Leased vs Other</a:t>
            </a:r>
          </a:p>
        </rich>
      </tx>
    </title>
    <plotArea>
      <pieChart>
        <varyColors val="1"/>
        <ser>
          <idx val="0"/>
          <order val="0"/>
          <tx>
            <strRef>
              <f>'Summary - Owned vs Leased'!F5</f>
            </strRef>
          </tx>
          <spPr>
            <a:ln>
              <a:prstDash val="solid"/>
            </a:ln>
          </spPr>
          <cat>
            <numRef>
              <f>'Summary - Owned vs Leased'!$A$6:$A$8</f>
            </numRef>
          </cat>
          <val>
            <numRef>
              <f>'Summary - Owned vs Leased'!$F$6:$F$8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DC electricity by ownership (MWh/yr)</a:t>
            </a:r>
          </a:p>
        </rich>
      </tx>
    </title>
    <plotArea>
      <barChart>
        <barDir val="col"/>
        <grouping val="stacked"/>
        <ser>
          <idx val="0"/>
          <order val="0"/>
          <spPr>
            <a:ln>
              <a:prstDash val="solid"/>
            </a:ln>
          </spPr>
          <cat>
            <numRef>
              <f>'Summary - Owned vs Leased'!$B$5:$F$5</f>
            </numRef>
          </cat>
          <val>
            <numRef>
              <f>'Summary - Owned vs Leased'!$B$6:$F$6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'Summary - Owned vs Leased'!$B$5:$F$5</f>
            </numRef>
          </cat>
          <val>
            <numRef>
              <f>'Summary - Owned vs Leased'!$B$7:$F$7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'Summary - Owned vs Leased'!$B$5:$F$5</f>
            </numRef>
          </cat>
          <val>
            <numRef>
              <f>'Summary - Owned vs Leased'!$B$8:$F$8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50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2" customHeight="1">
      <c r="A1" s="1" t="inlineStr">
        <is>
          <t>Meta Platforms — Total Compute Capacity: Owned vs. Leased</t>
        </is>
      </c>
      <c r="B1" s="2" t="n"/>
    </row>
    <row r="2" ht="20" customHeight="1">
      <c r="A2" s="3" t="inlineStr">
        <is>
          <t>Data-center footprint aggregated from Meta disclosures and third-party trackers  |  Compiled for equity research</t>
        </is>
      </c>
      <c r="B2" s="4" t="n"/>
    </row>
    <row r="4" ht="60" customHeight="1">
      <c r="A4" s="5" t="inlineStr">
        <is>
          <t>What this workbook shows</t>
        </is>
      </c>
      <c r="B4" s="6" t="inlineStr">
        <is>
          <t>A granular aggregation of Meta's total data-center (compute) capacity, split between company-OWNED facilities and LEASED / colocation capacity. In the data-center industry, capacity is measured in electric power (MW / GW) because power is the binding constraint on how much compute (servers / GPUs) a site can host.</t>
        </is>
      </c>
    </row>
    <row r="5" ht="60" customHeight="1">
      <c r="A5" s="5" t="inlineStr">
        <is>
          <t>The cleanest owned-vs-leased split</t>
        </is>
      </c>
      <c r="B5" s="6" t="inlineStr">
        <is>
          <t>Meta does not publish a single 'owned vs leased MW' figure. However, its annual Environmental Data Index reports ACTUAL electricity consumption (MWh/yr) for every owned online data center individually, plus one line for 'Leased data center facilities.' That is the most authoritative apples-to-apples split of realized compute and anchors the 'Summary' tab.</t>
        </is>
      </c>
    </row>
    <row r="6" ht="45" customHeight="1">
      <c r="A6" s="5" t="inlineStr">
        <is>
          <t>Headline (FY2024, by electricity consumed)</t>
        </is>
      </c>
      <c r="B6" s="6" t="inlineStr">
        <is>
          <t>Owned online data centers: 14.89 TWh (~82%)  |  Leased/colocation: 3.07 TWh (~17%)  |  Other DC-related: 0.10 TWh (~1%).  Total data-center electricity = 18.06 TWh. Leased share has roughly doubled since 2020-22 (~9-11%) as Meta pre-leased heavily for AI.</t>
        </is>
      </c>
    </row>
    <row r="7" ht="60" customHeight="1">
      <c r="A7" s="5" t="inlineStr">
        <is>
          <t>Forward-looking AI capacity</t>
        </is>
      </c>
      <c r="B7" s="6" t="inlineStr">
        <is>
          <t>Realized power today is dwarfed by the announced AI build-out. Trackers count ~15.8 GW of Meta AI data-center capacity across ~20 sites (~50% operational). Flagship clusters: Prometheus (Ohio, ~1 GW) and Hyperion (Louisiana, 2 GW scaling to 5 GW). Hyperion uses a $27-30B Blue Owl JV (Meta ~20% equity) that is leased back to Meta — an owned/leased hybrid. See 'AI Buildout' tab.</t>
        </is>
      </c>
    </row>
    <row r="8" ht="60" customHeight="1">
      <c r="A8" s="5" t="inlineStr">
        <is>
          <t>Tabs</t>
        </is>
      </c>
      <c r="B8" s="6" t="inlineStr">
        <is>
          <t>1) Summary — owned vs leased split &amp; trend (authoritative, energy-based).  2) Owned - Site Energy — per-site MWh 2020-24.  3) Owned - Campus Detail — buildings, sqft, investment, nameplate MW est.  4) Leased &amp; Colocation — leased energy trend + markets.  5) AI Buildout (GW) — forward capacity.  6) Sources &amp; Methodology.</t>
        </is>
      </c>
    </row>
    <row r="9" ht="75" customHeight="1">
      <c r="A9" s="5" t="inlineStr">
        <is>
          <t>Important caveats</t>
        </is>
      </c>
      <c r="B9" s="6" t="inlineStr">
        <is>
          <t>• Electricity consumption ≠ nameplate MW, but is the best public realized-capacity proxy and is Meta-reported &amp; third-party assured.  • Nameplate MW figures (Campus Detail) are third-party estimates (usdatamap) and are incomplete — they predate/understate the AI expansion.  • GW figures for AI clusters are targets/announcements, not installed capacity.  • FY2024 = Jan 1 - Dec 31, 2024. All figures are as-disclosed and rounded.</t>
        </is>
      </c>
    </row>
    <row r="11">
      <c r="A11" s="7" t="inlineStr">
        <is>
          <t>Units: MWh = megawatt-hours (energy/yr) · MW = megawatts (power) · GW = 1,000 MW · TWh = 1,000,000 MWh · sqft = square feet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2" customHeight="1">
      <c r="A1" s="1" t="inlineStr">
        <is>
          <t>Summary — Owned vs Leased Compute Capacity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Basis: actual data-center electricity consumption (MWh/yr), Meta 2025 Environmental Data Index (FY2024). Power = capacity proxy.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8" t="inlineStr">
        <is>
          <t>Data-center electricity consumption (MWh/yr)</t>
        </is>
      </c>
    </row>
    <row r="5">
      <c r="A5" s="9" t="inlineStr">
        <is>
          <t>Category</t>
        </is>
      </c>
      <c r="B5" s="9" t="inlineStr">
        <is>
          <t>2020</t>
        </is>
      </c>
      <c r="C5" s="9" t="inlineStr">
        <is>
          <t>2021</t>
        </is>
      </c>
      <c r="D5" s="9" t="inlineStr">
        <is>
          <t>2022</t>
        </is>
      </c>
      <c r="E5" s="9" t="inlineStr">
        <is>
          <t>2023</t>
        </is>
      </c>
      <c r="F5" s="9" t="inlineStr">
        <is>
          <t>2024</t>
        </is>
      </c>
      <c r="G5" s="9" t="inlineStr">
        <is>
          <t>2024 Share</t>
        </is>
      </c>
      <c r="H5" s="9" t="inlineStr">
        <is>
          <t>CAGR 20-24</t>
        </is>
      </c>
    </row>
    <row r="6">
      <c r="A6" s="10" t="inlineStr">
        <is>
          <t>Owned online data centers</t>
        </is>
      </c>
      <c r="B6" s="11" t="n">
        <v>5965000</v>
      </c>
      <c r="C6" s="11" t="n">
        <v>7902629</v>
      </c>
      <c r="D6" s="11" t="n">
        <v>9804641</v>
      </c>
      <c r="E6" s="11" t="n">
        <v>12461341</v>
      </c>
      <c r="F6" s="11" t="n">
        <v>14890259</v>
      </c>
      <c r="G6" s="12">
        <f>F6/F9</f>
        <v/>
      </c>
      <c r="H6" s="12">
        <f>IFERROR((F6/B6)^(1/4)-1,"n/m")</f>
        <v/>
      </c>
    </row>
    <row r="7">
      <c r="A7" s="13" t="inlineStr">
        <is>
          <t>Leased data center facilities</t>
        </is>
      </c>
      <c r="B7" s="14" t="n">
        <v>795000</v>
      </c>
      <c r="C7" s="14" t="n">
        <v>964650</v>
      </c>
      <c r="D7" s="14" t="n">
        <v>1105834</v>
      </c>
      <c r="E7" s="14" t="n">
        <v>2187020</v>
      </c>
      <c r="F7" s="14" t="n">
        <v>3069504</v>
      </c>
      <c r="G7" s="15">
        <f>F7/F9</f>
        <v/>
      </c>
      <c r="H7" s="15">
        <f>IFERROR((F7/B7)^(1/4)-1,"n/m")</f>
        <v/>
      </c>
    </row>
    <row r="8">
      <c r="A8" s="16" t="inlineStr">
        <is>
          <t>Other DC-related (warehouse/network/small colo)</t>
        </is>
      </c>
      <c r="B8" s="17" t="n">
        <v>206000</v>
      </c>
      <c r="C8" s="17" t="n">
        <v>249843</v>
      </c>
      <c r="D8" s="17" t="n">
        <v>256939</v>
      </c>
      <c r="E8" s="17" t="n">
        <v>327073</v>
      </c>
      <c r="F8" s="17" t="n">
        <v>102016</v>
      </c>
      <c r="G8" s="18">
        <f>F8/F9</f>
        <v/>
      </c>
      <c r="H8" s="18">
        <f>IFERROR((F8/B8)^(1/4)-1,"n/m")</f>
        <v/>
      </c>
    </row>
    <row r="9">
      <c r="A9" s="19" t="inlineStr">
        <is>
          <t>Total data-center electricity</t>
        </is>
      </c>
      <c r="B9" s="20">
        <f>SUM(B6:B8)</f>
        <v/>
      </c>
      <c r="C9" s="20">
        <f>SUM(C6:C8)</f>
        <v/>
      </c>
      <c r="D9" s="20">
        <f>SUM(D6:D8)</f>
        <v/>
      </c>
      <c r="E9" s="20">
        <f>SUM(E6:E8)</f>
        <v/>
      </c>
      <c r="F9" s="20">
        <f>SUM(F6:F8)</f>
        <v/>
      </c>
      <c r="G9" s="21">
        <f>G6+G7+G8</f>
        <v/>
      </c>
      <c r="H9" s="22" t="n"/>
    </row>
    <row r="10">
      <c r="A10" s="7" t="inlineStr">
        <is>
          <t>Meta-reported 'Data centers total' (check)</t>
        </is>
      </c>
      <c r="B10" s="23" t="n">
        <v>6966000</v>
      </c>
      <c r="C10" s="23" t="n">
        <v>9117122</v>
      </c>
      <c r="D10" s="23" t="n">
        <v>11167416</v>
      </c>
      <c r="E10" s="23" t="n">
        <v>14975435</v>
      </c>
      <c r="F10" s="23" t="n">
        <v>18061781</v>
      </c>
    </row>
    <row r="12">
      <c r="A12" s="8" t="inlineStr">
        <is>
          <t>Leased share of data-center electricity</t>
        </is>
      </c>
    </row>
    <row r="13">
      <c r="A13" s="9" t="inlineStr">
        <is>
          <t>Metric</t>
        </is>
      </c>
      <c r="B13" s="9" t="inlineStr">
        <is>
          <t>2020</t>
        </is>
      </c>
      <c r="C13" s="9" t="inlineStr">
        <is>
          <t>2021</t>
        </is>
      </c>
      <c r="D13" s="9" t="inlineStr">
        <is>
          <t>2022</t>
        </is>
      </c>
      <c r="E13" s="9" t="inlineStr">
        <is>
          <t>2023</t>
        </is>
      </c>
      <c r="F13" s="9" t="inlineStr">
        <is>
          <t>2024</t>
        </is>
      </c>
    </row>
    <row r="14">
      <c r="A14" s="24" t="inlineStr">
        <is>
          <t>Leased % of total</t>
        </is>
      </c>
      <c r="B14" s="25">
        <f>B7/B9</f>
        <v/>
      </c>
      <c r="C14" s="25">
        <f>C7/C9</f>
        <v/>
      </c>
      <c r="D14" s="25">
        <f>D7/D9</f>
        <v/>
      </c>
      <c r="E14" s="25">
        <f>E7/E9</f>
        <v/>
      </c>
      <c r="F14" s="25">
        <f>F7/F9</f>
        <v/>
      </c>
    </row>
    <row r="15">
      <c r="A15" s="24" t="inlineStr">
        <is>
          <t>Owned % of total</t>
        </is>
      </c>
      <c r="B15" s="25">
        <f>(B6)/B9</f>
        <v/>
      </c>
      <c r="C15" s="25">
        <f>(C6)/C9</f>
        <v/>
      </c>
      <c r="D15" s="25">
        <f>(D6)/D9</f>
        <v/>
      </c>
      <c r="E15" s="25">
        <f>(E6)/E9</f>
        <v/>
      </c>
      <c r="F15" s="25">
        <f>(F6)/F9</f>
        <v/>
      </c>
    </row>
    <row r="17">
      <c r="A17" s="7" t="inlineStr">
        <is>
          <t>Note: 'compute capacity' proxied by realized electricity consumption; see Cover &amp; Sources.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</cols>
  <sheetData>
    <row r="1" ht="32" customHeight="1">
      <c r="A1" s="1" t="inlineStr">
        <is>
          <t>Owned Data Centers — Electricity Consumption by Site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MWh/yr, per site, 2020-2024. Source: Meta 2025 Environmental Data Index (FY2024). Sorted by FY2024.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9" t="inlineStr">
        <is>
          <t>Owned Site</t>
        </is>
      </c>
      <c r="B4" s="9" t="inlineStr">
        <is>
          <t>Region</t>
        </is>
      </c>
      <c r="C4" s="9" t="inlineStr">
        <is>
          <t>Country</t>
        </is>
      </c>
      <c r="D4" s="9" t="inlineStr">
        <is>
          <t>2020</t>
        </is>
      </c>
      <c r="E4" s="9" t="inlineStr">
        <is>
          <t>2021</t>
        </is>
      </c>
      <c r="F4" s="9" t="inlineStr">
        <is>
          <t>2022</t>
        </is>
      </c>
      <c r="G4" s="9" t="inlineStr">
        <is>
          <t>2023</t>
        </is>
      </c>
      <c r="H4" s="9" t="inlineStr">
        <is>
          <t>2024</t>
        </is>
      </c>
      <c r="I4" s="9" t="inlineStr">
        <is>
          <t>'24 % of owned</t>
        </is>
      </c>
    </row>
    <row r="5">
      <c r="A5" s="24" t="inlineStr">
        <is>
          <t>Altoona</t>
        </is>
      </c>
      <c r="B5" s="24" t="inlineStr">
        <is>
          <t>US-Midwest</t>
        </is>
      </c>
      <c r="C5" s="24" t="inlineStr">
        <is>
          <t>USA</t>
        </is>
      </c>
      <c r="D5" s="26" t="n">
        <v>980000</v>
      </c>
      <c r="E5" s="26" t="n">
        <v>950705</v>
      </c>
      <c r="F5" s="26" t="n">
        <v>1043606</v>
      </c>
      <c r="G5" s="26" t="n">
        <v>1243306</v>
      </c>
      <c r="H5" s="26" t="n">
        <v>1585392</v>
      </c>
      <c r="I5" s="25">
        <f>H5/SUM($H$5:$H$22)</f>
        <v/>
      </c>
    </row>
    <row r="6">
      <c r="A6" s="27" t="inlineStr">
        <is>
          <t>Prineville</t>
        </is>
      </c>
      <c r="B6" s="27" t="inlineStr">
        <is>
          <t>US-West</t>
        </is>
      </c>
      <c r="C6" s="27" t="inlineStr">
        <is>
          <t>USA</t>
        </is>
      </c>
      <c r="D6" s="28" t="n">
        <v>686000</v>
      </c>
      <c r="E6" s="28" t="n">
        <v>898409</v>
      </c>
      <c r="F6" s="28" t="n">
        <v>982177</v>
      </c>
      <c r="G6" s="28" t="n">
        <v>1375321</v>
      </c>
      <c r="H6" s="28" t="n">
        <v>1728291</v>
      </c>
      <c r="I6" s="29">
        <f>H6/SUM($H$5:$H$22)</f>
        <v/>
      </c>
    </row>
    <row r="7">
      <c r="A7" s="24" t="inlineStr">
        <is>
          <t>Sarpy County</t>
        </is>
      </c>
      <c r="B7" s="24" t="inlineStr">
        <is>
          <t>US-Midwest</t>
        </is>
      </c>
      <c r="C7" s="24" t="inlineStr">
        <is>
          <t>USA</t>
        </is>
      </c>
      <c r="D7" s="26" t="n">
        <v>519000</v>
      </c>
      <c r="E7" s="26" t="n">
        <v>736810</v>
      </c>
      <c r="F7" s="26" t="n">
        <v>1007635</v>
      </c>
      <c r="G7" s="26" t="n">
        <v>1148091</v>
      </c>
      <c r="H7" s="26" t="n">
        <v>1258239</v>
      </c>
      <c r="I7" s="25">
        <f>H7/SUM($H$5:$H$22)</f>
        <v/>
      </c>
    </row>
    <row r="8">
      <c r="A8" s="27" t="inlineStr">
        <is>
          <t>Stanton Springs</t>
        </is>
      </c>
      <c r="B8" s="27" t="inlineStr">
        <is>
          <t>US-Southeast</t>
        </is>
      </c>
      <c r="C8" s="27" t="inlineStr">
        <is>
          <t>USA</t>
        </is>
      </c>
      <c r="D8" s="28" t="n">
        <v>0</v>
      </c>
      <c r="E8" s="28" t="n">
        <v>215279</v>
      </c>
      <c r="F8" s="28" t="n">
        <v>636266</v>
      </c>
      <c r="G8" s="28" t="n">
        <v>968565</v>
      </c>
      <c r="H8" s="28" t="n">
        <v>1184380</v>
      </c>
      <c r="I8" s="29">
        <f>H8/SUM($H$5:$H$22)</f>
        <v/>
      </c>
    </row>
    <row r="9">
      <c r="A9" s="24" t="inlineStr">
        <is>
          <t>Los Lunas</t>
        </is>
      </c>
      <c r="B9" s="24" t="inlineStr">
        <is>
          <t>US-Southwest</t>
        </is>
      </c>
      <c r="C9" s="24" t="inlineStr">
        <is>
          <t>USA</t>
        </is>
      </c>
      <c r="D9" s="26" t="n">
        <v>571000</v>
      </c>
      <c r="E9" s="26" t="n">
        <v>717932</v>
      </c>
      <c r="F9" s="26" t="n">
        <v>929488</v>
      </c>
      <c r="G9" s="26" t="n">
        <v>1110100</v>
      </c>
      <c r="H9" s="26" t="n">
        <v>1143067</v>
      </c>
      <c r="I9" s="25">
        <f>H9/SUM($H$5:$H$22)</f>
        <v/>
      </c>
    </row>
    <row r="10">
      <c r="A10" s="27" t="inlineStr">
        <is>
          <t>Eagle Mountain</t>
        </is>
      </c>
      <c r="B10" s="27" t="inlineStr">
        <is>
          <t>US-West</t>
        </is>
      </c>
      <c r="C10" s="27" t="inlineStr">
        <is>
          <t>USA</t>
        </is>
      </c>
      <c r="D10" s="28" t="n">
        <v>0</v>
      </c>
      <c r="E10" s="28" t="n">
        <v>229946</v>
      </c>
      <c r="F10" s="28" t="n">
        <v>504049</v>
      </c>
      <c r="G10" s="28" t="n">
        <v>787740</v>
      </c>
      <c r="H10" s="28" t="n">
        <v>1115619</v>
      </c>
      <c r="I10" s="29">
        <f>H10/SUM($H$5:$H$22)</f>
        <v/>
      </c>
    </row>
    <row r="11">
      <c r="A11" s="24" t="inlineStr">
        <is>
          <t>Fort Worth</t>
        </is>
      </c>
      <c r="B11" s="24" t="inlineStr">
        <is>
          <t>US-Southwest</t>
        </is>
      </c>
      <c r="C11" s="24" t="inlineStr">
        <is>
          <t>USA</t>
        </is>
      </c>
      <c r="D11" s="26" t="n">
        <v>941000</v>
      </c>
      <c r="E11" s="26" t="n">
        <v>1014447</v>
      </c>
      <c r="F11" s="26" t="n">
        <v>959419</v>
      </c>
      <c r="G11" s="26" t="n">
        <v>1029570</v>
      </c>
      <c r="H11" s="26" t="n">
        <v>1109004</v>
      </c>
      <c r="I11" s="25">
        <f>H11/SUM($H$5:$H$22)</f>
        <v/>
      </c>
    </row>
    <row r="12">
      <c r="A12" s="27" t="inlineStr">
        <is>
          <t>Clonee</t>
        </is>
      </c>
      <c r="B12" s="27" t="inlineStr">
        <is>
          <t>Europe</t>
        </is>
      </c>
      <c r="C12" s="27" t="inlineStr">
        <is>
          <t>Ireland</t>
        </is>
      </c>
      <c r="D12" s="28" t="n">
        <v>487000</v>
      </c>
      <c r="E12" s="28" t="n">
        <v>634648</v>
      </c>
      <c r="F12" s="28" t="n">
        <v>668290</v>
      </c>
      <c r="G12" s="28" t="n">
        <v>953837</v>
      </c>
      <c r="H12" s="28" t="n">
        <v>1076961</v>
      </c>
      <c r="I12" s="29">
        <f>H12/SUM($H$5:$H$22)</f>
        <v/>
      </c>
    </row>
    <row r="13">
      <c r="A13" s="24" t="inlineStr">
        <is>
          <t>Henrico</t>
        </is>
      </c>
      <c r="B13" s="24" t="inlineStr">
        <is>
          <t>US-Southeast</t>
        </is>
      </c>
      <c r="C13" s="24" t="inlineStr">
        <is>
          <t>USA</t>
        </is>
      </c>
      <c r="D13" s="26" t="n">
        <v>204000</v>
      </c>
      <c r="E13" s="26" t="n">
        <v>515270</v>
      </c>
      <c r="F13" s="26" t="n">
        <v>701003</v>
      </c>
      <c r="G13" s="26" t="n">
        <v>805061</v>
      </c>
      <c r="H13" s="26" t="n">
        <v>948859</v>
      </c>
      <c r="I13" s="25">
        <f>H13/SUM($H$5:$H$22)</f>
        <v/>
      </c>
    </row>
    <row r="14">
      <c r="A14" s="27" t="inlineStr">
        <is>
          <t>Huntsville</t>
        </is>
      </c>
      <c r="B14" s="27" t="inlineStr">
        <is>
          <t>US-Southeast</t>
        </is>
      </c>
      <c r="C14" s="27" t="inlineStr">
        <is>
          <t>USA</t>
        </is>
      </c>
      <c r="D14" s="28" t="n">
        <v>0</v>
      </c>
      <c r="E14" s="28" t="n">
        <v>85286</v>
      </c>
      <c r="F14" s="28" t="n">
        <v>368841</v>
      </c>
      <c r="G14" s="28" t="n">
        <v>614198</v>
      </c>
      <c r="H14" s="28" t="n">
        <v>865803</v>
      </c>
      <c r="I14" s="29">
        <f>H14/SUM($H$5:$H$22)</f>
        <v/>
      </c>
    </row>
    <row r="15">
      <c r="A15" s="24" t="inlineStr">
        <is>
          <t>Odense</t>
        </is>
      </c>
      <c r="B15" s="24" t="inlineStr">
        <is>
          <t>Europe</t>
        </is>
      </c>
      <c r="C15" s="24" t="inlineStr">
        <is>
          <t>Denmark</t>
        </is>
      </c>
      <c r="D15" s="26" t="n">
        <v>343000</v>
      </c>
      <c r="E15" s="26" t="n">
        <v>500863</v>
      </c>
      <c r="F15" s="26" t="n">
        <v>517718</v>
      </c>
      <c r="G15" s="26" t="n">
        <v>518005</v>
      </c>
      <c r="H15" s="26" t="n">
        <v>569374</v>
      </c>
      <c r="I15" s="25">
        <f>H15/SUM($H$5:$H$22)</f>
        <v/>
      </c>
    </row>
    <row r="16">
      <c r="A16" s="27" t="inlineStr">
        <is>
          <t>Forest City</t>
        </is>
      </c>
      <c r="B16" s="27" t="inlineStr">
        <is>
          <t>US-Southeast</t>
        </is>
      </c>
      <c r="C16" s="27" t="inlineStr">
        <is>
          <t>USA</t>
        </is>
      </c>
      <c r="D16" s="28" t="n">
        <v>595000</v>
      </c>
      <c r="E16" s="28" t="n">
        <v>580842</v>
      </c>
      <c r="F16" s="28" t="n">
        <v>492786</v>
      </c>
      <c r="G16" s="28" t="n">
        <v>507068</v>
      </c>
      <c r="H16" s="28" t="n">
        <v>535555</v>
      </c>
      <c r="I16" s="29">
        <f>H16/SUM($H$5:$H$22)</f>
        <v/>
      </c>
    </row>
    <row r="17">
      <c r="A17" s="24" t="inlineStr">
        <is>
          <t>New Albany</t>
        </is>
      </c>
      <c r="B17" s="24" t="inlineStr">
        <is>
          <t>US-Midwest</t>
        </is>
      </c>
      <c r="C17" s="24" t="inlineStr">
        <is>
          <t>USA</t>
        </is>
      </c>
      <c r="D17" s="26" t="n">
        <v>270000</v>
      </c>
      <c r="E17" s="26" t="n">
        <v>511414</v>
      </c>
      <c r="F17" s="26" t="n">
        <v>702694</v>
      </c>
      <c r="G17" s="26" t="n">
        <v>793063</v>
      </c>
      <c r="H17" s="26" t="n">
        <v>521217</v>
      </c>
      <c r="I17" s="25">
        <f>H17/SUM($H$5:$H$22)</f>
        <v/>
      </c>
    </row>
    <row r="18">
      <c r="A18" s="27" t="inlineStr">
        <is>
          <t>Luleå</t>
        </is>
      </c>
      <c r="B18" s="27" t="inlineStr">
        <is>
          <t>Europe</t>
        </is>
      </c>
      <c r="C18" s="27" t="inlineStr">
        <is>
          <t>Sweden</t>
        </is>
      </c>
      <c r="D18" s="28" t="n">
        <v>369000</v>
      </c>
      <c r="E18" s="28" t="n">
        <v>306054</v>
      </c>
      <c r="F18" s="28" t="n">
        <v>267471</v>
      </c>
      <c r="G18" s="28" t="n">
        <v>351931</v>
      </c>
      <c r="H18" s="28" t="n">
        <v>468809</v>
      </c>
      <c r="I18" s="29">
        <f>H18/SUM($H$5:$H$22)</f>
        <v/>
      </c>
    </row>
    <row r="19">
      <c r="A19" s="24" t="inlineStr">
        <is>
          <t>DeKalb</t>
        </is>
      </c>
      <c r="B19" s="24" t="inlineStr">
        <is>
          <t>US-Midwest</t>
        </is>
      </c>
      <c r="C19" s="24" t="inlineStr">
        <is>
          <t>USA</t>
        </is>
      </c>
      <c r="D19" s="26" t="n">
        <v>0</v>
      </c>
      <c r="E19" s="26" t="n">
        <v>4724</v>
      </c>
      <c r="F19" s="26" t="n">
        <v>16934</v>
      </c>
      <c r="G19" s="26" t="n">
        <v>138965</v>
      </c>
      <c r="H19" s="26" t="n">
        <v>372339</v>
      </c>
      <c r="I19" s="25">
        <f>H19/SUM($H$5:$H$22)</f>
        <v/>
      </c>
    </row>
    <row r="20">
      <c r="A20" s="27" t="inlineStr">
        <is>
          <t>Gallatin</t>
        </is>
      </c>
      <c r="B20" s="27" t="inlineStr">
        <is>
          <t>US-Southeast</t>
        </is>
      </c>
      <c r="C20" s="27" t="inlineStr">
        <is>
          <t>USA</t>
        </is>
      </c>
      <c r="D20" s="28" t="n">
        <v>0</v>
      </c>
      <c r="E20" s="28" t="n">
        <v>0</v>
      </c>
      <c r="F20" s="28" t="n">
        <v>6264</v>
      </c>
      <c r="G20" s="28" t="n">
        <v>116520</v>
      </c>
      <c r="H20" s="28" t="n">
        <v>359730</v>
      </c>
      <c r="I20" s="29">
        <f>H20/SUM($H$5:$H$22)</f>
        <v/>
      </c>
    </row>
    <row r="21">
      <c r="A21" s="24" t="inlineStr">
        <is>
          <t>Mesa</t>
        </is>
      </c>
      <c r="B21" s="24" t="inlineStr">
        <is>
          <t>US-Southwest</t>
        </is>
      </c>
      <c r="C21" s="24" t="inlineStr">
        <is>
          <t>USA</t>
        </is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24657</v>
      </c>
      <c r="I21" s="25">
        <f>H21/SUM($H$5:$H$22)</f>
        <v/>
      </c>
    </row>
    <row r="22">
      <c r="A22" s="27" t="inlineStr">
        <is>
          <t>Kansas City</t>
        </is>
      </c>
      <c r="B22" s="27" t="inlineStr">
        <is>
          <t>US-Midwest</t>
        </is>
      </c>
      <c r="C22" s="27" t="inlineStr">
        <is>
          <t>USA</t>
        </is>
      </c>
      <c r="D22" s="28" t="n">
        <v>0</v>
      </c>
      <c r="E22" s="28" t="n">
        <v>0</v>
      </c>
      <c r="F22" s="28" t="n">
        <v>0</v>
      </c>
      <c r="G22" s="28" t="n">
        <v>0</v>
      </c>
      <c r="H22" s="28" t="n">
        <v>22963</v>
      </c>
      <c r="I22" s="29">
        <f>H22/SUM($H$5:$H$22)</f>
        <v/>
      </c>
    </row>
    <row r="23">
      <c r="A23" s="30" t="inlineStr">
        <is>
          <t>Total owned online data centers</t>
        </is>
      </c>
      <c r="B23" s="30" t="inlineStr"/>
      <c r="C23" s="30" t="n"/>
      <c r="D23" s="31">
        <f>SUM(D5:D22)</f>
        <v/>
      </c>
      <c r="E23" s="31">
        <f>SUM(E5:E22)</f>
        <v/>
      </c>
      <c r="F23" s="31">
        <f>SUM(F5:F22)</f>
        <v/>
      </c>
      <c r="G23" s="31">
        <f>SUM(G5:G22)</f>
        <v/>
      </c>
      <c r="H23" s="31">
        <f>SUM(H5:H22)</f>
        <v/>
      </c>
      <c r="I23" s="32">
        <f>SUM(I5:I22)</f>
        <v/>
      </c>
    </row>
    <row r="25">
      <c r="A25" s="33" t="inlineStr">
        <is>
          <t>Memo — Leased data center facilities</t>
        </is>
      </c>
      <c r="B25" s="34" t="n"/>
      <c r="C25" s="34" t="n"/>
      <c r="D25" s="35" t="n">
        <v>795000</v>
      </c>
      <c r="E25" s="35" t="n">
        <v>964650</v>
      </c>
      <c r="F25" s="35" t="n">
        <v>1105834</v>
      </c>
      <c r="G25" s="35" t="n">
        <v>2187020</v>
      </c>
      <c r="H25" s="35" t="n">
        <v>3069504</v>
      </c>
    </row>
    <row r="26">
      <c r="A26" s="36" t="inlineStr">
        <is>
          <t>Memo — Other DC-related facilities</t>
        </is>
      </c>
      <c r="D26" s="37" t="n">
        <v>206000</v>
      </c>
      <c r="E26" s="37" t="n">
        <v>249843</v>
      </c>
      <c r="F26" s="37" t="n">
        <v>256939</v>
      </c>
      <c r="G26" s="37" t="n">
        <v>327073</v>
      </c>
      <c r="H26" s="37" t="n">
        <v>102016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1" customWidth="1" min="3" max="3"/>
    <col width="10" customWidth="1" min="4" max="4"/>
    <col width="11" customWidth="1" min="5" max="5"/>
    <col width="12" customWidth="1" min="6" max="6"/>
    <col width="13" customWidth="1" min="7" max="7"/>
    <col width="14" customWidth="1" min="8" max="8"/>
    <col width="18" customWidth="1" min="9" max="9"/>
  </cols>
  <sheetData>
    <row r="1" ht="32" customHeight="1">
      <c r="A1" s="1" t="inlineStr">
        <is>
          <t>Owned Data Centers — Campus Detail (buildings, area, investment, power)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Sources: Dgtl Infra / Meta (buildings, sqft, investment). Nameplate MW = third-party estimate (usdatamap), incomplete.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9" t="inlineStr">
        <is>
          <t>Campus</t>
        </is>
      </c>
      <c r="B4" s="9" t="inlineStr">
        <is>
          <t>Region</t>
        </is>
      </c>
      <c r="C4" s="9" t="inlineStr">
        <is>
          <t>Country</t>
        </is>
      </c>
      <c r="D4" s="9" t="inlineStr">
        <is>
          <t>First online</t>
        </is>
      </c>
      <c r="E4" s="9" t="inlineStr">
        <is>
          <t>Buildings</t>
        </is>
      </c>
      <c r="F4" s="9" t="inlineStr">
        <is>
          <t>Area (M sqft)</t>
        </is>
      </c>
      <c r="G4" s="9" t="inlineStr">
        <is>
          <t>Investment ($B)</t>
        </is>
      </c>
      <c r="H4" s="9" t="inlineStr">
        <is>
          <t>Nameplate MW (est.)</t>
        </is>
      </c>
      <c r="I4" s="9" t="inlineStr">
        <is>
          <t>Status</t>
        </is>
      </c>
    </row>
    <row r="5">
      <c r="A5" s="24" t="inlineStr">
        <is>
          <t>Prineville, OR</t>
        </is>
      </c>
      <c r="B5" s="24" t="inlineStr">
        <is>
          <t>US-West</t>
        </is>
      </c>
      <c r="C5" s="24" t="inlineStr">
        <is>
          <t>USA</t>
        </is>
      </c>
      <c r="D5" s="38" t="n">
        <v>2011</v>
      </c>
      <c r="E5" s="39" t="n">
        <v>11</v>
      </c>
      <c r="F5" s="40" t="n">
        <v>4.6</v>
      </c>
      <c r="G5" s="40" t="n">
        <v>2</v>
      </c>
      <c r="H5" s="39" t="n">
        <v>180</v>
      </c>
      <c r="I5" s="24" t="inlineStr">
        <is>
          <t>Operational</t>
        </is>
      </c>
    </row>
    <row r="6">
      <c r="A6" s="27" t="inlineStr">
        <is>
          <t>Forest City, NC</t>
        </is>
      </c>
      <c r="B6" s="27" t="inlineStr">
        <is>
          <t>US-Southeast</t>
        </is>
      </c>
      <c r="C6" s="27" t="inlineStr">
        <is>
          <t>USA</t>
        </is>
      </c>
      <c r="D6" s="41" t="n">
        <v>2012</v>
      </c>
      <c r="E6" s="42" t="n">
        <v>3</v>
      </c>
      <c r="F6" s="43" t="n">
        <v>1.3</v>
      </c>
      <c r="G6" s="43" t="n">
        <v>0.8</v>
      </c>
      <c r="H6" s="42" t="n">
        <v>160</v>
      </c>
      <c r="I6" s="27" t="inlineStr">
        <is>
          <t>Operational</t>
        </is>
      </c>
    </row>
    <row r="7">
      <c r="A7" s="24" t="inlineStr">
        <is>
          <t>Luleå, Sweden</t>
        </is>
      </c>
      <c r="B7" s="24" t="inlineStr">
        <is>
          <t>Europe</t>
        </is>
      </c>
      <c r="C7" s="24" t="inlineStr">
        <is>
          <t>Sweden</t>
        </is>
      </c>
      <c r="D7" s="38" t="n">
        <v>2013</v>
      </c>
      <c r="E7" s="39" t="n">
        <v>3</v>
      </c>
      <c r="F7" s="40" t="n">
        <v>1</v>
      </c>
      <c r="G7" s="40" t="n">
        <v>0.8</v>
      </c>
      <c r="H7" s="38" t="inlineStr">
        <is>
          <t>n/a</t>
        </is>
      </c>
      <c r="I7" s="24" t="inlineStr">
        <is>
          <t>Operational</t>
        </is>
      </c>
    </row>
    <row r="8">
      <c r="A8" s="27" t="inlineStr">
        <is>
          <t>Altoona, IA</t>
        </is>
      </c>
      <c r="B8" s="27" t="inlineStr">
        <is>
          <t>US-Midwest</t>
        </is>
      </c>
      <c r="C8" s="27" t="inlineStr">
        <is>
          <t>USA</t>
        </is>
      </c>
      <c r="D8" s="41" t="n">
        <v>2014</v>
      </c>
      <c r="E8" s="42" t="n">
        <v>10</v>
      </c>
      <c r="F8" s="43" t="n">
        <v>5</v>
      </c>
      <c r="G8" s="43" t="n">
        <v>2.5</v>
      </c>
      <c r="H8" s="42" t="n">
        <v>200</v>
      </c>
      <c r="I8" s="27" t="inlineStr">
        <is>
          <t>Operational</t>
        </is>
      </c>
    </row>
    <row r="9">
      <c r="A9" s="24" t="inlineStr">
        <is>
          <t>Fort Worth, TX</t>
        </is>
      </c>
      <c r="B9" s="24" t="inlineStr">
        <is>
          <t>US-Southwest</t>
        </is>
      </c>
      <c r="C9" s="24" t="inlineStr">
        <is>
          <t>USA</t>
        </is>
      </c>
      <c r="D9" s="38" t="n">
        <v>2017</v>
      </c>
      <c r="E9" s="39" t="n">
        <v>5</v>
      </c>
      <c r="F9" s="40" t="n">
        <v>2.6</v>
      </c>
      <c r="G9" s="40" t="n">
        <v>1.5</v>
      </c>
      <c r="H9" s="38" t="inlineStr">
        <is>
          <t>n/a</t>
        </is>
      </c>
      <c r="I9" s="24" t="inlineStr">
        <is>
          <t>Operational</t>
        </is>
      </c>
    </row>
    <row r="10">
      <c r="A10" s="27" t="inlineStr">
        <is>
          <t>Clonee, Ireland</t>
        </is>
      </c>
      <c r="B10" s="27" t="inlineStr">
        <is>
          <t>Europe</t>
        </is>
      </c>
      <c r="C10" s="27" t="inlineStr">
        <is>
          <t>Ireland</t>
        </is>
      </c>
      <c r="D10" s="41" t="n">
        <v>2018</v>
      </c>
      <c r="E10" s="42" t="n">
        <v>3</v>
      </c>
      <c r="F10" s="43" t="n">
        <v>1.6</v>
      </c>
      <c r="G10" s="43" t="n">
        <v>1.5</v>
      </c>
      <c r="H10" s="41" t="inlineStr">
        <is>
          <t>n/a</t>
        </is>
      </c>
      <c r="I10" s="27" t="inlineStr">
        <is>
          <t>Operational</t>
        </is>
      </c>
    </row>
    <row r="11">
      <c r="A11" s="24" t="inlineStr">
        <is>
          <t>Los Lunas, NM</t>
        </is>
      </c>
      <c r="B11" s="24" t="inlineStr">
        <is>
          <t>US-Southwest</t>
        </is>
      </c>
      <c r="C11" s="24" t="inlineStr">
        <is>
          <t>USA</t>
        </is>
      </c>
      <c r="D11" s="38" t="n">
        <v>2019</v>
      </c>
      <c r="E11" s="39" t="n">
        <v>8</v>
      </c>
      <c r="F11" s="40" t="n">
        <v>3.8</v>
      </c>
      <c r="G11" s="40" t="n">
        <v>2</v>
      </c>
      <c r="H11" s="39" t="n">
        <v>100</v>
      </c>
      <c r="I11" s="24" t="inlineStr">
        <is>
          <t>Operational</t>
        </is>
      </c>
    </row>
    <row r="12">
      <c r="A12" s="27" t="inlineStr">
        <is>
          <t>Odense, Denmark</t>
        </is>
      </c>
      <c r="B12" s="27" t="inlineStr">
        <is>
          <t>Europe</t>
        </is>
      </c>
      <c r="C12" s="27" t="inlineStr">
        <is>
          <t>Denmark</t>
        </is>
      </c>
      <c r="D12" s="41" t="n">
        <v>2019</v>
      </c>
      <c r="E12" s="42" t="n">
        <v>3</v>
      </c>
      <c r="F12" s="43" t="n">
        <v>0.9</v>
      </c>
      <c r="G12" s="43" t="n">
        <v>1.9</v>
      </c>
      <c r="H12" s="41" t="inlineStr">
        <is>
          <t>n/a</t>
        </is>
      </c>
      <c r="I12" s="27" t="inlineStr">
        <is>
          <t>Operational</t>
        </is>
      </c>
    </row>
    <row r="13">
      <c r="A13" s="24" t="inlineStr">
        <is>
          <t>Sarpy County, NE</t>
        </is>
      </c>
      <c r="B13" s="24" t="inlineStr">
        <is>
          <t>US-Midwest</t>
        </is>
      </c>
      <c r="C13" s="24" t="inlineStr">
        <is>
          <t>USA</t>
        </is>
      </c>
      <c r="D13" s="38" t="n">
        <v>2019</v>
      </c>
      <c r="E13" s="39" t="n">
        <v>9</v>
      </c>
      <c r="F13" s="40" t="n">
        <v>4</v>
      </c>
      <c r="G13" s="40" t="n">
        <v>1.5</v>
      </c>
      <c r="H13" s="39" t="n">
        <v>80</v>
      </c>
      <c r="I13" s="24" t="inlineStr">
        <is>
          <t>Operational</t>
        </is>
      </c>
    </row>
    <row r="14">
      <c r="A14" s="27" t="inlineStr">
        <is>
          <t>New Albany, OH</t>
        </is>
      </c>
      <c r="B14" s="27" t="inlineStr">
        <is>
          <t>US-Midwest</t>
        </is>
      </c>
      <c r="C14" s="27" t="inlineStr">
        <is>
          <t>USA</t>
        </is>
      </c>
      <c r="D14" s="41" t="n">
        <v>2020</v>
      </c>
      <c r="E14" s="42" t="n">
        <v>5</v>
      </c>
      <c r="F14" s="43" t="n">
        <v>2.5</v>
      </c>
      <c r="G14" s="43" t="n">
        <v>1.5</v>
      </c>
      <c r="H14" s="42" t="n">
        <v>250</v>
      </c>
      <c r="I14" s="27" t="inlineStr">
        <is>
          <t>Operational</t>
        </is>
      </c>
    </row>
    <row r="15">
      <c r="A15" s="24" t="inlineStr">
        <is>
          <t>Henrico County, VA</t>
        </is>
      </c>
      <c r="B15" s="24" t="inlineStr">
        <is>
          <t>US-Southeast</t>
        </is>
      </c>
      <c r="C15" s="24" t="inlineStr">
        <is>
          <t>USA</t>
        </is>
      </c>
      <c r="D15" s="38" t="n">
        <v>2020</v>
      </c>
      <c r="E15" s="39" t="n">
        <v>5</v>
      </c>
      <c r="F15" s="40" t="n">
        <v>2.5</v>
      </c>
      <c r="G15" s="40" t="n">
        <v>1</v>
      </c>
      <c r="H15" s="39" t="n">
        <v>200</v>
      </c>
      <c r="I15" s="24" t="inlineStr">
        <is>
          <t>Operational</t>
        </is>
      </c>
    </row>
    <row r="16">
      <c r="A16" s="27" t="inlineStr">
        <is>
          <t>Huntsville, AL</t>
        </is>
      </c>
      <c r="B16" s="27" t="inlineStr">
        <is>
          <t>US-Southeast</t>
        </is>
      </c>
      <c r="C16" s="27" t="inlineStr">
        <is>
          <t>USA</t>
        </is>
      </c>
      <c r="D16" s="41" t="n">
        <v>2021</v>
      </c>
      <c r="E16" s="42" t="n">
        <v>6</v>
      </c>
      <c r="F16" s="43" t="n">
        <v>3.5</v>
      </c>
      <c r="G16" s="43" t="n">
        <v>1.5</v>
      </c>
      <c r="H16" s="42" t="n">
        <v>120</v>
      </c>
      <c r="I16" s="27" t="inlineStr">
        <is>
          <t>Operational</t>
        </is>
      </c>
    </row>
    <row r="17">
      <c r="A17" s="24" t="inlineStr">
        <is>
          <t>Newton Co (Stanton Springs), GA</t>
        </is>
      </c>
      <c r="B17" s="24" t="inlineStr">
        <is>
          <t>US-Southeast</t>
        </is>
      </c>
      <c r="C17" s="24" t="inlineStr">
        <is>
          <t>USA</t>
        </is>
      </c>
      <c r="D17" s="38" t="n">
        <v>2021</v>
      </c>
      <c r="E17" s="39" t="n">
        <v>5</v>
      </c>
      <c r="F17" s="40" t="n">
        <v>2.5</v>
      </c>
      <c r="G17" s="40" t="n">
        <v>1</v>
      </c>
      <c r="H17" s="39" t="n">
        <v>200</v>
      </c>
      <c r="I17" s="24" t="inlineStr">
        <is>
          <t>Operational</t>
        </is>
      </c>
    </row>
    <row r="18">
      <c r="A18" s="27" t="inlineStr">
        <is>
          <t>Eagle Mountain, UT</t>
        </is>
      </c>
      <c r="B18" s="27" t="inlineStr">
        <is>
          <t>US-West</t>
        </is>
      </c>
      <c r="C18" s="27" t="inlineStr">
        <is>
          <t>USA</t>
        </is>
      </c>
      <c r="D18" s="41" t="n">
        <v>2021</v>
      </c>
      <c r="E18" s="42" t="n">
        <v>7</v>
      </c>
      <c r="F18" s="43" t="n">
        <v>4.5</v>
      </c>
      <c r="G18" s="43" t="n">
        <v>1.5</v>
      </c>
      <c r="H18" s="41" t="inlineStr">
        <is>
          <t>n/a</t>
        </is>
      </c>
      <c r="I18" s="27" t="inlineStr">
        <is>
          <t>Operational</t>
        </is>
      </c>
    </row>
    <row r="19">
      <c r="A19" s="24" t="inlineStr">
        <is>
          <t>Singapore</t>
        </is>
      </c>
      <c r="B19" s="24" t="inlineStr">
        <is>
          <t>APAC</t>
        </is>
      </c>
      <c r="C19" s="24" t="inlineStr">
        <is>
          <t>Singapore</t>
        </is>
      </c>
      <c r="D19" s="38" t="n">
        <v>2022</v>
      </c>
      <c r="E19" s="39" t="n">
        <v>1</v>
      </c>
      <c r="F19" s="40" t="n">
        <v>1.8</v>
      </c>
      <c r="G19" s="40" t="n">
        <v>1</v>
      </c>
      <c r="H19" s="38" t="inlineStr">
        <is>
          <t>n/a</t>
        </is>
      </c>
      <c r="I19" s="24" t="inlineStr">
        <is>
          <t>Operational</t>
        </is>
      </c>
    </row>
    <row r="20">
      <c r="A20" s="27" t="inlineStr">
        <is>
          <t>DeKalb, IL</t>
        </is>
      </c>
      <c r="B20" s="27" t="inlineStr">
        <is>
          <t>US-Midwest</t>
        </is>
      </c>
      <c r="C20" s="27" t="inlineStr">
        <is>
          <t>USA</t>
        </is>
      </c>
      <c r="D20" s="41" t="n">
        <v>2022</v>
      </c>
      <c r="E20" s="42" t="n">
        <v>5</v>
      </c>
      <c r="F20" s="43" t="n">
        <v>2.4</v>
      </c>
      <c r="G20" s="43" t="n">
        <v>1</v>
      </c>
      <c r="H20" s="42" t="n">
        <v>300</v>
      </c>
      <c r="I20" s="27" t="inlineStr">
        <is>
          <t>Operational</t>
        </is>
      </c>
    </row>
    <row r="21">
      <c r="A21" s="24" t="inlineStr">
        <is>
          <t>Gallatin, TN</t>
        </is>
      </c>
      <c r="B21" s="24" t="inlineStr">
        <is>
          <t>US-Southeast</t>
        </is>
      </c>
      <c r="C21" s="24" t="inlineStr">
        <is>
          <t>USA</t>
        </is>
      </c>
      <c r="D21" s="38" t="n">
        <v>2023</v>
      </c>
      <c r="E21" s="39" t="n">
        <v>4</v>
      </c>
      <c r="F21" s="40" t="n">
        <v>1.6</v>
      </c>
      <c r="G21" s="40" t="n">
        <v>1</v>
      </c>
      <c r="H21" s="38" t="inlineStr">
        <is>
          <t>n/a</t>
        </is>
      </c>
      <c r="I21" s="24" t="inlineStr">
        <is>
          <t>Operational</t>
        </is>
      </c>
    </row>
    <row r="22">
      <c r="A22" s="27" t="inlineStr">
        <is>
          <t>Mesa, AZ</t>
        </is>
      </c>
      <c r="B22" s="27" t="inlineStr">
        <is>
          <t>US-Southwest</t>
        </is>
      </c>
      <c r="C22" s="27" t="inlineStr">
        <is>
          <t>USA</t>
        </is>
      </c>
      <c r="D22" s="41" t="n">
        <v>2023</v>
      </c>
      <c r="E22" s="42" t="n">
        <v>5</v>
      </c>
      <c r="F22" s="43" t="n">
        <v>2.5</v>
      </c>
      <c r="G22" s="43" t="n">
        <v>1</v>
      </c>
      <c r="H22" s="41" t="inlineStr">
        <is>
          <t>n/a</t>
        </is>
      </c>
      <c r="I22" s="27" t="inlineStr">
        <is>
          <t>Operational</t>
        </is>
      </c>
    </row>
    <row r="23">
      <c r="A23" s="24" t="inlineStr">
        <is>
          <t>Temple, TX</t>
        </is>
      </c>
      <c r="B23" s="24" t="inlineStr">
        <is>
          <t>US-Southwest</t>
        </is>
      </c>
      <c r="C23" s="24" t="inlineStr">
        <is>
          <t>USA</t>
        </is>
      </c>
      <c r="D23" s="38" t="n">
        <v>2024</v>
      </c>
      <c r="E23" s="39" t="n">
        <v>1</v>
      </c>
      <c r="F23" s="40" t="n">
        <v>0.9</v>
      </c>
      <c r="G23" s="40" t="n">
        <v>0.8</v>
      </c>
      <c r="H23" s="38" t="inlineStr">
        <is>
          <t>n/a</t>
        </is>
      </c>
      <c r="I23" s="24" t="inlineStr">
        <is>
          <t>Operational</t>
        </is>
      </c>
    </row>
    <row r="24">
      <c r="A24" s="27" t="inlineStr">
        <is>
          <t>Kansas City, MO</t>
        </is>
      </c>
      <c r="B24" s="27" t="inlineStr">
        <is>
          <t>US-Midwest</t>
        </is>
      </c>
      <c r="C24" s="27" t="inlineStr">
        <is>
          <t>USA</t>
        </is>
      </c>
      <c r="D24" s="41" t="n">
        <v>2024</v>
      </c>
      <c r="E24" s="42" t="n">
        <v>1</v>
      </c>
      <c r="F24" s="43" t="n">
        <v>0.7</v>
      </c>
      <c r="G24" s="43" t="n">
        <v>0.8</v>
      </c>
      <c r="H24" s="41" t="inlineStr">
        <is>
          <t>n/a</t>
        </is>
      </c>
      <c r="I24" s="27" t="inlineStr">
        <is>
          <t>Operational</t>
        </is>
      </c>
    </row>
    <row r="25">
      <c r="A25" s="24" t="inlineStr">
        <is>
          <t>Kuna, ID</t>
        </is>
      </c>
      <c r="B25" s="24" t="inlineStr">
        <is>
          <t>US-West</t>
        </is>
      </c>
      <c r="C25" s="24" t="inlineStr">
        <is>
          <t>USA</t>
        </is>
      </c>
      <c r="D25" s="38" t="n">
        <v>2025</v>
      </c>
      <c r="E25" s="39" t="n">
        <v>1</v>
      </c>
      <c r="F25" s="40" t="n">
        <v>1</v>
      </c>
      <c r="G25" s="40" t="n">
        <v>0.8</v>
      </c>
      <c r="H25" s="39" t="n">
        <v>100</v>
      </c>
      <c r="I25" s="24" t="inlineStr">
        <is>
          <t>Operational/Ramping</t>
        </is>
      </c>
    </row>
    <row r="26">
      <c r="A26" s="27" t="inlineStr">
        <is>
          <t>Jeffersonville, IN</t>
        </is>
      </c>
      <c r="B26" s="27" t="inlineStr">
        <is>
          <t>US-Midwest</t>
        </is>
      </c>
      <c r="C26" s="27" t="inlineStr">
        <is>
          <t>USA</t>
        </is>
      </c>
      <c r="D26" s="41" t="n">
        <v>2026</v>
      </c>
      <c r="E26" s="42" t="n">
        <v>1</v>
      </c>
      <c r="F26" s="43" t="n">
        <v>0.7</v>
      </c>
      <c r="G26" s="43" t="n">
        <v>0.8</v>
      </c>
      <c r="H26" s="41" t="inlineStr">
        <is>
          <t>n/a</t>
        </is>
      </c>
      <c r="I26" s="27" t="inlineStr">
        <is>
          <t>Under construction</t>
        </is>
      </c>
    </row>
    <row r="27">
      <c r="A27" s="24" t="inlineStr">
        <is>
          <t>Rosemount, MN</t>
        </is>
      </c>
      <c r="B27" s="24" t="inlineStr">
        <is>
          <t>US-Midwest</t>
        </is>
      </c>
      <c r="C27" s="24" t="inlineStr">
        <is>
          <t>USA</t>
        </is>
      </c>
      <c r="D27" s="38" t="n">
        <v>2026</v>
      </c>
      <c r="E27" s="39" t="n">
        <v>1</v>
      </c>
      <c r="F27" s="40" t="n">
        <v>0.72</v>
      </c>
      <c r="G27" s="40" t="n">
        <v>0.8</v>
      </c>
      <c r="H27" s="38" t="inlineStr">
        <is>
          <t>n/a</t>
        </is>
      </c>
      <c r="I27" s="24" t="inlineStr">
        <is>
          <t>Under construction</t>
        </is>
      </c>
    </row>
    <row r="28">
      <c r="A28" s="27" t="inlineStr">
        <is>
          <t>Montgomery, AL</t>
        </is>
      </c>
      <c r="B28" s="27" t="inlineStr">
        <is>
          <t>US-Southeast</t>
        </is>
      </c>
      <c r="C28" s="27" t="inlineStr">
        <is>
          <t>USA</t>
        </is>
      </c>
      <c r="D28" s="41" t="n">
        <v>2026</v>
      </c>
      <c r="E28" s="42" t="n">
        <v>1</v>
      </c>
      <c r="F28" s="43" t="n">
        <v>0.72</v>
      </c>
      <c r="G28" s="43" t="n">
        <v>0.8</v>
      </c>
      <c r="H28" s="41" t="inlineStr">
        <is>
          <t>n/a</t>
        </is>
      </c>
      <c r="I28" s="27" t="inlineStr">
        <is>
          <t>Under construction</t>
        </is>
      </c>
    </row>
    <row r="29">
      <c r="A29" s="30" t="inlineStr">
        <is>
          <t>TOTAL (owned campuses)</t>
        </is>
      </c>
      <c r="B29" s="30" t="n"/>
      <c r="C29" s="30" t="n"/>
      <c r="D29" s="30" t="n"/>
      <c r="E29" s="31">
        <f>SUM(E5:E28)</f>
        <v/>
      </c>
      <c r="F29" s="44">
        <f>SUM(F5:F28)</f>
        <v/>
      </c>
      <c r="G29" s="44">
        <f>SUM(G5:G28)</f>
        <v/>
      </c>
      <c r="H29" s="31">
        <f>SUMIF(H5:H28,"&lt;&gt;n/a")</f>
        <v/>
      </c>
      <c r="I29" s="30" t="n"/>
    </row>
    <row r="30">
      <c r="A30" s="7" t="inlineStr">
        <is>
          <t>Note: nameplate MW total is only for the subset of sites the third-party tracker reports and understates true installed power; it excludes the AI build-out (see AI Buildout tab).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1" t="inlineStr">
        <is>
          <t>Leased / Colocation Capacity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Third-party leased data-center facilities. Sources: Meta Environmental Data Index; Dgtl Infra; SemiAnalysis.</t>
        </is>
      </c>
      <c r="B2" s="4" t="n"/>
      <c r="C2" s="4" t="n"/>
      <c r="D2" s="4" t="n"/>
      <c r="E2" s="4" t="n"/>
      <c r="F2" s="4" t="n"/>
    </row>
    <row r="4">
      <c r="A4" s="8" t="inlineStr">
        <is>
          <t>Leased data-center electricity consumption (MWh/yr)</t>
        </is>
      </c>
    </row>
    <row r="5">
      <c r="A5" s="9" t="inlineStr">
        <is>
          <t>Metric</t>
        </is>
      </c>
      <c r="B5" s="9" t="inlineStr">
        <is>
          <t>2020</t>
        </is>
      </c>
      <c r="C5" s="9" t="inlineStr">
        <is>
          <t>2021</t>
        </is>
      </c>
      <c r="D5" s="9" t="inlineStr">
        <is>
          <t>2022</t>
        </is>
      </c>
      <c r="E5" s="9" t="inlineStr">
        <is>
          <t>2023</t>
        </is>
      </c>
      <c r="F5" s="9" t="inlineStr">
        <is>
          <t>2024</t>
        </is>
      </c>
    </row>
    <row r="6">
      <c r="A6" s="24" t="inlineStr">
        <is>
          <t>Leased facilities (MWh)</t>
        </is>
      </c>
      <c r="B6" s="14" t="n">
        <v>795000</v>
      </c>
      <c r="C6" s="14" t="n">
        <v>964650</v>
      </c>
      <c r="D6" s="14" t="n">
        <v>1105834</v>
      </c>
      <c r="E6" s="14" t="n">
        <v>2187020</v>
      </c>
      <c r="F6" s="14" t="n">
        <v>3069504</v>
      </c>
    </row>
    <row r="7">
      <c r="A7" s="24" t="inlineStr">
        <is>
          <t>YoY growth</t>
        </is>
      </c>
      <c r="B7" s="38" t="inlineStr">
        <is>
          <t>n/a</t>
        </is>
      </c>
      <c r="C7" s="25">
        <f>C6/B6-1</f>
        <v/>
      </c>
      <c r="D7" s="25">
        <f>D6/C6-1</f>
        <v/>
      </c>
      <c r="E7" s="25">
        <f>E6/D6-1</f>
        <v/>
      </c>
      <c r="F7" s="25">
        <f>F6/E6-1</f>
        <v/>
      </c>
    </row>
    <row r="9">
      <c r="A9" s="8" t="inlineStr">
        <is>
          <t>Known leased / colocation markets</t>
        </is>
      </c>
    </row>
    <row r="10">
      <c r="A10" s="9" t="inlineStr">
        <is>
          <t>#</t>
        </is>
      </c>
      <c r="B10" s="9" t="inlineStr">
        <is>
          <t>Market</t>
        </is>
      </c>
      <c r="C10" s="45" t="n"/>
      <c r="D10" s="46" t="n"/>
    </row>
    <row r="11">
      <c r="A11" s="38" t="n">
        <v>1</v>
      </c>
      <c r="B11" s="24" t="inlineStr">
        <is>
          <t>Ashburn, Virginia</t>
        </is>
      </c>
    </row>
    <row r="12">
      <c r="A12" s="38" t="n">
        <v>2</v>
      </c>
      <c r="B12" s="24" t="inlineStr">
        <is>
          <t>Manassas, Virginia</t>
        </is>
      </c>
    </row>
    <row r="13">
      <c r="A13" s="38" t="n">
        <v>3</v>
      </c>
      <c r="B13" s="24" t="inlineStr">
        <is>
          <t>Richmond, Virginia</t>
        </is>
      </c>
    </row>
    <row r="14">
      <c r="A14" s="38" t="n">
        <v>4</v>
      </c>
      <c r="B14" s="24" t="inlineStr">
        <is>
          <t>Aurora, Illinois</t>
        </is>
      </c>
    </row>
    <row r="15">
      <c r="A15" s="38" t="n">
        <v>5</v>
      </c>
      <c r="B15" s="24" t="inlineStr">
        <is>
          <t>Chicago, Illinois</t>
        </is>
      </c>
    </row>
    <row r="16">
      <c r="A16" s="38" t="n">
        <v>6</v>
      </c>
      <c r="B16" s="24" t="inlineStr">
        <is>
          <t>Dallas, Texas</t>
        </is>
      </c>
    </row>
    <row r="17">
      <c r="A17" s="38" t="n">
        <v>7</v>
      </c>
      <c r="B17" s="24" t="inlineStr">
        <is>
          <t>Houston, Texas</t>
        </is>
      </c>
    </row>
    <row r="18">
      <c r="A18" s="38" t="n">
        <v>8</v>
      </c>
      <c r="B18" s="24" t="inlineStr">
        <is>
          <t>Phoenix, Arizona</t>
        </is>
      </c>
    </row>
    <row r="19">
      <c r="A19" s="38" t="n">
        <v>9</v>
      </c>
      <c r="B19" s="24" t="inlineStr">
        <is>
          <t>Hillsboro, Oregon</t>
        </is>
      </c>
    </row>
    <row r="20">
      <c r="A20" s="38" t="n">
        <v>10</v>
      </c>
      <c r="B20" s="24" t="inlineStr">
        <is>
          <t>Santa Clara, California</t>
        </is>
      </c>
    </row>
    <row r="21">
      <c r="A21" s="38" t="n">
        <v>11</v>
      </c>
      <c r="B21" s="24" t="inlineStr">
        <is>
          <t>Chennai, India</t>
        </is>
      </c>
    </row>
    <row r="23">
      <c r="A23" s="8" t="inlineStr">
        <is>
          <t>Key relationships &amp; context</t>
        </is>
      </c>
    </row>
    <row r="24" ht="30" customHeight="1">
      <c r="A24" s="6" t="inlineStr">
        <is>
          <t>• Digital Realty (DLR): Meta is its ~11th-largest customer; ~48 leased locations; ~$61.8M annualized base rent (Dgtl Infra).</t>
        </is>
      </c>
    </row>
    <row r="25" ht="30" customHeight="1">
      <c r="A25" s="6" t="inlineStr">
        <is>
          <t>• SemiAnalysis: Meta pre-leased more capacity in H2-2024 than any other hyperscaler, concentrated in Ohio.</t>
        </is>
      </c>
    </row>
    <row r="26" ht="30" customHeight="1">
      <c r="A26" s="6" t="inlineStr">
        <is>
          <t>• Dual-track 'all of the above' strategy: self-build + leasing + on-site gas generation to ramp AI capacity fast.</t>
        </is>
      </c>
    </row>
    <row r="27" ht="30" customHeight="1">
      <c r="A27" s="6" t="inlineStr">
        <is>
          <t>• Hyperion (Louisiana) is financed via a $27-30B Blue Owl JV (Meta ~20% equity) and leased back to Meta — an owned/leased hybrid (see AI Buildout).</t>
        </is>
      </c>
    </row>
    <row r="28" ht="30" customHeight="1">
      <c r="A28" s="6" t="inlineStr">
        <is>
          <t>• Leased DC electricity nearly quadrupled 2020-&gt;2024 (0.80 -&gt; 3.07 TWh); leased share of DC power rose from ~11% to ~17%.</t>
        </is>
      </c>
    </row>
  </sheetData>
  <mergeCells count="19">
    <mergeCell ref="B11:D11"/>
    <mergeCell ref="B14:D14"/>
    <mergeCell ref="A27:F27"/>
    <mergeCell ref="B17:D17"/>
    <mergeCell ref="B13:D13"/>
    <mergeCell ref="A26:F26"/>
    <mergeCell ref="B10:D10"/>
    <mergeCell ref="A2:F2"/>
    <mergeCell ref="B19:D19"/>
    <mergeCell ref="B15:D15"/>
    <mergeCell ref="B20:D20"/>
    <mergeCell ref="A28:F28"/>
    <mergeCell ref="B16:D16"/>
    <mergeCell ref="A24:F24"/>
    <mergeCell ref="A1:F1"/>
    <mergeCell ref="B18:D18"/>
    <mergeCell ref="B21:D21"/>
    <mergeCell ref="B12:D12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30" customWidth="1" min="4" max="4"/>
    <col width="30" customWidth="1" min="5" max="5"/>
    <col width="44" customWidth="1" min="6" max="6"/>
  </cols>
  <sheetData>
    <row r="1" ht="32" customHeight="1">
      <c r="A1" s="1" t="inlineStr">
        <is>
          <t>Forward AI Capacity Build-out (nameplate GW)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Announced/targeted AI clusters. Sources: Meta, SemiAnalysis, Data Center Frontier, CBRE, AI Data Center Index. Targets, not installed.</t>
        </is>
      </c>
      <c r="B2" s="4" t="n"/>
      <c r="C2" s="4" t="n"/>
      <c r="D2" s="4" t="n"/>
      <c r="E2" s="4" t="n"/>
      <c r="F2" s="4" t="n"/>
    </row>
    <row r="4">
      <c r="A4" s="8" t="inlineStr">
        <is>
          <t>Tracker view: ~15.8 GW of Meta AI data-center capacity across ~20 sites, ~50% operational, in 5 countries (AI Data Center Index, 2026).</t>
        </is>
      </c>
    </row>
    <row r="6">
      <c r="A6" s="9" t="inlineStr">
        <is>
          <t>Project</t>
        </is>
      </c>
      <c r="B6" s="9" t="inlineStr">
        <is>
          <t>Location</t>
        </is>
      </c>
      <c r="C6" s="9" t="inlineStr">
        <is>
          <t>Capacity (GW)</t>
        </is>
      </c>
      <c r="D6" s="9" t="inlineStr">
        <is>
          <t>Timeline</t>
        </is>
      </c>
      <c r="E6" s="9" t="inlineStr">
        <is>
          <t>Ownership model</t>
        </is>
      </c>
      <c r="F6" s="9" t="inlineStr">
        <is>
          <t>Notes</t>
        </is>
      </c>
    </row>
    <row r="7" ht="42" customHeight="1">
      <c r="A7" s="47" t="inlineStr">
        <is>
          <t>Prometheus</t>
        </is>
      </c>
      <c r="B7" s="47" t="inlineStr">
        <is>
          <t>New Albany, Ohio</t>
        </is>
      </c>
      <c r="C7" s="48" t="n">
        <v>1</v>
      </c>
      <c r="D7" s="47" t="inlineStr">
        <is>
          <t>~1 GW by 2026</t>
        </is>
      </c>
      <c r="E7" s="49" t="inlineStr">
        <is>
          <t>Owned self-build + leased + on-site gas</t>
        </is>
      </c>
      <c r="F7" s="47" t="inlineStr">
        <is>
          <t>World's first ~1GW-scale AI training cluster; Meta pre-leased more capacity in H2-2024 than any hyperscaler, mostly Ohio; two 200MW behind-the-meter gas plants w/ Williams.</t>
        </is>
      </c>
    </row>
    <row r="8" ht="42" customHeight="1">
      <c r="A8" s="47" t="inlineStr">
        <is>
          <t>Hyperion</t>
        </is>
      </c>
      <c r="B8" s="47" t="inlineStr">
        <is>
          <t>Richland Parish, Louisiana</t>
        </is>
      </c>
      <c r="C8" s="48" t="n">
        <v>2</v>
      </c>
      <c r="D8" s="47" t="inlineStr">
        <is>
          <t>2 GW by 2030 (1.5 GW IT by 2027); scalable to 5 GW</t>
        </is>
      </c>
      <c r="E8" s="50" t="inlineStr">
        <is>
          <t>JV-owned (Blue Owl 80% / Meta 20%), leased back to Meta</t>
        </is>
      </c>
      <c r="F8" s="47" t="inlineStr">
        <is>
          <t>$27-30B Blue Owl JV finances the campus; fully leased by Meta. &gt;$10B Meta investment; ~4M+ sqft.</t>
        </is>
      </c>
    </row>
    <row r="9" ht="42" customHeight="1">
      <c r="A9" s="47" t="inlineStr">
        <is>
          <t>Lebanon (El Paso project)</t>
        </is>
      </c>
      <c r="B9" s="47" t="inlineStr">
        <is>
          <t>Lebanon, Indiana</t>
        </is>
      </c>
      <c r="C9" s="48" t="n">
        <v>1</v>
      </c>
      <c r="D9" s="47" t="inlineStr">
        <is>
          <t>~1 GW, from 2027</t>
        </is>
      </c>
      <c r="E9" s="49" t="inlineStr">
        <is>
          <t>Owned self-build</t>
        </is>
      </c>
      <c r="F9" s="47" t="inlineStr">
        <is>
          <t>~4M sqft, 13 buildings, $10B+.</t>
        </is>
      </c>
    </row>
    <row r="10" ht="42" customHeight="1">
      <c r="A10" s="47" t="inlineStr">
        <is>
          <t>Aiken (New Albany SC)</t>
        </is>
      </c>
      <c r="B10" s="47" t="inlineStr">
        <is>
          <t>Aiken, South Carolina</t>
        </is>
      </c>
      <c r="C10" s="51" t="inlineStr">
        <is>
          <t>n/d</t>
        </is>
      </c>
      <c r="D10" s="47" t="inlineStr">
        <is>
          <t>Under construction</t>
        </is>
      </c>
      <c r="E10" s="49" t="inlineStr">
        <is>
          <t>Owned self-build</t>
        </is>
      </c>
      <c r="F10" s="47" t="inlineStr">
        <is>
          <t>AI-optimized campus, $800M+.</t>
        </is>
      </c>
    </row>
    <row r="11" ht="42" customHeight="1">
      <c r="A11" s="47" t="inlineStr">
        <is>
          <t>El Paso</t>
        </is>
      </c>
      <c r="B11" s="47" t="inlineStr">
        <is>
          <t>El Paso, Texas</t>
        </is>
      </c>
      <c r="C11" s="51" t="inlineStr">
        <is>
          <t>n/d</t>
        </is>
      </c>
      <c r="D11" s="47" t="inlineStr">
        <is>
          <t>Under construction</t>
        </is>
      </c>
      <c r="E11" s="49" t="inlineStr">
        <is>
          <t>Owned self-build</t>
        </is>
      </c>
      <c r="F11" s="47" t="inlineStr">
        <is>
          <t>AI-optimized; reporting ~$10B.</t>
        </is>
      </c>
    </row>
    <row r="12" ht="42" customHeight="1">
      <c r="A12" s="47" t="inlineStr">
        <is>
          <t>Beaver Dam</t>
        </is>
      </c>
      <c r="B12" s="47" t="inlineStr">
        <is>
          <t>Beaver Dam, Wisconsin</t>
        </is>
      </c>
      <c r="C12" s="51" t="inlineStr">
        <is>
          <t>n/d</t>
        </is>
      </c>
      <c r="D12" s="47" t="inlineStr">
        <is>
          <t>2027</t>
        </is>
      </c>
      <c r="E12" s="49" t="inlineStr">
        <is>
          <t>Owned self-build</t>
        </is>
      </c>
      <c r="F12" s="47" t="inlineStr">
        <is>
          <t>700k+ sqft, $1B+, closed-loop liquid cooling.</t>
        </is>
      </c>
    </row>
    <row r="13" ht="42" customHeight="1">
      <c r="A13" s="47" t="inlineStr">
        <is>
          <t>Cheyenne</t>
        </is>
      </c>
      <c r="B13" s="47" t="inlineStr">
        <is>
          <t>Cheyenne, Wyoming</t>
        </is>
      </c>
      <c r="C13" s="51" t="inlineStr">
        <is>
          <t>n/d</t>
        </is>
      </c>
      <c r="D13" s="47" t="inlineStr">
        <is>
          <t>Announced/UC</t>
        </is>
      </c>
      <c r="E13" s="49" t="inlineStr">
        <is>
          <t>Owned self-build</t>
        </is>
      </c>
      <c r="F13" s="47" t="inlineStr">
        <is>
          <t>715k sqft.</t>
        </is>
      </c>
    </row>
    <row r="14" ht="42" customHeight="1">
      <c r="A14" s="47" t="inlineStr">
        <is>
          <t>Tulsa</t>
        </is>
      </c>
      <c r="B14" s="47" t="inlineStr">
        <is>
          <t>Tulsa, Oklahoma</t>
        </is>
      </c>
      <c r="C14" s="51" t="inlineStr">
        <is>
          <t>n/d</t>
        </is>
      </c>
      <c r="D14" s="47" t="inlineStr">
        <is>
          <t>Announced Apr 2026</t>
        </is>
      </c>
      <c r="E14" s="49" t="inlineStr">
        <is>
          <t>Owned self-build</t>
        </is>
      </c>
      <c r="F14" s="47" t="inlineStr">
        <is>
          <t>Meta's 32nd data center globally.</t>
        </is>
      </c>
    </row>
    <row r="15">
      <c r="A15" s="52" t="inlineStr">
        <is>
          <t>Sum of quantified GW targets</t>
        </is>
      </c>
      <c r="B15" s="53" t="n"/>
      <c r="C15" s="54">
        <f>SUMIF(C7:C14,"&lt;&gt;n/d")</f>
        <v/>
      </c>
      <c r="D15" s="53" t="n"/>
      <c r="E15" s="53" t="n"/>
      <c r="F15" s="53" t="n"/>
    </row>
    <row r="17">
      <c r="A17" s="7" t="inlineStr">
        <is>
          <t>Legend: green = owned self-build; amber = JV-owned/leased hybrid; grey = ownership TBD/self-build unquantified. GW figures are targets/announcements and include multi-year phasing.</t>
        </is>
      </c>
    </row>
  </sheetData>
  <mergeCells count="4">
    <mergeCell ref="A2:F2"/>
    <mergeCell ref="A17:F17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2" customHeight="1">
      <c r="A1" s="1" t="inlineStr">
        <is>
          <t>Sources &amp; Methodology</t>
        </is>
      </c>
      <c r="B1" s="2" t="n"/>
    </row>
    <row r="2" ht="20" customHeight="1">
      <c r="A2" s="3" t="inlineStr">
        <is>
          <t>All figures as-disclosed; compiled from public sources.</t>
        </is>
      </c>
      <c r="B2" s="4" t="n"/>
    </row>
    <row r="4">
      <c r="A4" s="8" t="inlineStr">
        <is>
          <t>Methodology</t>
        </is>
      </c>
    </row>
    <row r="5" ht="45" customHeight="1">
      <c r="A5" s="6" t="inlineStr">
        <is>
          <t>• Capacity proxy: Data-center capacity is measured in electric power. Because Meta does not disclose a single owned-vs-leased MW figure, the owned/leased split uses ACTUAL electricity consumption (MWh/yr) as the realized-capacity proxy — the one metric Meta reports separately for owned sites and for leased facilities.</t>
        </is>
      </c>
    </row>
    <row r="6" ht="45" customHeight="1">
      <c r="A6" s="6" t="inlineStr">
        <is>
          <t>• Owned online data centers are reported individually by Meta (18 sites with material 2024 consumption). 'Leased data center facilities' and 'Other DC-related facilities' are each reported as single lines.</t>
        </is>
      </c>
    </row>
    <row r="7" ht="45" customHeight="1">
      <c r="A7" s="6" t="inlineStr">
        <is>
          <t>• Nameplate MW (Campus Detail) are third-party estimates (usdatamap) available only for a subset of sites; they understate installed power and exclude the AI expansion. Use directionally.</t>
        </is>
      </c>
    </row>
    <row r="8" ht="45" customHeight="1">
      <c r="A8" s="6" t="inlineStr">
        <is>
          <t>• AI build-out GW are announced targets / analyst estimates with multi-year phasing — NOT installed capacity.</t>
        </is>
      </c>
    </row>
    <row r="9" ht="45" customHeight="1">
      <c r="A9" s="6" t="inlineStr">
        <is>
          <t>• Owned campus counts vary by source and date (Meta cites '27-28 owned locations in operation or under construction'; Dgtl Infra lists 24 established campuses; newer sites e.g. Tulsa push counts higher). Reconciliation notes included where relevant.</t>
        </is>
      </c>
    </row>
    <row r="11">
      <c r="A11" s="8" t="inlineStr">
        <is>
          <t>Sources</t>
        </is>
      </c>
    </row>
    <row r="12">
      <c r="A12" s="9" t="inlineStr">
        <is>
          <t>Source</t>
        </is>
      </c>
      <c r="B12" s="9" t="inlineStr">
        <is>
          <t>URL / detail</t>
        </is>
      </c>
    </row>
    <row r="13" ht="40" customHeight="1">
      <c r="A13" s="55" t="inlineStr">
        <is>
          <t>Meta 2025 Environmental Data Index (FY2024)</t>
        </is>
      </c>
      <c r="B13" s="47" t="inlineStr">
        <is>
          <t>https://sustainability.atmeta.com/wp-content/uploads/2025/10/Meta_2025-Environmental-Data-Index.pdf — per-site electricity (MWh), water, GHG; owned vs leased lines.</t>
        </is>
      </c>
    </row>
    <row r="14" ht="40" customHeight="1">
      <c r="A14" s="55" t="inlineStr">
        <is>
          <t>Meta 2025 Sustainability Report</t>
        </is>
      </c>
      <c r="B14" s="47" t="inlineStr">
        <is>
          <t>https://www.smartenergydecisions.com/wp-content/uploads/2025/10/Meta_2025-Sustainability-Report_-compressed.pdf — '27 owned DC locations in operation or under construction'; new DC design uses less sqft per unit compute.</t>
        </is>
      </c>
    </row>
    <row r="15" ht="40" customHeight="1">
      <c r="A15" s="55" t="inlineStr">
        <is>
          <t>Meta — U.S. Data Centers list (2026)</t>
        </is>
      </c>
      <c r="B15" s="47" t="inlineStr">
        <is>
          <t>https://datacenters.atmeta.com/wp-content/uploads/2026/04/V_Meta-United-States-Data-Centers.pdf — 28 U.S. data centers; Richland Parish &gt;2 GW.</t>
        </is>
      </c>
    </row>
    <row r="16" ht="40" customHeight="1">
      <c r="A16" s="55" t="inlineStr">
        <is>
          <t>Dgtl Infra — Meta data center locations</t>
        </is>
      </c>
      <c r="B16" s="47" t="inlineStr">
        <is>
          <t>https://dgtlinfra.com/meta-data-center-locations-facebook/ — 24 campuses, 104 buildings, 53.4M sqft, ~$29.8B; leased markets; Digital Realty relationship.</t>
        </is>
      </c>
    </row>
    <row r="17" ht="40" customHeight="1">
      <c r="A17" s="55" t="inlineStr">
        <is>
          <t>SemiAnalysis — Meta Superintelligence (Jul 2025)</t>
        </is>
      </c>
      <c r="B17" s="47" t="inlineStr">
        <is>
          <t>https://newsletter.semianalysis.com/p/meta-superintelligence-leadership-compute-talent-and-data — Prometheus 1GW, Hyperion, pre-leasing, on-site gas.</t>
        </is>
      </c>
    </row>
    <row r="18" ht="40" customHeight="1">
      <c r="A18" s="55" t="inlineStr">
        <is>
          <t>Data Center Frontier — Hyperion &amp; Prometheus</t>
        </is>
      </c>
      <c r="B18" s="47" t="inlineStr">
        <is>
          <t>https://www.datacenterfrontier.com/hyperscale/article/55310441 — ownership/lease structure; 2 GW-&gt;5 GW; CAPEX.</t>
        </is>
      </c>
    </row>
    <row r="19" ht="40" customHeight="1">
      <c r="A19" s="55" t="inlineStr">
        <is>
          <t>AI Data Center Index — Meta operator report</t>
        </is>
      </c>
      <c r="B19" s="47" t="inlineStr">
        <is>
          <t>https://aidatacenterindex.com/reports/operator/meta/ — ~15.8 GW tracked, 20 sites, ~50% operational, 5 countries.</t>
        </is>
      </c>
    </row>
    <row r="20" ht="40" customHeight="1">
      <c r="A20" s="55" t="inlineStr">
        <is>
          <t>usdatamap — Meta</t>
        </is>
      </c>
      <c r="B20" s="47" t="inlineStr">
        <is>
          <t>https://usdatamap.com/company/meta — third-party per-site nameplate MW estimates (incomplete).</t>
        </is>
      </c>
    </row>
    <row r="21" ht="40" customHeight="1">
      <c r="A21" s="55" t="inlineStr">
        <is>
          <t>CBRE North America DC Trends H2 2025</t>
        </is>
      </c>
      <c r="B21" s="47" t="inlineStr">
        <is>
          <t>https://www.cbre.com/insights/books/north-america-data-center-trends-h2-2025 — Blue Owl JV; $27B Hyperion; market context.</t>
        </is>
      </c>
    </row>
    <row r="22" ht="40" customHeight="1">
      <c r="A22" s="55" t="inlineStr">
        <is>
          <t>Redact.dev — Facebook data center list (May 2026)</t>
        </is>
      </c>
      <c r="B22" s="47" t="inlineStr">
        <is>
          <t>https://redact.dev/blog/full-list-of-known-and-upcoming-facebook-datacenters-as-of-may-2026 — campus sqft/investment; Lebanon ~1GW; Hyperion up to 5GW.</t>
        </is>
      </c>
    </row>
    <row r="24">
      <c r="A24" s="7" t="inlineStr">
        <is>
          <t>Compiled: FY2024 basis. Prepared as an equity-research reference; verify against primary filings before use.</t>
        </is>
      </c>
    </row>
  </sheetData>
  <mergeCells count="7">
    <mergeCell ref="A2:B2"/>
    <mergeCell ref="A7:B7"/>
    <mergeCell ref="A5:B5"/>
    <mergeCell ref="A1:B1"/>
    <mergeCell ref="A9:B9"/>
    <mergeCell ref="A8:B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2026-07-01T17:33:03Z</dcterms:created>
  <dcterms:modified xsi:type="dcterms:W3CDTF">2026-07-01T17:33:03Z</dcterms:modified>
</cp:coreProperties>
</file>