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 CapEx" sheetId="1" r:id="rId1"/>
    <sheet name="Backlog (RPO)" sheetId="2" r:id="rId2"/>
    <sheet name="CapEx vs Backlog" sheetId="3" r:id="rId3"/>
    <sheet name="Category Allocation" sheetId="4" r:id="rId4"/>
    <sheet name="Geographic Allocation" sheetId="5" r:id="rId5"/>
    <sheet name="CapEx Drivers" sheetId="6" r:id="rId6"/>
    <sheet name="Power &amp; Constraints" sheetId="7" r:id="rId7"/>
    <sheet name="Summary Dashboard" sheetId="8" r:id="rId8"/>
  </sheets>
  <calcPr calcId="124519" fullCalcOnLoad="1"/>
</workbook>
</file>

<file path=xl/sharedStrings.xml><?xml version="1.0" encoding="utf-8"?>
<sst xmlns="http://schemas.openxmlformats.org/spreadsheetml/2006/main" count="296" uniqueCount="239">
  <si>
    <t>Hyperscale CapEx by Company ($B)</t>
  </si>
  <si>
    <t>Company</t>
  </si>
  <si>
    <t>2018</t>
  </si>
  <si>
    <t>2019</t>
  </si>
  <si>
    <t>2020</t>
  </si>
  <si>
    <t>2021</t>
  </si>
  <si>
    <t>2022</t>
  </si>
  <si>
    <t>2023</t>
  </si>
  <si>
    <t>2024</t>
  </si>
  <si>
    <t>2025E</t>
  </si>
  <si>
    <t>2026E</t>
  </si>
  <si>
    <t>Amazon</t>
  </si>
  <si>
    <t>Microsoft</t>
  </si>
  <si>
    <t>Alphabet/Google</t>
  </si>
  <si>
    <t>Meta</t>
  </si>
  <si>
    <t>Oracle</t>
  </si>
  <si>
    <t>Combined Total</t>
  </si>
  <si>
    <t>YoY Growth</t>
  </si>
  <si>
    <t>Source: Company earnings reports (10-K/10-Q). 2025E and 2026E are consensus estimates / company guidance as of Q1 2026.</t>
  </si>
  <si>
    <t>Remaining Performance Obligations / Backlog ($B)</t>
  </si>
  <si>
    <t>Latest RPO ($B)</t>
  </si>
  <si>
    <t>RPO Period</t>
  </si>
  <si>
    <t>QoQ Growth</t>
  </si>
  <si>
    <t>RPO Source</t>
  </si>
  <si>
    <t>Amazon (AWS)</t>
  </si>
  <si>
    <t>Q4 2025</t>
  </si>
  <si>
    <t>AWS segment 10-K</t>
  </si>
  <si>
    <t>FQ2 2026 (Dec 2025)</t>
  </si>
  <si>
    <t>Commercial RPO (10-Q)</t>
  </si>
  <si>
    <t>Google Cloud RPO estimate</t>
  </si>
  <si>
    <t>FQ2 2026 (Nov 2025)</t>
  </si>
  <si>
    <t>Total RPO (10-Q)</t>
  </si>
  <si>
    <t>N/A</t>
  </si>
  <si>
    <t>N/A — no cloud RPO disclosed</t>
  </si>
  <si>
    <t>Meta does not report RPO</t>
  </si>
  <si>
    <t>Note: RPO = contracted future revenue not yet recognised. Periods vary by fiscal year-end. Microsoft RPO includes all commercial segments (Azure, Office 365, Dynamics). Oracle RPO includes OCI + SaaS. Meta does not operate a third-party cloud and does not disclose RPO.</t>
  </si>
  <si>
    <t>Historical RPO / Backlog Trend ($B)</t>
  </si>
  <si>
    <t>Jun 2023</t>
  </si>
  <si>
    <t>Dec 2023</t>
  </si>
  <si>
    <t>Jun 2024</t>
  </si>
  <si>
    <t>Dec 2024</t>
  </si>
  <si>
    <t>Jun 2025</t>
  </si>
  <si>
    <t>Dec 2025</t>
  </si>
  <si>
    <t>Tying CapEx to Backlog: Are Hyperscalers Building Ahead of Demand?</t>
  </si>
  <si>
    <t>This sheet ties capital expenditure to contracted backlog (RPO) to assess whether spending is justified by demand visibility. Key ratios: RPO/CapEx (backlog coverage of annual spend) and RPO/Revenue (years of contracted visibility).</t>
  </si>
  <si>
    <t>2025 CapEx ($B)</t>
  </si>
  <si>
    <t>2026E CapEx ($B)</t>
  </si>
  <si>
    <t>Cloud Rev Run-Rate ($B)</t>
  </si>
  <si>
    <t>RPO / 2026E CapEx</t>
  </si>
  <si>
    <t>RPO / Cloud Rev (yrs)</t>
  </si>
  <si>
    <t>2026E CapEx / Rev</t>
  </si>
  <si>
    <t>Backlog YoY Growth</t>
  </si>
  <si>
    <t>CapEx YoY Growth</t>
  </si>
  <si>
    <t>Backlog vs CapEx Signal</t>
  </si>
  <si>
    <t>RPO growing but capex growing faster — building ahead of demand</t>
  </si>
  <si>
    <t>Massive RPO (4.3x capex) — strong demand justification; OpenAI = 45% of backlog</t>
  </si>
  <si>
    <t>RPO covers 1.3x capex — balanced build; AI backlog accelerating</t>
  </si>
  <si>
    <t>No external cloud RPO — capex driven by internal AI/infra needs (Llama, Reels, ads)</t>
  </si>
  <si>
    <t>RPO far exceeds capex (10.5x) — severely supply-constrained; need to build faster</t>
  </si>
  <si>
    <t>Total (excl Meta RPO)</t>
  </si>
  <si>
    <t>Interpretation Guide</t>
  </si>
  <si>
    <t>RPO / CapEx &gt; 2.0x</t>
  </si>
  <si>
    <t>Backlog comfortably covers annual capex — spending is well-supported by contracted demand. Microsoft (4.3x) and Oracle (10.5x) lead here.</t>
  </si>
  <si>
    <t>RPO / CapEx 1.0–2.0x</t>
  </si>
  <si>
    <t>Backlog roughly covers one year of capex — spending is reasonable but relies on continued new contract wins. Amazon (1.2x) and Google (1.3x) are in this zone.</t>
  </si>
  <si>
    <t>RPO / CapEx &lt; 1.0x or N/A</t>
  </si>
  <si>
    <t>Capex exceeds contracted backlog — company is building speculatively ahead of demand (Meta) or backlog is not disclosed.</t>
  </si>
  <si>
    <t>RPO / Revenue &gt; 2.0x</t>
  </si>
  <si>
    <t>Multi-year revenue visibility from contracts — strong forward demand signal. Oracle (29x) is an outlier due to very large multi-year AI contracts vs small current revenue base.</t>
  </si>
  <si>
    <t>Backlog YoY &gt; CapEx YoY</t>
  </si>
  <si>
    <t>Demand growth outpacing supply build — justifies continued capex acceleration. Microsoft and Oracle show this pattern clearly.</t>
  </si>
  <si>
    <t>Backlog YoY &lt; CapEx YoY</t>
  </si>
  <si>
    <t>Capex growing faster than new demand — potential over-build risk. Amazon shows this pattern; management argues demand is supply-constrained.</t>
  </si>
  <si>
    <t>Source: RPO from company 10-K/10-Q filings and earnings calls. Revenue run-rates based on Q4 2025 annualised. Meta does not operate a third-party cloud business and does not disclose RPO; its capex is driven by internal AI infrastructure needs (Llama model training, Reels recommendation, ads ranking).</t>
  </si>
  <si>
    <t>CapEx Allocation by Category (2026E)</t>
  </si>
  <si>
    <t>Category</t>
  </si>
  <si>
    <t>% of Total</t>
  </si>
  <si>
    <t>Est. Spend ($B)</t>
  </si>
  <si>
    <t>Cumul. %</t>
  </si>
  <si>
    <t>Description</t>
  </si>
  <si>
    <t>Servers &amp; GPUs</t>
  </si>
  <si>
    <t>GPU accelerators (NVIDIA Blackwell/Rubin), TPUs, CPUs, server hardware</t>
  </si>
  <si>
    <t>Data Center Construction</t>
  </si>
  <si>
    <t>Building shell, structure, interior fit-out, site preparation</t>
  </si>
  <si>
    <t>Power Infrastructure</t>
  </si>
  <si>
    <t>Electrical systems, UPS, generators, switchgear, transformers, PDUs</t>
  </si>
  <si>
    <t>Networking Equipment</t>
  </si>
  <si>
    <t>Switches, routers, optical interconnects, fiber, DCI links</t>
  </si>
  <si>
    <t>Memory &amp; Storage</t>
  </si>
  <si>
    <t>HBM (SK Hynix, Samsung), DDR5, SSDs, storage arrays</t>
  </si>
  <si>
    <t>Cooling Systems</t>
  </si>
  <si>
    <t>Liquid cooling, CRAC units, chillers, heat rejection, CDUs</t>
  </si>
  <si>
    <t>Land Acquisition</t>
  </si>
  <si>
    <t>Real estate, site development, land with power/fiber/water access</t>
  </si>
  <si>
    <t>Other / Miscellaneous</t>
  </si>
  <si>
    <t>Design, engineering, security systems, software-defined infrastructure</t>
  </si>
  <si>
    <t>Total</t>
  </si>
  <si>
    <t>High-Level Aggregation</t>
  </si>
  <si>
    <t>Bucket</t>
  </si>
  <si>
    <t>IT Equipment (Servers, GPUs, Memory, Networking)</t>
  </si>
  <si>
    <t>Facilities (Power, Construction, Cooling, Land)</t>
  </si>
  <si>
    <t>CapEx Geographic Distribution</t>
  </si>
  <si>
    <t>Region</t>
  </si>
  <si>
    <t>% of Total 2024</t>
  </si>
  <si>
    <t>Est. 2024 ($B)</t>
  </si>
  <si>
    <t>% of Total 2026E</t>
  </si>
  <si>
    <t>Est. 2026E ($B)</t>
  </si>
  <si>
    <t>Shift (pp)</t>
  </si>
  <si>
    <t>Key Markets</t>
  </si>
  <si>
    <t>North America</t>
  </si>
  <si>
    <t>US (Virginia, Ohio, Texas, Oregon, Georgia), Canada</t>
  </si>
  <si>
    <t>Europe</t>
  </si>
  <si>
    <t>Ireland, Netherlands, UK, Denmark, Sweden, Germany</t>
  </si>
  <si>
    <t>Asia-Pacific</t>
  </si>
  <si>
    <t>Singapore, Japan, Australia, India, South Korea, Malaysia, Indonesia</t>
  </si>
  <si>
    <t>Middle East &amp; Africa</t>
  </si>
  <si>
    <t>UAE, Saudi Arabia, South Africa, Israel</t>
  </si>
  <si>
    <t>Latin America</t>
  </si>
  <si>
    <t>Brazil, Mexico, Chile, Colombia</t>
  </si>
  <si>
    <t>Key Drivers of Hyperscale CapEx</t>
  </si>
  <si>
    <t>Driver</t>
  </si>
  <si>
    <t>Impact</t>
  </si>
  <si>
    <t>AI Model Training Demand</t>
  </si>
  <si>
    <t>Very High</t>
  </si>
  <si>
    <t>Demand</t>
  </si>
  <si>
    <t>Exponential growth in LLM parameter counts and training compute; GPT-4 class models require 10,000+ GPUs for months. Next-gen models (GPT-5, Gemini Ultra) require 50,000-100,000+ GPU clusters.</t>
  </si>
  <si>
    <t>AI Inference Scale-Out</t>
  </si>
  <si>
    <t>Production AI services (search, copilots, agents) require massive GPU fleets for real-time inference. Inference compute is now growing faster than training compute.</t>
  </si>
  <si>
    <t>GPU Supply Constraints</t>
  </si>
  <si>
    <t>Supply</t>
  </si>
  <si>
    <t>NVIDIA Blackwell/Rubin sold out through 2027. TSMC CoWoS packaging at capacity. Market is supply-constrained, not demand-constrained. $500B+ in combined GPU orders through late 2026.</t>
  </si>
  <si>
    <t>Power Grid Bottlenecks</t>
  </si>
  <si>
    <t>Infrastructure</t>
  </si>
  <si>
    <t>Power transformer lead times at 128 weeks. PJM capacity pricing 10x increase ($34 → $329/MW-day). Data center timelines extended 24-72 months. Microsoft has $80B in unfulfilled Azure orders due to power shortages.</t>
  </si>
  <si>
    <t>Cloud Revenue Growth</t>
  </si>
  <si>
    <t>High</t>
  </si>
  <si>
    <t>Cloud revenue growing 20-30% YoY across hyperscalers (AWS 24%, Azure 29%, GCP 48% in Q4 2025). Layers traditional infrastructure demand on top of AI.</t>
  </si>
  <si>
    <t>Enterprise AI Adoption</t>
  </si>
  <si>
    <t>Fortune 500 deploying private AI workloads on hyperscale platforms. Google Cloud backlog at $240B. AWS backlog at $244B, growing 40% YoY.</t>
  </si>
  <si>
    <t>Competitive Dynamics</t>
  </si>
  <si>
    <t>Strategy</t>
  </si>
  <si>
    <t>Arms race between hyperscalers — no company willing to under-invest and lose AI market position. Each capex announcement ratchets peers upward.</t>
  </si>
  <si>
    <t>GPU Price Inflation</t>
  </si>
  <si>
    <t>Cost</t>
  </si>
  <si>
    <t>Next-gen GPU systems (GB200 NVL72) cost $3M+ per rack. 15-25% hardware cost inflation. AWS raised H200 instance prices 15%, breaking 20-year trend of declining cloud costs.</t>
  </si>
  <si>
    <t>Sovereign AI Requirements</t>
  </si>
  <si>
    <t>Medium</t>
  </si>
  <si>
    <t>Regulatory</t>
  </si>
  <si>
    <t>Governments mandating in-country AI compute and data residency. Driving geographic diversification of builds across EU, Middle East, Southeast Asia.</t>
  </si>
  <si>
    <t>Interest Rate Environment</t>
  </si>
  <si>
    <t>Financial</t>
  </si>
  <si>
    <t>Higher borrowing costs as hyperscalers issue $108B in bonds in 2025. $1.5T total debt issuance projected through the cycle.</t>
  </si>
  <si>
    <t>Infrastructure Constraints &amp; Power Bottleneck</t>
  </si>
  <si>
    <t>Metric</t>
  </si>
  <si>
    <t>2025</t>
  </si>
  <si>
    <t>Change Since 2023</t>
  </si>
  <si>
    <t>PJM Capacity Price ($/MW-day)</t>
  </si>
  <si>
    <t>Power Transformer Lead Time (weeks)</t>
  </si>
  <si>
    <t>DC Electricity Consumption (TWh)</t>
  </si>
  <si>
    <t>Avg DC Construction Timeline (months)</t>
  </si>
  <si>
    <t>Hyperscaler Debt Issued ($B)</t>
  </si>
  <si>
    <t>Key Implications for CapEx</t>
  </si>
  <si>
    <t>•</t>
  </si>
  <si>
    <t>Power is the #1 bottleneck — Microsoft has $80B in unfulfilled Azure orders due to electricity shortages, with GPUs sitting idle in warehouses.</t>
  </si>
  <si>
    <t>Data center projects originally planned for 2026 are now tracking 2028-2029 due to power and construction delays.</t>
  </si>
  <si>
    <t>Hyperscalers are pursuing nuclear (Constellation, NuScale SMRs), natural gas on-site generation, and direct utility partnerships to bypass grid constraints.</t>
  </si>
  <si>
    <t>IEA projects global data center electricity consumption will double to 945 TWh by 2030 — equivalent to Japan's total electricity use.</t>
  </si>
  <si>
    <t>Power infrastructure capex ($83B in 2026E) is the fastest-growing category as hyperscalers internalise utility-scale electrical systems.</t>
  </si>
  <si>
    <t>Hyperscale CapEx — Executive Summary</t>
  </si>
  <si>
    <t>Key Metrics at a Glance</t>
  </si>
  <si>
    <t>Value</t>
  </si>
  <si>
    <t>Context</t>
  </si>
  <si>
    <t>Combined CapEx 2026E</t>
  </si>
  <si>
    <t>$700B</t>
  </si>
  <si>
    <t>10x increase from $66B in 2018; largest infrastructure build in tech history</t>
  </si>
  <si>
    <t>AI Share of CapEx</t>
  </si>
  <si>
    <t>~75%</t>
  </si>
  <si>
    <t>Training + inference infrastructure; remainder is traditional cloud and networking</t>
  </si>
  <si>
    <t>Combined RPO / Backlog</t>
  </si>
  <si>
    <t>$1.6T+</t>
  </si>
  <si>
    <t>Contracted future revenue across AWS, Microsoft, Google, Oracle (excl. Meta)</t>
  </si>
  <si>
    <t>RPO / CapEx Coverage</t>
  </si>
  <si>
    <t>2.3x</t>
  </si>
  <si>
    <t>Aggregate backlog covers 2.3 years of annual capex — spending is broadly supported by demand</t>
  </si>
  <si>
    <t>Power Constraint Impact</t>
  </si>
  <si>
    <t>$80B+</t>
  </si>
  <si>
    <t>Microsoft alone has $80B in unfulfilled Azure orders due to electricity shortages</t>
  </si>
  <si>
    <t>Hyperscaler Debt Outstanding</t>
  </si>
  <si>
    <t>$200B+ (2026E)</t>
  </si>
  <si>
    <t>Cumulative bond issuance; $1.5T total projected through the cycle</t>
  </si>
  <si>
    <t>Capital Intensity Range</t>
  </si>
  <si>
    <t>30-70% of revenue</t>
  </si>
  <si>
    <t>Utility-like spending levels vs typical tech at 10-15%</t>
  </si>
  <si>
    <t>Largest Spender</t>
  </si>
  <si>
    <t>Amazon ($200B)</t>
  </si>
  <si>
    <t>Followed by Google ($180B), Microsoft ($145B), Meta ($125B), Oracle ($50B)</t>
  </si>
  <si>
    <t>Largest Backlog</t>
  </si>
  <si>
    <t>Microsoft ($625B)</t>
  </si>
  <si>
    <t>45% attributable to OpenAI; followed by Oracle ($523B), AWS ($244B), Google ($240B)</t>
  </si>
  <si>
    <t>Fastest Backlog Growth</t>
  </si>
  <si>
    <t>Oracle (+359% YoY)</t>
  </si>
  <si>
    <t>Driven by massive multi-year OCI AI deals; RPO jumped from $99B to $523B in 12 months</t>
  </si>
  <si>
    <t>Investment Implications by Category</t>
  </si>
  <si>
    <t>Beneficiary Sector</t>
  </si>
  <si>
    <t>Key Names</t>
  </si>
  <si>
    <t>Thesis</t>
  </si>
  <si>
    <t>GPU / Semiconductors</t>
  </si>
  <si>
    <t>NVIDIA, Broadcom, AMD, Marvell</t>
  </si>
  <si>
    <t>Direct beneficiaries of 35% capex allocation to servers/GPUs. NVIDIA has 90% share. Backlog coverage supports multi-year demand visibility.</t>
  </si>
  <si>
    <t>Memory (HBM)</t>
  </si>
  <si>
    <t>SK Hynix, Samsung, Micron</t>
  </si>
  <si>
    <t>HBM demand growing 4x+ as each GPU requires more memory. 7% of total capex (~$48B).</t>
  </si>
  <si>
    <t>Eaton, Vertiv, Schneider, GE Vernova</t>
  </si>
  <si>
    <t>Fastest-growing capex category. Power is the binding constraint. Transformer and UPS demand is multi-year.</t>
  </si>
  <si>
    <t>Cooling</t>
  </si>
  <si>
    <t>Vertiv, Modine Manufacturing</t>
  </si>
  <si>
    <t>Shift to liquid cooling for high-density GPU racks (50-120 kW/rack vs 10-15 kW traditional). 5% of capex (~$35B).</t>
  </si>
  <si>
    <t>Data Center REITs</t>
  </si>
  <si>
    <t>Equinix, Digital Realty, QTS</t>
  </si>
  <si>
    <t>Beneficiaries of 18% capex allocation to construction. Colocation demand surging as hyperscalers supplement owned capacity.</t>
  </si>
  <si>
    <t>Utilities / Nuclear</t>
  </si>
  <si>
    <t>Constellation Energy, Vistra, NuScale</t>
  </si>
  <si>
    <t>Hyperscalers signing long-term PPAs and exploring nuclear (SMRs) to solve power constraint. Multi-decade revenue visibility.</t>
  </si>
  <si>
    <t>Networking</t>
  </si>
  <si>
    <t>Arista, Ciena, Corning</t>
  </si>
  <si>
    <t>8% of capex (~$55B). AI cluster networking (InfiniBand, Ethernet) and data center interconnect fiber growing rapidly.</t>
  </si>
  <si>
    <t>Key Risks</t>
  </si>
  <si>
    <t>Risk</t>
  </si>
  <si>
    <t>Severity</t>
  </si>
  <si>
    <t>AI Monetisation Gap</t>
  </si>
  <si>
    <t>Can hyperscalers generate sufficient cloud AI revenue to justify $700B/yr in capex? If AI revenue growth disappoints, capex cuts could be abrupt.</t>
  </si>
  <si>
    <t>Power Timeline Risk</t>
  </si>
  <si>
    <t>Delays in grid infrastructure could strand capital in idle facilities. Construction timelines already extended 24-72 months.</t>
  </si>
  <si>
    <t>Debt Sustainability</t>
  </si>
  <si>
    <t>$1.5T in projected debt issuance; free cash flow under severe pressure (Amazon FCF negative $17-28B in 2026E, Meta FCF down 90%).</t>
  </si>
  <si>
    <t>Technology Transition</t>
  </si>
  <si>
    <t>More efficient inference architectures (e.g., distillation, mixture-of-experts) could reduce GPU density requirements over time.</t>
  </si>
  <si>
    <t>Regulatory / ESG</t>
  </si>
  <si>
    <t>Environmental pushback on data center energy consumption. Some EU jurisdictions restricting new DC permits.</t>
  </si>
</sst>
</file>

<file path=xl/styles.xml><?xml version="1.0" encoding="utf-8"?>
<styleSheet xmlns="http://schemas.openxmlformats.org/spreadsheetml/2006/main">
  <numFmts count="7">
    <numFmt numFmtId="164" formatCode="$#,##0.0"/>
    <numFmt numFmtId="165" formatCode="+0.0%;-0.0%"/>
    <numFmt numFmtId="166" formatCode="$#,##0"/>
    <numFmt numFmtId="167" formatCode="0.0x"/>
    <numFmt numFmtId="168" formatCode="0.0%"/>
    <numFmt numFmtId="169" formatCode="0%"/>
    <numFmt numFmtId="170" formatCode="#,##0.0"/>
  </numFmts>
  <fonts count="11">
    <font>
      <sz val="11"/>
      <color theme="1"/>
      <name val="Calibri"/>
      <family val="2"/>
      <scheme val="minor"/>
    </font>
    <font>
      <b/>
      <sz val="16"/>
      <color rgb="FF1B3A5C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B7A3D"/>
      <name val="Calibri"/>
      <family val="2"/>
      <scheme val="minor"/>
    </font>
    <font>
      <sz val="11"/>
      <color rgb="FFC62828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3"/>
      <color rgb="FF1B3A5C"/>
      <name val="Calibri"/>
      <family val="2"/>
      <scheme val="minor"/>
    </font>
    <font>
      <b/>
      <sz val="11"/>
      <color rgb="FFC62828"/>
      <name val="Calibri"/>
      <family val="2"/>
      <scheme val="minor"/>
    </font>
    <font>
      <b/>
      <sz val="11"/>
      <color rgb="FFE65100"/>
      <name val="Calibri"/>
      <family val="2"/>
      <scheme val="minor"/>
    </font>
    <font>
      <b/>
      <sz val="11"/>
      <color rgb="FFF9A82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3A5C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FF3E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B3A5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164" fontId="0" fillId="0" borderId="2" xfId="0" applyNumberFormat="1" applyBorder="1" applyAlignment="1">
      <alignment horizontal="center"/>
    </xf>
    <xf numFmtId="0" fontId="3" fillId="3" borderId="3" xfId="0" applyFont="1" applyFill="1" applyBorder="1"/>
    <xf numFmtId="164" fontId="3" fillId="3" borderId="3" xfId="0" applyNumberFormat="1" applyFont="1" applyFill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0" fontId="6" fillId="0" borderId="0" xfId="0" applyFont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7" fillId="0" borderId="4" xfId="0" applyFont="1" applyBorder="1"/>
    <xf numFmtId="166" fontId="0" fillId="0" borderId="2" xfId="0" applyNumberFormat="1" applyBorder="1" applyAlignment="1">
      <alignment horizontal="center"/>
    </xf>
    <xf numFmtId="167" fontId="3" fillId="4" borderId="2" xfId="0" applyNumberFormat="1" applyFont="1" applyFill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168" fontId="3" fillId="3" borderId="3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70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Combined Hyperscaler CapEx ($B)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Amazon</c:v>
          </c:tx>
          <c:cat>
            <c:strRef>
              <c:f>'Annual CapEx'!$B$3:$J$3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2025E</c:v>
                </c:pt>
                <c:pt idx="8">
                  <c:v>2026E</c:v>
                </c:pt>
              </c:strCache>
            </c:strRef>
          </c:cat>
          <c:val>
            <c:numRef>
              <c:f>'Annual CapEx'!$B$4:$J$4</c:f>
              <c:numCache>
                <c:formatCode>General</c:formatCode>
                <c:ptCount val="9"/>
                <c:pt idx="0">
                  <c:v>13.4</c:v>
                </c:pt>
                <c:pt idx="1">
                  <c:v>16.9</c:v>
                </c:pt>
                <c:pt idx="2">
                  <c:v>40.1</c:v>
                </c:pt>
                <c:pt idx="3">
                  <c:v>61.1</c:v>
                </c:pt>
                <c:pt idx="4">
                  <c:v>63.6</c:v>
                </c:pt>
                <c:pt idx="5">
                  <c:v>48.4</c:v>
                </c:pt>
                <c:pt idx="6">
                  <c:v>83</c:v>
                </c:pt>
                <c:pt idx="7">
                  <c:v>125</c:v>
                </c:pt>
                <c:pt idx="8">
                  <c:v>200</c:v>
                </c:pt>
              </c:numCache>
            </c:numRef>
          </c:val>
        </c:ser>
        <c:ser>
          <c:idx val="1"/>
          <c:order val="1"/>
          <c:tx>
            <c:v>Microsoft</c:v>
          </c:tx>
          <c:cat>
            <c:strRef>
              <c:f>'Annual CapEx'!$B$3:$J$3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2025E</c:v>
                </c:pt>
                <c:pt idx="8">
                  <c:v>2026E</c:v>
                </c:pt>
              </c:strCache>
            </c:strRef>
          </c:cat>
          <c:val>
            <c:numRef>
              <c:f>'Annual CapEx'!$B$5:$J$5</c:f>
              <c:numCache>
                <c:formatCode>General</c:formatCode>
                <c:ptCount val="9"/>
                <c:pt idx="0">
                  <c:v>11.6</c:v>
                </c:pt>
                <c:pt idx="1">
                  <c:v>13.9</c:v>
                </c:pt>
                <c:pt idx="2">
                  <c:v>15.4</c:v>
                </c:pt>
                <c:pt idx="3">
                  <c:v>20.6</c:v>
                </c:pt>
                <c:pt idx="4">
                  <c:v>23.9</c:v>
                </c:pt>
                <c:pt idx="5">
                  <c:v>28</c:v>
                </c:pt>
                <c:pt idx="6">
                  <c:v>44.5</c:v>
                </c:pt>
                <c:pt idx="7">
                  <c:v>80</c:v>
                </c:pt>
                <c:pt idx="8">
                  <c:v>145</c:v>
                </c:pt>
              </c:numCache>
            </c:numRef>
          </c:val>
        </c:ser>
        <c:ser>
          <c:idx val="2"/>
          <c:order val="2"/>
          <c:tx>
            <c:v>Alphabet/Google</c:v>
          </c:tx>
          <c:cat>
            <c:strRef>
              <c:f>'Annual CapEx'!$B$3:$J$3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2025E</c:v>
                </c:pt>
                <c:pt idx="8">
                  <c:v>2026E</c:v>
                </c:pt>
              </c:strCache>
            </c:strRef>
          </c:cat>
          <c:val>
            <c:numRef>
              <c:f>'Annual CapEx'!$B$6:$J$6</c:f>
              <c:numCache>
                <c:formatCode>General</c:formatCode>
                <c:ptCount val="9"/>
                <c:pt idx="0">
                  <c:v>25.1</c:v>
                </c:pt>
                <c:pt idx="1">
                  <c:v>23.5</c:v>
                </c:pt>
                <c:pt idx="2">
                  <c:v>22.3</c:v>
                </c:pt>
                <c:pt idx="3">
                  <c:v>24.6</c:v>
                </c:pt>
                <c:pt idx="4">
                  <c:v>31.5</c:v>
                </c:pt>
                <c:pt idx="5">
                  <c:v>32.3</c:v>
                </c:pt>
                <c:pt idx="6">
                  <c:v>52.5</c:v>
                </c:pt>
                <c:pt idx="7">
                  <c:v>91.40000000000001</c:v>
                </c:pt>
                <c:pt idx="8">
                  <c:v>180</c:v>
                </c:pt>
              </c:numCache>
            </c:numRef>
          </c:val>
        </c:ser>
        <c:ser>
          <c:idx val="3"/>
          <c:order val="3"/>
          <c:tx>
            <c:v>Meta</c:v>
          </c:tx>
          <c:cat>
            <c:strRef>
              <c:f>'Annual CapEx'!$B$3:$J$3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2025E</c:v>
                </c:pt>
                <c:pt idx="8">
                  <c:v>2026E</c:v>
                </c:pt>
              </c:strCache>
            </c:strRef>
          </c:cat>
          <c:val>
            <c:numRef>
              <c:f>'Annual CapEx'!$B$7:$J$7</c:f>
              <c:numCache>
                <c:formatCode>General</c:formatCode>
                <c:ptCount val="9"/>
                <c:pt idx="0">
                  <c:v>13.7</c:v>
                </c:pt>
                <c:pt idx="1">
                  <c:v>15.1</c:v>
                </c:pt>
                <c:pt idx="2">
                  <c:v>15.1</c:v>
                </c:pt>
                <c:pt idx="3">
                  <c:v>19.2</c:v>
                </c:pt>
                <c:pt idx="4">
                  <c:v>31.4</c:v>
                </c:pt>
                <c:pt idx="5">
                  <c:v>28.1</c:v>
                </c:pt>
                <c:pt idx="6">
                  <c:v>39.2</c:v>
                </c:pt>
                <c:pt idx="7">
                  <c:v>72.2</c:v>
                </c:pt>
                <c:pt idx="8">
                  <c:v>125</c:v>
                </c:pt>
              </c:numCache>
            </c:numRef>
          </c:val>
        </c:ser>
        <c:ser>
          <c:idx val="4"/>
          <c:order val="4"/>
          <c:tx>
            <c:v>Oracle</c:v>
          </c:tx>
          <c:cat>
            <c:strRef>
              <c:f>'Annual CapEx'!$B$3:$J$3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2025E</c:v>
                </c:pt>
                <c:pt idx="8">
                  <c:v>2026E</c:v>
                </c:pt>
              </c:strCache>
            </c:strRef>
          </c:cat>
          <c:val>
            <c:numRef>
              <c:f>'Annual CapEx'!$B$8:$J$8</c:f>
              <c:numCache>
                <c:formatCode>General</c:formatCode>
                <c:ptCount val="9"/>
                <c:pt idx="0">
                  <c:v>2.1</c:v>
                </c:pt>
                <c:pt idx="1">
                  <c:v>1.6</c:v>
                </c:pt>
                <c:pt idx="2">
                  <c:v>1.7</c:v>
                </c:pt>
                <c:pt idx="3">
                  <c:v>3.5</c:v>
                </c:pt>
                <c:pt idx="4">
                  <c:v>5.9</c:v>
                </c:pt>
                <c:pt idx="5">
                  <c:v>6.9</c:v>
                </c:pt>
                <c:pt idx="6">
                  <c:v>10</c:v>
                </c:pt>
                <c:pt idx="7">
                  <c:v>20</c:v>
                </c:pt>
                <c:pt idx="8">
                  <c:v>50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CapEx ($B)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Hyperscaler RPO / Backlog Trend ($B)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Amazon (AWS)</c:v>
          </c:tx>
          <c:cat>
            <c:strRef>
              <c:f>'Backlog (RPO)'!$B$13:$G$13</c:f>
              <c:strCache>
                <c:ptCount val="6"/>
                <c:pt idx="0">
                  <c:v>Jun 2023</c:v>
                </c:pt>
                <c:pt idx="1">
                  <c:v>Dec 2023</c:v>
                </c:pt>
                <c:pt idx="2">
                  <c:v>Jun 2024</c:v>
                </c:pt>
                <c:pt idx="3">
                  <c:v>Dec 2024</c:v>
                </c:pt>
                <c:pt idx="4">
                  <c:v>Jun 2025</c:v>
                </c:pt>
                <c:pt idx="5">
                  <c:v>Dec 2025</c:v>
                </c:pt>
              </c:strCache>
            </c:strRef>
          </c:cat>
          <c:val>
            <c:numRef>
              <c:f>'Backlog (RPO)'!$B$14:$G$14</c:f>
              <c:numCache>
                <c:formatCode>General</c:formatCode>
                <c:ptCount val="6"/>
                <c:pt idx="0">
                  <c:v>130</c:v>
                </c:pt>
                <c:pt idx="1">
                  <c:v>155</c:v>
                </c:pt>
                <c:pt idx="2">
                  <c:v>157</c:v>
                </c:pt>
                <c:pt idx="3">
                  <c:v>175</c:v>
                </c:pt>
                <c:pt idx="4">
                  <c:v>200</c:v>
                </c:pt>
                <c:pt idx="5">
                  <c:v>244</c:v>
                </c:pt>
              </c:numCache>
            </c:numRef>
          </c:val>
        </c:ser>
        <c:ser>
          <c:idx val="1"/>
          <c:order val="1"/>
          <c:tx>
            <c:v>Microsoft</c:v>
          </c:tx>
          <c:cat>
            <c:strRef>
              <c:f>'Backlog (RPO)'!$B$13:$G$13</c:f>
              <c:strCache>
                <c:ptCount val="6"/>
                <c:pt idx="0">
                  <c:v>Jun 2023</c:v>
                </c:pt>
                <c:pt idx="1">
                  <c:v>Dec 2023</c:v>
                </c:pt>
                <c:pt idx="2">
                  <c:v>Jun 2024</c:v>
                </c:pt>
                <c:pt idx="3">
                  <c:v>Dec 2024</c:v>
                </c:pt>
                <c:pt idx="4">
                  <c:v>Jun 2025</c:v>
                </c:pt>
                <c:pt idx="5">
                  <c:v>Dec 2025</c:v>
                </c:pt>
              </c:strCache>
            </c:strRef>
          </c:cat>
          <c:val>
            <c:numRef>
              <c:f>'Backlog (RPO)'!$B$15:$G$15</c:f>
              <c:numCache>
                <c:formatCode>General</c:formatCode>
                <c:ptCount val="6"/>
                <c:pt idx="0">
                  <c:v>229</c:v>
                </c:pt>
                <c:pt idx="1">
                  <c:v>253</c:v>
                </c:pt>
                <c:pt idx="2">
                  <c:v>275</c:v>
                </c:pt>
                <c:pt idx="3">
                  <c:v>298</c:v>
                </c:pt>
                <c:pt idx="4">
                  <c:v>375</c:v>
                </c:pt>
                <c:pt idx="5">
                  <c:v>625</c:v>
                </c:pt>
              </c:numCache>
            </c:numRef>
          </c:val>
        </c:ser>
        <c:ser>
          <c:idx val="2"/>
          <c:order val="2"/>
          <c:tx>
            <c:v>Alphabet/Google</c:v>
          </c:tx>
          <c:cat>
            <c:strRef>
              <c:f>'Backlog (RPO)'!$B$13:$G$13</c:f>
              <c:strCache>
                <c:ptCount val="6"/>
                <c:pt idx="0">
                  <c:v>Jun 2023</c:v>
                </c:pt>
                <c:pt idx="1">
                  <c:v>Dec 2023</c:v>
                </c:pt>
                <c:pt idx="2">
                  <c:v>Jun 2024</c:v>
                </c:pt>
                <c:pt idx="3">
                  <c:v>Dec 2024</c:v>
                </c:pt>
                <c:pt idx="4">
                  <c:v>Jun 2025</c:v>
                </c:pt>
                <c:pt idx="5">
                  <c:v>Dec 2025</c:v>
                </c:pt>
              </c:strCache>
            </c:strRef>
          </c:cat>
          <c:val>
            <c:numRef>
              <c:f>'Backlog (RPO)'!$B$16:$G$16</c:f>
              <c:numCache>
                <c:formatCode>General</c:formatCode>
                <c:ptCount val="6"/>
                <c:pt idx="0">
                  <c:v>64</c:v>
                </c:pt>
                <c:pt idx="1">
                  <c:v>74</c:v>
                </c:pt>
                <c:pt idx="2">
                  <c:v>84</c:v>
                </c:pt>
                <c:pt idx="3">
                  <c:v>106</c:v>
                </c:pt>
                <c:pt idx="4">
                  <c:v>155</c:v>
                </c:pt>
                <c:pt idx="5">
                  <c:v>240</c:v>
                </c:pt>
              </c:numCache>
            </c:numRef>
          </c:val>
        </c:ser>
        <c:ser>
          <c:idx val="3"/>
          <c:order val="3"/>
          <c:tx>
            <c:v>Oracle</c:v>
          </c:tx>
          <c:cat>
            <c:strRef>
              <c:f>'Backlog (RPO)'!$B$13:$G$13</c:f>
              <c:strCache>
                <c:ptCount val="6"/>
                <c:pt idx="0">
                  <c:v>Jun 2023</c:v>
                </c:pt>
                <c:pt idx="1">
                  <c:v>Dec 2023</c:v>
                </c:pt>
                <c:pt idx="2">
                  <c:v>Jun 2024</c:v>
                </c:pt>
                <c:pt idx="3">
                  <c:v>Dec 2024</c:v>
                </c:pt>
                <c:pt idx="4">
                  <c:v>Jun 2025</c:v>
                </c:pt>
                <c:pt idx="5">
                  <c:v>Dec 2025</c:v>
                </c:pt>
              </c:strCache>
            </c:strRef>
          </c:cat>
          <c:val>
            <c:numRef>
              <c:f>'Backlog (RPO)'!$B$17:$G$17</c:f>
              <c:numCache>
                <c:formatCode>General</c:formatCode>
                <c:ptCount val="6"/>
                <c:pt idx="0">
                  <c:v>65</c:v>
                </c:pt>
                <c:pt idx="1">
                  <c:v>80</c:v>
                </c:pt>
                <c:pt idx="2">
                  <c:v>99</c:v>
                </c:pt>
                <c:pt idx="3">
                  <c:v>130</c:v>
                </c:pt>
                <c:pt idx="4">
                  <c:v>455</c:v>
                </c:pt>
                <c:pt idx="5">
                  <c:v>523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RPO ($B)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2026E CapEx by Category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Lbls>
            <c:showCatName val="1"/>
            <c:showPercent val="1"/>
            <c:separator>
</c:separator>
          </c:dLbls>
          <c:cat>
            <c:strRef>
              <c:f>'Category Allocation'!$A$4:$A$11</c:f>
              <c:strCache>
                <c:ptCount val="8"/>
                <c:pt idx="0">
                  <c:v>Servers &amp; GPUs</c:v>
                </c:pt>
                <c:pt idx="1">
                  <c:v>Data Center Construction</c:v>
                </c:pt>
                <c:pt idx="2">
                  <c:v>Power Infrastructure</c:v>
                </c:pt>
                <c:pt idx="3">
                  <c:v>Networking Equipment</c:v>
                </c:pt>
                <c:pt idx="4">
                  <c:v>Memory &amp; Storage</c:v>
                </c:pt>
                <c:pt idx="5">
                  <c:v>Cooling Systems</c:v>
                </c:pt>
                <c:pt idx="6">
                  <c:v>Land Acquisition</c:v>
                </c:pt>
                <c:pt idx="7">
                  <c:v>Other / Miscellaneous</c:v>
                </c:pt>
              </c:strCache>
            </c:strRef>
          </c:cat>
          <c:val>
            <c:numRef>
              <c:f>'Category Allocation'!$C$4:$C$11</c:f>
              <c:numCache>
                <c:formatCode>General</c:formatCode>
                <c:ptCount val="8"/>
                <c:pt idx="0">
                  <c:v>242</c:v>
                </c:pt>
                <c:pt idx="1">
                  <c:v>124</c:v>
                </c:pt>
                <c:pt idx="2">
                  <c:v>83</c:v>
                </c:pt>
                <c:pt idx="3">
                  <c:v>55</c:v>
                </c:pt>
                <c:pt idx="4">
                  <c:v>48</c:v>
                </c:pt>
                <c:pt idx="5">
                  <c:v>35</c:v>
                </c:pt>
                <c:pt idx="6">
                  <c:v>21</c:v>
                </c:pt>
                <c:pt idx="7">
                  <c:v>83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Geographic CapEx Distribution ($B)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</c:v>
          </c:tx>
          <c:cat>
            <c:strRef>
              <c:f>'Geographic Allocation'!$A$4:$A$8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Asia-Pacific</c:v>
                </c:pt>
                <c:pt idx="3">
                  <c:v>Middle East &amp; Africa</c:v>
                </c:pt>
                <c:pt idx="4">
                  <c:v>Latin America</c:v>
                </c:pt>
              </c:strCache>
            </c:strRef>
          </c:cat>
          <c:val>
            <c:numRef>
              <c:f>'Geographic Allocation'!$C$4:$C$8</c:f>
              <c:numCache>
                <c:formatCode>General</c:formatCode>
                <c:ptCount val="5"/>
                <c:pt idx="0">
                  <c:v>114.6</c:v>
                </c:pt>
                <c:pt idx="1">
                  <c:v>50.424</c:v>
                </c:pt>
                <c:pt idx="2">
                  <c:v>45.84</c:v>
                </c:pt>
                <c:pt idx="3">
                  <c:v>9.167999999999999</c:v>
                </c:pt>
                <c:pt idx="4">
                  <c:v>9.167999999999999</c:v>
                </c:pt>
              </c:numCache>
            </c:numRef>
          </c:val>
        </c:ser>
        <c:ser>
          <c:idx val="1"/>
          <c:order val="1"/>
          <c:tx>
            <c:v>2026E</c:v>
          </c:tx>
          <c:cat>
            <c:strRef>
              <c:f>'Geographic Allocation'!$A$4:$A$8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Asia-Pacific</c:v>
                </c:pt>
                <c:pt idx="3">
                  <c:v>Middle East &amp; Africa</c:v>
                </c:pt>
                <c:pt idx="4">
                  <c:v>Latin America</c:v>
                </c:pt>
              </c:strCache>
            </c:strRef>
          </c:cat>
          <c:val>
            <c:numRef>
              <c:f>'Geographic Allocation'!$E$4:$E$8</c:f>
              <c:numCache>
                <c:formatCode>General</c:formatCode>
                <c:ptCount val="5"/>
                <c:pt idx="0">
                  <c:v>336</c:v>
                </c:pt>
                <c:pt idx="1">
                  <c:v>140</c:v>
                </c:pt>
                <c:pt idx="2">
                  <c:v>154</c:v>
                </c:pt>
                <c:pt idx="3">
                  <c:v>35</c:v>
                </c:pt>
                <c:pt idx="4">
                  <c:v>35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CapEx ($B)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7</xdr:col>
      <xdr:colOff>28575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5</xdr:col>
      <xdr:colOff>695325</xdr:colOff>
      <xdr:row>39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457200</xdr:colOff>
      <xdr:row>40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695325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B3A5C"/>
  </sheetPr>
  <dimension ref="A1:J12"/>
  <sheetViews>
    <sheetView showGridLines="0" tabSelected="1" workbookViewId="0"/>
  </sheetViews>
  <sheetFormatPr defaultRowHeight="15"/>
  <cols>
    <col min="1" max="1" width="22.7109375" customWidth="1"/>
    <col min="2" max="10" width="14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>
      <c r="A4" s="4" t="s">
        <v>11</v>
      </c>
      <c r="B4" s="5">
        <v>13.4</v>
      </c>
      <c r="C4" s="5">
        <v>16.9</v>
      </c>
      <c r="D4" s="5">
        <v>40.1</v>
      </c>
      <c r="E4" s="5">
        <v>61.1</v>
      </c>
      <c r="F4" s="5">
        <v>63.6</v>
      </c>
      <c r="G4" s="5">
        <v>48.4</v>
      </c>
      <c r="H4" s="5">
        <v>83</v>
      </c>
      <c r="I4" s="5">
        <v>125</v>
      </c>
      <c r="J4" s="5">
        <v>200</v>
      </c>
    </row>
    <row r="5" spans="1:10">
      <c r="A5" s="4" t="s">
        <v>12</v>
      </c>
      <c r="B5" s="5">
        <v>11.6</v>
      </c>
      <c r="C5" s="5">
        <v>13.9</v>
      </c>
      <c r="D5" s="5">
        <v>15.4</v>
      </c>
      <c r="E5" s="5">
        <v>20.6</v>
      </c>
      <c r="F5" s="5">
        <v>23.9</v>
      </c>
      <c r="G5" s="5">
        <v>28</v>
      </c>
      <c r="H5" s="5">
        <v>44.5</v>
      </c>
      <c r="I5" s="5">
        <v>80</v>
      </c>
      <c r="J5" s="5">
        <v>145</v>
      </c>
    </row>
    <row r="6" spans="1:10">
      <c r="A6" s="4" t="s">
        <v>13</v>
      </c>
      <c r="B6" s="5">
        <v>25.1</v>
      </c>
      <c r="C6" s="5">
        <v>23.5</v>
      </c>
      <c r="D6" s="5">
        <v>22.3</v>
      </c>
      <c r="E6" s="5">
        <v>24.6</v>
      </c>
      <c r="F6" s="5">
        <v>31.5</v>
      </c>
      <c r="G6" s="5">
        <v>32.3</v>
      </c>
      <c r="H6" s="5">
        <v>52.5</v>
      </c>
      <c r="I6" s="5">
        <v>91.40000000000001</v>
      </c>
      <c r="J6" s="5">
        <v>180</v>
      </c>
    </row>
    <row r="7" spans="1:10">
      <c r="A7" s="4" t="s">
        <v>14</v>
      </c>
      <c r="B7" s="5">
        <v>13.7</v>
      </c>
      <c r="C7" s="5">
        <v>15.1</v>
      </c>
      <c r="D7" s="5">
        <v>15.1</v>
      </c>
      <c r="E7" s="5">
        <v>19.2</v>
      </c>
      <c r="F7" s="5">
        <v>31.4</v>
      </c>
      <c r="G7" s="5">
        <v>28.1</v>
      </c>
      <c r="H7" s="5">
        <v>39.2</v>
      </c>
      <c r="I7" s="5">
        <v>72.2</v>
      </c>
      <c r="J7" s="5">
        <v>125</v>
      </c>
    </row>
    <row r="8" spans="1:10">
      <c r="A8" s="4" t="s">
        <v>15</v>
      </c>
      <c r="B8" s="5">
        <v>2.1</v>
      </c>
      <c r="C8" s="5">
        <v>1.6</v>
      </c>
      <c r="D8" s="5">
        <v>1.7</v>
      </c>
      <c r="E8" s="5">
        <v>3.5</v>
      </c>
      <c r="F8" s="5">
        <v>5.9</v>
      </c>
      <c r="G8" s="5">
        <v>6.9</v>
      </c>
      <c r="H8" s="5">
        <v>10</v>
      </c>
      <c r="I8" s="5">
        <v>20</v>
      </c>
      <c r="J8" s="5">
        <v>50</v>
      </c>
    </row>
    <row r="9" spans="1:10">
      <c r="A9" s="6" t="s">
        <v>16</v>
      </c>
      <c r="B9" s="7">
        <v>65.90000000000001</v>
      </c>
      <c r="C9" s="7">
        <v>71</v>
      </c>
      <c r="D9" s="7">
        <v>94.60000000000001</v>
      </c>
      <c r="E9" s="7">
        <v>129</v>
      </c>
      <c r="F9" s="7">
        <v>156.3</v>
      </c>
      <c r="G9" s="7">
        <v>143.7</v>
      </c>
      <c r="H9" s="7">
        <v>229.2</v>
      </c>
      <c r="I9" s="7">
        <v>388.6</v>
      </c>
      <c r="J9" s="7">
        <v>700</v>
      </c>
    </row>
    <row r="10" spans="1:10">
      <c r="A10" s="6" t="s">
        <v>17</v>
      </c>
      <c r="B10" s="6"/>
      <c r="C10" s="8">
        <v>0.07738998482549309</v>
      </c>
      <c r="D10" s="8">
        <v>0.3323943661971833</v>
      </c>
      <c r="E10" s="8">
        <v>0.3636363636363635</v>
      </c>
      <c r="F10" s="8">
        <v>0.2116279069767444</v>
      </c>
      <c r="G10" s="9">
        <v>-0.08061420345489456</v>
      </c>
      <c r="H10" s="8">
        <v>0.594989561586639</v>
      </c>
      <c r="I10" s="8">
        <v>0.6954624781849914</v>
      </c>
      <c r="J10" s="8">
        <v>0.8013381369016983</v>
      </c>
    </row>
    <row r="12" spans="1:10">
      <c r="A12" s="10" t="s">
        <v>18</v>
      </c>
      <c r="B12" s="10"/>
      <c r="C12" s="10"/>
      <c r="D12" s="10"/>
      <c r="E12" s="10"/>
      <c r="F12" s="10"/>
      <c r="G12" s="10"/>
      <c r="H12" s="10"/>
      <c r="I12" s="10"/>
      <c r="J12" s="10"/>
    </row>
  </sheetData>
  <mergeCells count="2">
    <mergeCell ref="A1:J1"/>
    <mergeCell ref="A12:J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6F00"/>
  </sheetPr>
  <dimension ref="A1:H18"/>
  <sheetViews>
    <sheetView showGridLines="0" workbookViewId="0"/>
  </sheetViews>
  <sheetFormatPr defaultRowHeight="15"/>
  <cols>
    <col min="1" max="1" width="22.7109375" customWidth="1"/>
    <col min="2" max="8" width="16.7109375" customWidth="1"/>
  </cols>
  <sheetData>
    <row r="1" spans="1:8">
      <c r="A1" s="1" t="s">
        <v>19</v>
      </c>
      <c r="B1" s="1"/>
      <c r="C1" s="1"/>
      <c r="D1" s="1"/>
      <c r="E1" s="1"/>
      <c r="F1" s="1"/>
      <c r="G1" s="1"/>
      <c r="H1" s="1"/>
    </row>
    <row r="3" spans="1:8">
      <c r="A3" s="2" t="s">
        <v>1</v>
      </c>
      <c r="B3" s="3" t="s">
        <v>20</v>
      </c>
      <c r="C3" s="3" t="s">
        <v>21</v>
      </c>
      <c r="D3" s="3" t="s">
        <v>17</v>
      </c>
      <c r="E3" s="3" t="s">
        <v>22</v>
      </c>
      <c r="F3" s="3" t="s">
        <v>23</v>
      </c>
    </row>
    <row r="4" spans="1:8">
      <c r="A4" s="4" t="s">
        <v>24</v>
      </c>
      <c r="B4" s="5">
        <v>244</v>
      </c>
      <c r="C4" s="11" t="s">
        <v>25</v>
      </c>
      <c r="D4" s="8">
        <v>0.4</v>
      </c>
      <c r="E4" s="8">
        <v>0.22</v>
      </c>
      <c r="F4" s="12" t="s">
        <v>26</v>
      </c>
    </row>
    <row r="5" spans="1:8">
      <c r="A5" s="4" t="s">
        <v>12</v>
      </c>
      <c r="B5" s="5">
        <v>625</v>
      </c>
      <c r="C5" s="11" t="s">
        <v>27</v>
      </c>
      <c r="D5" s="8">
        <v>1.1</v>
      </c>
      <c r="E5" s="8">
        <v>0.59</v>
      </c>
      <c r="F5" s="12" t="s">
        <v>28</v>
      </c>
    </row>
    <row r="6" spans="1:8">
      <c r="A6" s="4" t="s">
        <v>13</v>
      </c>
      <c r="B6" s="5">
        <v>240</v>
      </c>
      <c r="C6" s="11" t="s">
        <v>25</v>
      </c>
      <c r="D6" s="8">
        <v>0.55</v>
      </c>
      <c r="E6" s="8">
        <v>0.15</v>
      </c>
      <c r="F6" s="12" t="s">
        <v>29</v>
      </c>
    </row>
    <row r="7" spans="1:8">
      <c r="A7" s="4" t="s">
        <v>15</v>
      </c>
      <c r="B7" s="5">
        <v>523</v>
      </c>
      <c r="C7" s="11" t="s">
        <v>30</v>
      </c>
      <c r="D7" s="8">
        <v>3.59</v>
      </c>
      <c r="E7" s="8">
        <v>0.15</v>
      </c>
      <c r="F7" s="12" t="s">
        <v>31</v>
      </c>
    </row>
    <row r="8" spans="1:8">
      <c r="A8" s="4" t="s">
        <v>14</v>
      </c>
      <c r="B8" s="11" t="s">
        <v>32</v>
      </c>
      <c r="C8" s="11" t="s">
        <v>33</v>
      </c>
      <c r="D8" s="11" t="s">
        <v>32</v>
      </c>
      <c r="E8" s="11" t="s">
        <v>32</v>
      </c>
      <c r="F8" s="12" t="s">
        <v>34</v>
      </c>
    </row>
    <row r="10" spans="1:8">
      <c r="A10" s="10" t="s">
        <v>35</v>
      </c>
      <c r="B10" s="10"/>
      <c r="C10" s="10"/>
      <c r="D10" s="10"/>
      <c r="E10" s="10"/>
      <c r="F10" s="10"/>
    </row>
    <row r="12" spans="1:8">
      <c r="A12" s="13" t="s">
        <v>36</v>
      </c>
      <c r="B12" s="13"/>
      <c r="C12" s="13"/>
      <c r="D12" s="13"/>
      <c r="E12" s="13"/>
      <c r="F12" s="13"/>
    </row>
    <row r="13" spans="1:8">
      <c r="A13" s="2" t="s">
        <v>1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  <c r="G13" s="3" t="s">
        <v>42</v>
      </c>
    </row>
    <row r="14" spans="1:8">
      <c r="A14" s="4" t="s">
        <v>24</v>
      </c>
      <c r="B14" s="14">
        <v>130</v>
      </c>
      <c r="C14" s="14">
        <v>155</v>
      </c>
      <c r="D14" s="14">
        <v>157</v>
      </c>
      <c r="E14" s="14">
        <v>175</v>
      </c>
      <c r="F14" s="14">
        <v>200</v>
      </c>
      <c r="G14" s="14">
        <v>244</v>
      </c>
    </row>
    <row r="15" spans="1:8">
      <c r="A15" s="4" t="s">
        <v>12</v>
      </c>
      <c r="B15" s="14">
        <v>229</v>
      </c>
      <c r="C15" s="14">
        <v>253</v>
      </c>
      <c r="D15" s="14">
        <v>275</v>
      </c>
      <c r="E15" s="14">
        <v>298</v>
      </c>
      <c r="F15" s="14">
        <v>375</v>
      </c>
      <c r="G15" s="14">
        <v>625</v>
      </c>
    </row>
    <row r="16" spans="1:8">
      <c r="A16" s="4" t="s">
        <v>13</v>
      </c>
      <c r="B16" s="14">
        <v>64</v>
      </c>
      <c r="C16" s="14">
        <v>74</v>
      </c>
      <c r="D16" s="14">
        <v>84</v>
      </c>
      <c r="E16" s="14">
        <v>106</v>
      </c>
      <c r="F16" s="14">
        <v>155</v>
      </c>
      <c r="G16" s="14">
        <v>240</v>
      </c>
    </row>
    <row r="17" spans="1:7">
      <c r="A17" s="4" t="s">
        <v>15</v>
      </c>
      <c r="B17" s="14">
        <v>65</v>
      </c>
      <c r="C17" s="14">
        <v>80</v>
      </c>
      <c r="D17" s="14">
        <v>99</v>
      </c>
      <c r="E17" s="14">
        <v>130</v>
      </c>
      <c r="F17" s="14">
        <v>455</v>
      </c>
      <c r="G17" s="14">
        <v>523</v>
      </c>
    </row>
    <row r="18" spans="1:7">
      <c r="A18" s="6" t="s">
        <v>16</v>
      </c>
      <c r="B18" s="7">
        <v>488</v>
      </c>
      <c r="C18" s="7">
        <v>562</v>
      </c>
      <c r="D18" s="7">
        <v>615</v>
      </c>
      <c r="E18" s="7">
        <v>709</v>
      </c>
      <c r="F18" s="7">
        <v>1185</v>
      </c>
      <c r="G18" s="7">
        <v>1632</v>
      </c>
    </row>
  </sheetData>
  <mergeCells count="3">
    <mergeCell ref="A1:H1"/>
    <mergeCell ref="A10:F10"/>
    <mergeCell ref="A12:F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CAF50"/>
  </sheetPr>
  <dimension ref="A1:K21"/>
  <sheetViews>
    <sheetView showGridLines="0" workbookViewId="0"/>
  </sheetViews>
  <sheetFormatPr defaultRowHeight="15"/>
  <cols>
    <col min="1" max="1" width="22.7109375" customWidth="1"/>
    <col min="2" max="11" width="16.7109375" customWidth="1"/>
  </cols>
  <sheetData>
    <row r="1" spans="1:11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10" t="s">
        <v>44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5" spans="1:11">
      <c r="A5" s="2" t="s">
        <v>1</v>
      </c>
      <c r="B5" s="3" t="s">
        <v>45</v>
      </c>
      <c r="C5" s="3" t="s">
        <v>46</v>
      </c>
      <c r="D5" s="3" t="s">
        <v>20</v>
      </c>
      <c r="E5" s="3" t="s">
        <v>47</v>
      </c>
      <c r="F5" s="3" t="s">
        <v>48</v>
      </c>
      <c r="G5" s="3" t="s">
        <v>49</v>
      </c>
      <c r="H5" s="3" t="s">
        <v>50</v>
      </c>
      <c r="I5" s="3" t="s">
        <v>51</v>
      </c>
      <c r="J5" s="3" t="s">
        <v>52</v>
      </c>
      <c r="K5" s="3" t="s">
        <v>53</v>
      </c>
    </row>
    <row r="6" spans="1:11">
      <c r="A6" s="4" t="s">
        <v>24</v>
      </c>
      <c r="B6" s="5">
        <v>125</v>
      </c>
      <c r="C6" s="5">
        <v>200</v>
      </c>
      <c r="D6" s="5">
        <v>244</v>
      </c>
      <c r="E6" s="5">
        <v>142</v>
      </c>
      <c r="F6" s="15">
        <v>1.22</v>
      </c>
      <c r="G6" s="15">
        <v>1.71830985915493</v>
      </c>
      <c r="H6" s="16">
        <v>0.2484472049689441</v>
      </c>
      <c r="I6" s="8">
        <v>0.4</v>
      </c>
      <c r="J6" s="8">
        <v>0.6000000000000001</v>
      </c>
      <c r="K6" s="12" t="s">
        <v>54</v>
      </c>
    </row>
    <row r="7" spans="1:11">
      <c r="A7" s="4" t="s">
        <v>12</v>
      </c>
      <c r="B7" s="5">
        <v>80</v>
      </c>
      <c r="C7" s="5">
        <v>145</v>
      </c>
      <c r="D7" s="5">
        <v>625</v>
      </c>
      <c r="E7" s="5">
        <v>131</v>
      </c>
      <c r="F7" s="15">
        <v>4.310344827586207</v>
      </c>
      <c r="G7" s="15">
        <v>4.770992366412214</v>
      </c>
      <c r="H7" s="16">
        <v>0.4503105590062112</v>
      </c>
      <c r="I7" s="8">
        <v>1.1</v>
      </c>
      <c r="J7" s="8">
        <v>0.8125</v>
      </c>
      <c r="K7" s="12" t="s">
        <v>55</v>
      </c>
    </row>
    <row r="8" spans="1:11">
      <c r="A8" s="4" t="s">
        <v>13</v>
      </c>
      <c r="B8" s="5">
        <v>91.40000000000001</v>
      </c>
      <c r="C8" s="5">
        <v>180</v>
      </c>
      <c r="D8" s="5">
        <v>240</v>
      </c>
      <c r="E8" s="5">
        <v>71</v>
      </c>
      <c r="F8" s="15">
        <v>1.333333333333333</v>
      </c>
      <c r="G8" s="15">
        <v>3.380281690140845</v>
      </c>
      <c r="H8" s="16">
        <v>0.391304347826087</v>
      </c>
      <c r="I8" s="8">
        <v>0.55</v>
      </c>
      <c r="J8" s="8">
        <v>0.9693654266958422</v>
      </c>
      <c r="K8" s="12" t="s">
        <v>56</v>
      </c>
    </row>
    <row r="9" spans="1:11">
      <c r="A9" s="4" t="s">
        <v>14</v>
      </c>
      <c r="B9" s="5">
        <v>72.2</v>
      </c>
      <c r="C9" s="5">
        <v>125</v>
      </c>
      <c r="D9" s="11" t="s">
        <v>32</v>
      </c>
      <c r="E9" s="11" t="s">
        <v>32</v>
      </c>
      <c r="F9" s="11" t="s">
        <v>32</v>
      </c>
      <c r="G9" s="11" t="s">
        <v>32</v>
      </c>
      <c r="H9" s="16">
        <v>0.5720823798627003</v>
      </c>
      <c r="I9" s="11" t="s">
        <v>32</v>
      </c>
      <c r="J9" s="8">
        <v>0.7313019390581716</v>
      </c>
      <c r="K9" s="12" t="s">
        <v>57</v>
      </c>
    </row>
    <row r="10" spans="1:11">
      <c r="A10" s="4" t="s">
        <v>15</v>
      </c>
      <c r="B10" s="5">
        <v>20</v>
      </c>
      <c r="C10" s="5">
        <v>50</v>
      </c>
      <c r="D10" s="5">
        <v>523</v>
      </c>
      <c r="E10" s="5">
        <v>18</v>
      </c>
      <c r="F10" s="15">
        <v>10.46</v>
      </c>
      <c r="G10" s="15">
        <v>29.05555555555556</v>
      </c>
      <c r="H10" s="16">
        <v>0.7246376811594203</v>
      </c>
      <c r="I10" s="8">
        <v>3.59</v>
      </c>
      <c r="J10" s="8">
        <v>1.5</v>
      </c>
      <c r="K10" s="12" t="s">
        <v>58</v>
      </c>
    </row>
    <row r="11" spans="1:11">
      <c r="A11" s="6" t="s">
        <v>59</v>
      </c>
      <c r="B11" s="7">
        <v>388.6</v>
      </c>
      <c r="C11" s="7">
        <v>700</v>
      </c>
      <c r="D11" s="7">
        <v>1632</v>
      </c>
      <c r="E11" s="7">
        <v>362</v>
      </c>
      <c r="F11" s="15">
        <v>2.331428571428571</v>
      </c>
    </row>
    <row r="13" spans="1:11">
      <c r="A13" s="13" t="s">
        <v>60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>
      <c r="A14" s="4" t="s">
        <v>61</v>
      </c>
      <c r="B14" s="12" t="s">
        <v>62</v>
      </c>
      <c r="C14" s="12"/>
      <c r="D14" s="12"/>
      <c r="E14" s="12"/>
      <c r="F14" s="12"/>
      <c r="G14" s="12"/>
      <c r="H14" s="12"/>
      <c r="I14" s="12"/>
      <c r="J14" s="12"/>
      <c r="K14" s="12"/>
    </row>
    <row r="15" spans="1:11">
      <c r="A15" s="4" t="s">
        <v>63</v>
      </c>
      <c r="B15" s="12" t="s">
        <v>64</v>
      </c>
      <c r="C15" s="12"/>
      <c r="D15" s="12"/>
      <c r="E15" s="12"/>
      <c r="F15" s="12"/>
      <c r="G15" s="12"/>
      <c r="H15" s="12"/>
      <c r="I15" s="12"/>
      <c r="J15" s="12"/>
      <c r="K15" s="12"/>
    </row>
    <row r="16" spans="1:11">
      <c r="A16" s="4" t="s">
        <v>65</v>
      </c>
      <c r="B16" s="12" t="s">
        <v>66</v>
      </c>
      <c r="C16" s="12"/>
      <c r="D16" s="12"/>
      <c r="E16" s="12"/>
      <c r="F16" s="12"/>
      <c r="G16" s="12"/>
      <c r="H16" s="12"/>
      <c r="I16" s="12"/>
      <c r="J16" s="12"/>
      <c r="K16" s="12"/>
    </row>
    <row r="17" spans="1:11">
      <c r="A17" s="4" t="s">
        <v>67</v>
      </c>
      <c r="B17" s="12" t="s">
        <v>68</v>
      </c>
      <c r="C17" s="12"/>
      <c r="D17" s="12"/>
      <c r="E17" s="12"/>
      <c r="F17" s="12"/>
      <c r="G17" s="12"/>
      <c r="H17" s="12"/>
      <c r="I17" s="12"/>
      <c r="J17" s="12"/>
      <c r="K17" s="12"/>
    </row>
    <row r="18" spans="1:11">
      <c r="A18" s="4" t="s">
        <v>69</v>
      </c>
      <c r="B18" s="12" t="s">
        <v>70</v>
      </c>
      <c r="C18" s="12"/>
      <c r="D18" s="12"/>
      <c r="E18" s="12"/>
      <c r="F18" s="12"/>
      <c r="G18" s="12"/>
      <c r="H18" s="12"/>
      <c r="I18" s="12"/>
      <c r="J18" s="12"/>
      <c r="K18" s="12"/>
    </row>
    <row r="19" spans="1:11">
      <c r="A19" s="4" t="s">
        <v>71</v>
      </c>
      <c r="B19" s="12" t="s">
        <v>72</v>
      </c>
      <c r="C19" s="12"/>
      <c r="D19" s="12"/>
      <c r="E19" s="12"/>
      <c r="F19" s="12"/>
      <c r="G19" s="12"/>
      <c r="H19" s="12"/>
      <c r="I19" s="12"/>
      <c r="J19" s="12"/>
      <c r="K19" s="12"/>
    </row>
    <row r="21" spans="1:11">
      <c r="A21" s="10" t="s">
        <v>73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</sheetData>
  <mergeCells count="10">
    <mergeCell ref="A1:K1"/>
    <mergeCell ref="A3:K3"/>
    <mergeCell ref="A13:K13"/>
    <mergeCell ref="B14:K14"/>
    <mergeCell ref="B15:K15"/>
    <mergeCell ref="B16:K16"/>
    <mergeCell ref="B17:K17"/>
    <mergeCell ref="B18:K18"/>
    <mergeCell ref="B19:K19"/>
    <mergeCell ref="A21:K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C27B0"/>
  </sheetPr>
  <dimension ref="A1:E18"/>
  <sheetViews>
    <sheetView showGridLines="0" workbookViewId="0"/>
  </sheetViews>
  <sheetFormatPr defaultRowHeight="15"/>
  <cols>
    <col min="1" max="1" width="28.7109375" customWidth="1"/>
    <col min="2" max="4" width="16.7109375" customWidth="1"/>
    <col min="5" max="5" width="60.7109375" customWidth="1"/>
  </cols>
  <sheetData>
    <row r="1" spans="1:5">
      <c r="A1" s="1" t="s">
        <v>74</v>
      </c>
      <c r="B1" s="1"/>
      <c r="C1" s="1"/>
      <c r="D1" s="1"/>
      <c r="E1" s="1"/>
    </row>
    <row r="3" spans="1:5">
      <c r="A3" s="2" t="s">
        <v>75</v>
      </c>
      <c r="B3" s="3" t="s">
        <v>76</v>
      </c>
      <c r="C3" s="3" t="s">
        <v>77</v>
      </c>
      <c r="D3" s="3" t="s">
        <v>78</v>
      </c>
      <c r="E3" s="2" t="s">
        <v>79</v>
      </c>
    </row>
    <row r="4" spans="1:5">
      <c r="A4" s="4" t="s">
        <v>80</v>
      </c>
      <c r="B4" s="17">
        <v>0.35</v>
      </c>
      <c r="C4" s="14">
        <v>242</v>
      </c>
      <c r="D4" s="17">
        <v>0.35</v>
      </c>
      <c r="E4" s="12" t="s">
        <v>81</v>
      </c>
    </row>
    <row r="5" spans="1:5">
      <c r="A5" s="4" t="s">
        <v>82</v>
      </c>
      <c r="B5" s="17">
        <v>0.18</v>
      </c>
      <c r="C5" s="14">
        <v>124</v>
      </c>
      <c r="D5" s="17">
        <v>0.53</v>
      </c>
      <c r="E5" s="12" t="s">
        <v>83</v>
      </c>
    </row>
    <row r="6" spans="1:5">
      <c r="A6" s="4" t="s">
        <v>84</v>
      </c>
      <c r="B6" s="17">
        <v>0.12</v>
      </c>
      <c r="C6" s="14">
        <v>83</v>
      </c>
      <c r="D6" s="17">
        <v>0.65</v>
      </c>
      <c r="E6" s="12" t="s">
        <v>85</v>
      </c>
    </row>
    <row r="7" spans="1:5">
      <c r="A7" s="4" t="s">
        <v>86</v>
      </c>
      <c r="B7" s="17">
        <v>0.08</v>
      </c>
      <c r="C7" s="14">
        <v>55</v>
      </c>
      <c r="D7" s="17">
        <v>0.73</v>
      </c>
      <c r="E7" s="12" t="s">
        <v>87</v>
      </c>
    </row>
    <row r="8" spans="1:5">
      <c r="A8" s="4" t="s">
        <v>88</v>
      </c>
      <c r="B8" s="17">
        <v>0.07000000000000001</v>
      </c>
      <c r="C8" s="14">
        <v>48</v>
      </c>
      <c r="D8" s="17">
        <v>0.8</v>
      </c>
      <c r="E8" s="12" t="s">
        <v>89</v>
      </c>
    </row>
    <row r="9" spans="1:5">
      <c r="A9" s="4" t="s">
        <v>90</v>
      </c>
      <c r="B9" s="17">
        <v>0.05</v>
      </c>
      <c r="C9" s="14">
        <v>35</v>
      </c>
      <c r="D9" s="17">
        <v>0.8500000000000001</v>
      </c>
      <c r="E9" s="12" t="s">
        <v>91</v>
      </c>
    </row>
    <row r="10" spans="1:5">
      <c r="A10" s="4" t="s">
        <v>92</v>
      </c>
      <c r="B10" s="17">
        <v>0.03</v>
      </c>
      <c r="C10" s="14">
        <v>21</v>
      </c>
      <c r="D10" s="17">
        <v>0.8800000000000001</v>
      </c>
      <c r="E10" s="12" t="s">
        <v>93</v>
      </c>
    </row>
    <row r="11" spans="1:5">
      <c r="A11" s="4" t="s">
        <v>94</v>
      </c>
      <c r="B11" s="17">
        <v>0.12</v>
      </c>
      <c r="C11" s="14">
        <v>83</v>
      </c>
      <c r="D11" s="17">
        <v>1</v>
      </c>
      <c r="E11" s="12" t="s">
        <v>95</v>
      </c>
    </row>
    <row r="12" spans="1:5">
      <c r="A12" s="6" t="s">
        <v>96</v>
      </c>
      <c r="B12" s="18">
        <v>1</v>
      </c>
      <c r="C12" s="7">
        <v>691</v>
      </c>
      <c r="D12" s="18">
        <v>1</v>
      </c>
      <c r="E12" s="6"/>
    </row>
    <row r="14" spans="1:5">
      <c r="A14" s="13" t="s">
        <v>97</v>
      </c>
      <c r="B14" s="13"/>
      <c r="C14" s="13"/>
      <c r="D14" s="13"/>
      <c r="E14" s="13"/>
    </row>
    <row r="15" spans="1:5">
      <c r="A15" s="2" t="s">
        <v>98</v>
      </c>
      <c r="B15" s="3" t="s">
        <v>76</v>
      </c>
      <c r="C15" s="3" t="s">
        <v>77</v>
      </c>
    </row>
    <row r="16" spans="1:5">
      <c r="A16" s="4" t="s">
        <v>99</v>
      </c>
      <c r="B16" s="17">
        <v>0.5</v>
      </c>
      <c r="C16" s="14">
        <v>345</v>
      </c>
    </row>
    <row r="17" spans="1:3">
      <c r="A17" s="4" t="s">
        <v>100</v>
      </c>
      <c r="B17" s="17">
        <v>0.38</v>
      </c>
      <c r="C17" s="14">
        <v>263</v>
      </c>
    </row>
    <row r="18" spans="1:3">
      <c r="A18" s="4" t="s">
        <v>94</v>
      </c>
      <c r="B18" s="17">
        <v>0.12</v>
      </c>
      <c r="C18" s="14">
        <v>83</v>
      </c>
    </row>
  </sheetData>
  <mergeCells count="2">
    <mergeCell ref="A1:E1"/>
    <mergeCell ref="A14:E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196F3"/>
  </sheetPr>
  <dimension ref="A1:G9"/>
  <sheetViews>
    <sheetView showGridLines="0" workbookViewId="0"/>
  </sheetViews>
  <sheetFormatPr defaultRowHeight="15"/>
  <cols>
    <col min="1" max="1" width="22.7109375" customWidth="1"/>
    <col min="2" max="6" width="16.7109375" customWidth="1"/>
    <col min="7" max="7" width="55.7109375" customWidth="1"/>
  </cols>
  <sheetData>
    <row r="1" spans="1:7">
      <c r="A1" s="1" t="s">
        <v>101</v>
      </c>
      <c r="B1" s="1"/>
      <c r="C1" s="1"/>
      <c r="D1" s="1"/>
      <c r="E1" s="1"/>
      <c r="F1" s="1"/>
      <c r="G1" s="1"/>
    </row>
    <row r="3" spans="1:7">
      <c r="A3" s="2" t="s">
        <v>102</v>
      </c>
      <c r="B3" s="3" t="s">
        <v>103</v>
      </c>
      <c r="C3" s="3" t="s">
        <v>104</v>
      </c>
      <c r="D3" s="3" t="s">
        <v>105</v>
      </c>
      <c r="E3" s="3" t="s">
        <v>106</v>
      </c>
      <c r="F3" s="3" t="s">
        <v>107</v>
      </c>
      <c r="G3" s="2" t="s">
        <v>108</v>
      </c>
    </row>
    <row r="4" spans="1:7">
      <c r="A4" s="4" t="s">
        <v>109</v>
      </c>
      <c r="B4" s="17">
        <v>0.5</v>
      </c>
      <c r="C4" s="5">
        <v>114.6</v>
      </c>
      <c r="D4" s="17">
        <v>0.48</v>
      </c>
      <c r="E4" s="5">
        <v>336</v>
      </c>
      <c r="F4" s="9">
        <v>-0.02000000000000002</v>
      </c>
      <c r="G4" s="12" t="s">
        <v>110</v>
      </c>
    </row>
    <row r="5" spans="1:7">
      <c r="A5" s="4" t="s">
        <v>111</v>
      </c>
      <c r="B5" s="17">
        <v>0.22</v>
      </c>
      <c r="C5" s="5">
        <v>50.424</v>
      </c>
      <c r="D5" s="17">
        <v>0.2</v>
      </c>
      <c r="E5" s="5">
        <v>140</v>
      </c>
      <c r="F5" s="9">
        <v>-0.01999999999999999</v>
      </c>
      <c r="G5" s="12" t="s">
        <v>112</v>
      </c>
    </row>
    <row r="6" spans="1:7">
      <c r="A6" s="4" t="s">
        <v>113</v>
      </c>
      <c r="B6" s="17">
        <v>0.2</v>
      </c>
      <c r="C6" s="5">
        <v>45.84</v>
      </c>
      <c r="D6" s="17">
        <v>0.22</v>
      </c>
      <c r="E6" s="5">
        <v>154</v>
      </c>
      <c r="F6" s="8">
        <v>0.01999999999999999</v>
      </c>
      <c r="G6" s="12" t="s">
        <v>114</v>
      </c>
    </row>
    <row r="7" spans="1:7">
      <c r="A7" s="4" t="s">
        <v>115</v>
      </c>
      <c r="B7" s="17">
        <v>0.04</v>
      </c>
      <c r="C7" s="5">
        <v>9.167999999999999</v>
      </c>
      <c r="D7" s="17">
        <v>0.05</v>
      </c>
      <c r="E7" s="5">
        <v>35</v>
      </c>
      <c r="F7" s="8">
        <v>0.01</v>
      </c>
      <c r="G7" s="12" t="s">
        <v>116</v>
      </c>
    </row>
    <row r="8" spans="1:7">
      <c r="A8" s="4" t="s">
        <v>117</v>
      </c>
      <c r="B8" s="17">
        <v>0.04</v>
      </c>
      <c r="C8" s="5">
        <v>9.167999999999999</v>
      </c>
      <c r="D8" s="17">
        <v>0.05</v>
      </c>
      <c r="E8" s="5">
        <v>35</v>
      </c>
      <c r="F8" s="8">
        <v>0.01</v>
      </c>
      <c r="G8" s="12" t="s">
        <v>118</v>
      </c>
    </row>
    <row r="9" spans="1:7">
      <c r="A9" s="6" t="s">
        <v>96</v>
      </c>
      <c r="B9" s="18">
        <v>1</v>
      </c>
      <c r="C9" s="7">
        <v>229.2</v>
      </c>
      <c r="D9" s="18">
        <v>1</v>
      </c>
      <c r="E9" s="7">
        <v>700</v>
      </c>
      <c r="F9" s="6"/>
      <c r="G9" s="6"/>
    </row>
  </sheetData>
  <mergeCells count="1">
    <mergeCell ref="A1:G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44336"/>
  </sheetPr>
  <dimension ref="A1:D13"/>
  <sheetViews>
    <sheetView showGridLines="0" workbookViewId="0"/>
  </sheetViews>
  <sheetFormatPr defaultRowHeight="15"/>
  <cols>
    <col min="1" max="1" width="30.7109375" customWidth="1"/>
    <col min="2" max="2" width="14.7109375" customWidth="1"/>
    <col min="3" max="3" width="16.7109375" customWidth="1"/>
    <col min="4" max="4" width="85.7109375" customWidth="1"/>
  </cols>
  <sheetData>
    <row r="1" spans="1:4">
      <c r="A1" s="1" t="s">
        <v>119</v>
      </c>
      <c r="B1" s="1"/>
      <c r="C1" s="1"/>
      <c r="D1" s="1"/>
    </row>
    <row r="3" spans="1:4">
      <c r="A3" s="2" t="s">
        <v>120</v>
      </c>
      <c r="B3" s="3" t="s">
        <v>121</v>
      </c>
      <c r="C3" s="3" t="s">
        <v>75</v>
      </c>
      <c r="D3" s="2" t="s">
        <v>79</v>
      </c>
    </row>
    <row r="4" spans="1:4">
      <c r="A4" s="4" t="s">
        <v>122</v>
      </c>
      <c r="B4" s="19" t="s">
        <v>123</v>
      </c>
      <c r="C4" s="11" t="s">
        <v>124</v>
      </c>
      <c r="D4" s="12" t="s">
        <v>125</v>
      </c>
    </row>
    <row r="5" spans="1:4">
      <c r="A5" s="4" t="s">
        <v>126</v>
      </c>
      <c r="B5" s="19" t="s">
        <v>123</v>
      </c>
      <c r="C5" s="11" t="s">
        <v>124</v>
      </c>
      <c r="D5" s="12" t="s">
        <v>127</v>
      </c>
    </row>
    <row r="6" spans="1:4">
      <c r="A6" s="4" t="s">
        <v>128</v>
      </c>
      <c r="B6" s="19" t="s">
        <v>123</v>
      </c>
      <c r="C6" s="11" t="s">
        <v>129</v>
      </c>
      <c r="D6" s="12" t="s">
        <v>130</v>
      </c>
    </row>
    <row r="7" spans="1:4">
      <c r="A7" s="4" t="s">
        <v>131</v>
      </c>
      <c r="B7" s="19" t="s">
        <v>123</v>
      </c>
      <c r="C7" s="11" t="s">
        <v>132</v>
      </c>
      <c r="D7" s="12" t="s">
        <v>133</v>
      </c>
    </row>
    <row r="8" spans="1:4">
      <c r="A8" s="4" t="s">
        <v>134</v>
      </c>
      <c r="B8" s="20" t="s">
        <v>135</v>
      </c>
      <c r="C8" s="11" t="s">
        <v>124</v>
      </c>
      <c r="D8" s="12" t="s">
        <v>136</v>
      </c>
    </row>
    <row r="9" spans="1:4">
      <c r="A9" s="4" t="s">
        <v>137</v>
      </c>
      <c r="B9" s="20" t="s">
        <v>135</v>
      </c>
      <c r="C9" s="11" t="s">
        <v>124</v>
      </c>
      <c r="D9" s="12" t="s">
        <v>138</v>
      </c>
    </row>
    <row r="10" spans="1:4">
      <c r="A10" s="4" t="s">
        <v>139</v>
      </c>
      <c r="B10" s="20" t="s">
        <v>135</v>
      </c>
      <c r="C10" s="11" t="s">
        <v>140</v>
      </c>
      <c r="D10" s="12" t="s">
        <v>141</v>
      </c>
    </row>
    <row r="11" spans="1:4">
      <c r="A11" s="4" t="s">
        <v>142</v>
      </c>
      <c r="B11" s="20" t="s">
        <v>135</v>
      </c>
      <c r="C11" s="11" t="s">
        <v>143</v>
      </c>
      <c r="D11" s="12" t="s">
        <v>144</v>
      </c>
    </row>
    <row r="12" spans="1:4">
      <c r="A12" s="4" t="s">
        <v>145</v>
      </c>
      <c r="B12" s="21" t="s">
        <v>146</v>
      </c>
      <c r="C12" s="11" t="s">
        <v>147</v>
      </c>
      <c r="D12" s="12" t="s">
        <v>148</v>
      </c>
    </row>
    <row r="13" spans="1:4">
      <c r="A13" s="4" t="s">
        <v>149</v>
      </c>
      <c r="B13" s="21" t="s">
        <v>146</v>
      </c>
      <c r="C13" s="11" t="s">
        <v>150</v>
      </c>
      <c r="D13" s="12" t="s">
        <v>151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95548"/>
  </sheetPr>
  <dimension ref="A1:E15"/>
  <sheetViews>
    <sheetView showGridLines="0" workbookViewId="0"/>
  </sheetViews>
  <sheetFormatPr defaultRowHeight="15"/>
  <cols>
    <col min="1" max="1" width="38.7109375" customWidth="1"/>
    <col min="2" max="4" width="16.7109375" customWidth="1"/>
    <col min="5" max="5" width="18.7109375" customWidth="1"/>
  </cols>
  <sheetData>
    <row r="1" spans="1:5">
      <c r="A1" s="1" t="s">
        <v>152</v>
      </c>
      <c r="B1" s="1"/>
      <c r="C1" s="1"/>
      <c r="D1" s="1"/>
      <c r="E1" s="1"/>
    </row>
    <row r="3" spans="1:5">
      <c r="A3" s="2" t="s">
        <v>153</v>
      </c>
      <c r="B3" s="3" t="s">
        <v>7</v>
      </c>
      <c r="C3" s="3" t="s">
        <v>154</v>
      </c>
      <c r="D3" s="3" t="s">
        <v>10</v>
      </c>
      <c r="E3" s="3" t="s">
        <v>155</v>
      </c>
    </row>
    <row r="4" spans="1:5">
      <c r="A4" s="4" t="s">
        <v>156</v>
      </c>
      <c r="B4" s="22">
        <v>34</v>
      </c>
      <c r="C4" s="22">
        <v>180</v>
      </c>
      <c r="D4" s="22">
        <v>329</v>
      </c>
      <c r="E4" s="8">
        <v>8.676470588235293</v>
      </c>
    </row>
    <row r="5" spans="1:5">
      <c r="A5" s="4" t="s">
        <v>157</v>
      </c>
      <c r="B5" s="22">
        <v>52</v>
      </c>
      <c r="C5" s="22">
        <v>100</v>
      </c>
      <c r="D5" s="22">
        <v>128</v>
      </c>
      <c r="E5" s="8">
        <v>1.461538461538462</v>
      </c>
    </row>
    <row r="6" spans="1:5">
      <c r="A6" s="4" t="s">
        <v>158</v>
      </c>
      <c r="B6" s="22">
        <v>460</v>
      </c>
      <c r="C6" s="22">
        <v>650</v>
      </c>
      <c r="D6" s="22">
        <v>780</v>
      </c>
      <c r="E6" s="8">
        <v>0.6956521739130435</v>
      </c>
    </row>
    <row r="7" spans="1:5">
      <c r="A7" s="4" t="s">
        <v>159</v>
      </c>
      <c r="B7" s="22">
        <v>18</v>
      </c>
      <c r="C7" s="22">
        <v>30</v>
      </c>
      <c r="D7" s="22">
        <v>42</v>
      </c>
      <c r="E7" s="8">
        <v>1.333333333333333</v>
      </c>
    </row>
    <row r="8" spans="1:5">
      <c r="A8" s="4" t="s">
        <v>160</v>
      </c>
      <c r="B8" s="22">
        <v>25</v>
      </c>
      <c r="C8" s="22">
        <v>108</v>
      </c>
      <c r="D8" s="22">
        <v>200</v>
      </c>
      <c r="E8" s="8">
        <v>7</v>
      </c>
    </row>
    <row r="10" spans="1:5">
      <c r="A10" s="13" t="s">
        <v>161</v>
      </c>
      <c r="B10" s="13"/>
      <c r="C10" s="13"/>
      <c r="D10" s="13"/>
      <c r="E10" s="13"/>
    </row>
    <row r="11" spans="1:5">
      <c r="A11" s="4" t="s">
        <v>162</v>
      </c>
      <c r="B11" s="12" t="s">
        <v>163</v>
      </c>
      <c r="C11" s="12"/>
      <c r="D11" s="12"/>
      <c r="E11" s="12"/>
    </row>
    <row r="12" spans="1:5">
      <c r="A12" s="4" t="s">
        <v>162</v>
      </c>
      <c r="B12" s="12" t="s">
        <v>164</v>
      </c>
      <c r="C12" s="12"/>
      <c r="D12" s="12"/>
      <c r="E12" s="12"/>
    </row>
    <row r="13" spans="1:5">
      <c r="A13" s="4" t="s">
        <v>162</v>
      </c>
      <c r="B13" s="12" t="s">
        <v>165</v>
      </c>
      <c r="C13" s="12"/>
      <c r="D13" s="12"/>
      <c r="E13" s="12"/>
    </row>
    <row r="14" spans="1:5">
      <c r="A14" s="4" t="s">
        <v>162</v>
      </c>
      <c r="B14" s="12" t="s">
        <v>166</v>
      </c>
      <c r="C14" s="12"/>
      <c r="D14" s="12"/>
      <c r="E14" s="12"/>
    </row>
    <row r="15" spans="1:5">
      <c r="A15" s="4" t="s">
        <v>162</v>
      </c>
      <c r="B15" s="12" t="s">
        <v>167</v>
      </c>
      <c r="C15" s="12"/>
      <c r="D15" s="12"/>
      <c r="E15" s="12"/>
    </row>
  </sheetData>
  <mergeCells count="7">
    <mergeCell ref="A1:E1"/>
    <mergeCell ref="A10:E10"/>
    <mergeCell ref="B11:E11"/>
    <mergeCell ref="B12:E12"/>
    <mergeCell ref="B13:E13"/>
    <mergeCell ref="B14:E14"/>
    <mergeCell ref="B15:E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897B"/>
  </sheetPr>
  <dimension ref="A1:C32"/>
  <sheetViews>
    <sheetView showGridLines="0" workbookViewId="0"/>
  </sheetViews>
  <sheetFormatPr defaultRowHeight="15"/>
  <cols>
    <col min="1" max="1" width="30.7109375" customWidth="1"/>
    <col min="2" max="2" width="22.7109375" customWidth="1"/>
    <col min="3" max="3" width="70.7109375" customWidth="1"/>
  </cols>
  <sheetData>
    <row r="1" spans="1:3">
      <c r="A1" s="1" t="s">
        <v>168</v>
      </c>
      <c r="B1" s="1"/>
      <c r="C1" s="1"/>
    </row>
    <row r="3" spans="1:3">
      <c r="A3" s="13" t="s">
        <v>169</v>
      </c>
      <c r="B3" s="13"/>
      <c r="C3" s="13"/>
    </row>
    <row r="4" spans="1:3">
      <c r="A4" s="2" t="s">
        <v>153</v>
      </c>
      <c r="B4" s="3" t="s">
        <v>170</v>
      </c>
      <c r="C4" s="2" t="s">
        <v>171</v>
      </c>
    </row>
    <row r="5" spans="1:3">
      <c r="A5" s="4" t="s">
        <v>172</v>
      </c>
      <c r="B5" s="11" t="s">
        <v>173</v>
      </c>
      <c r="C5" s="12" t="s">
        <v>174</v>
      </c>
    </row>
    <row r="6" spans="1:3">
      <c r="A6" s="4" t="s">
        <v>175</v>
      </c>
      <c r="B6" s="11" t="s">
        <v>176</v>
      </c>
      <c r="C6" s="12" t="s">
        <v>177</v>
      </c>
    </row>
    <row r="7" spans="1:3">
      <c r="A7" s="4" t="s">
        <v>178</v>
      </c>
      <c r="B7" s="11" t="s">
        <v>179</v>
      </c>
      <c r="C7" s="12" t="s">
        <v>180</v>
      </c>
    </row>
    <row r="8" spans="1:3">
      <c r="A8" s="4" t="s">
        <v>181</v>
      </c>
      <c r="B8" s="11" t="s">
        <v>182</v>
      </c>
      <c r="C8" s="12" t="s">
        <v>183</v>
      </c>
    </row>
    <row r="9" spans="1:3">
      <c r="A9" s="4" t="s">
        <v>184</v>
      </c>
      <c r="B9" s="11" t="s">
        <v>185</v>
      </c>
      <c r="C9" s="12" t="s">
        <v>186</v>
      </c>
    </row>
    <row r="10" spans="1:3">
      <c r="A10" s="4" t="s">
        <v>187</v>
      </c>
      <c r="B10" s="11" t="s">
        <v>188</v>
      </c>
      <c r="C10" s="12" t="s">
        <v>189</v>
      </c>
    </row>
    <row r="11" spans="1:3">
      <c r="A11" s="4" t="s">
        <v>190</v>
      </c>
      <c r="B11" s="11" t="s">
        <v>191</v>
      </c>
      <c r="C11" s="12" t="s">
        <v>192</v>
      </c>
    </row>
    <row r="12" spans="1:3">
      <c r="A12" s="4" t="s">
        <v>193</v>
      </c>
      <c r="B12" s="11" t="s">
        <v>194</v>
      </c>
      <c r="C12" s="12" t="s">
        <v>195</v>
      </c>
    </row>
    <row r="13" spans="1:3">
      <c r="A13" s="4" t="s">
        <v>196</v>
      </c>
      <c r="B13" s="11" t="s">
        <v>197</v>
      </c>
      <c r="C13" s="12" t="s">
        <v>198</v>
      </c>
    </row>
    <row r="14" spans="1:3">
      <c r="A14" s="4" t="s">
        <v>199</v>
      </c>
      <c r="B14" s="11" t="s">
        <v>200</v>
      </c>
      <c r="C14" s="12" t="s">
        <v>201</v>
      </c>
    </row>
    <row r="16" spans="1:3">
      <c r="A16" s="13" t="s">
        <v>202</v>
      </c>
      <c r="B16" s="13"/>
      <c r="C16" s="13"/>
    </row>
    <row r="17" spans="1:3">
      <c r="A17" s="2" t="s">
        <v>203</v>
      </c>
      <c r="B17" s="3" t="s">
        <v>204</v>
      </c>
      <c r="C17" s="2" t="s">
        <v>205</v>
      </c>
    </row>
    <row r="18" spans="1:3">
      <c r="A18" s="4" t="s">
        <v>206</v>
      </c>
      <c r="B18" s="11" t="s">
        <v>207</v>
      </c>
      <c r="C18" s="12" t="s">
        <v>208</v>
      </c>
    </row>
    <row r="19" spans="1:3">
      <c r="A19" s="4" t="s">
        <v>209</v>
      </c>
      <c r="B19" s="11" t="s">
        <v>210</v>
      </c>
      <c r="C19" s="12" t="s">
        <v>211</v>
      </c>
    </row>
    <row r="20" spans="1:3">
      <c r="A20" s="4" t="s">
        <v>84</v>
      </c>
      <c r="B20" s="11" t="s">
        <v>212</v>
      </c>
      <c r="C20" s="12" t="s">
        <v>213</v>
      </c>
    </row>
    <row r="21" spans="1:3">
      <c r="A21" s="4" t="s">
        <v>214</v>
      </c>
      <c r="B21" s="11" t="s">
        <v>215</v>
      </c>
      <c r="C21" s="12" t="s">
        <v>216</v>
      </c>
    </row>
    <row r="22" spans="1:3">
      <c r="A22" s="4" t="s">
        <v>217</v>
      </c>
      <c r="B22" s="11" t="s">
        <v>218</v>
      </c>
      <c r="C22" s="12" t="s">
        <v>219</v>
      </c>
    </row>
    <row r="23" spans="1:3">
      <c r="A23" s="4" t="s">
        <v>220</v>
      </c>
      <c r="B23" s="11" t="s">
        <v>221</v>
      </c>
      <c r="C23" s="12" t="s">
        <v>222</v>
      </c>
    </row>
    <row r="24" spans="1:3">
      <c r="A24" s="4" t="s">
        <v>223</v>
      </c>
      <c r="B24" s="11" t="s">
        <v>224</v>
      </c>
      <c r="C24" s="12" t="s">
        <v>225</v>
      </c>
    </row>
    <row r="26" spans="1:3">
      <c r="A26" s="13" t="s">
        <v>226</v>
      </c>
      <c r="B26" s="13"/>
      <c r="C26" s="13"/>
    </row>
    <row r="27" spans="1:3">
      <c r="A27" s="2" t="s">
        <v>227</v>
      </c>
      <c r="B27" s="3" t="s">
        <v>228</v>
      </c>
      <c r="C27" s="2" t="s">
        <v>79</v>
      </c>
    </row>
    <row r="28" spans="1:3">
      <c r="A28" s="4" t="s">
        <v>229</v>
      </c>
      <c r="B28" s="20" t="s">
        <v>135</v>
      </c>
      <c r="C28" s="12" t="s">
        <v>230</v>
      </c>
    </row>
    <row r="29" spans="1:3">
      <c r="A29" s="4" t="s">
        <v>231</v>
      </c>
      <c r="B29" s="20" t="s">
        <v>135</v>
      </c>
      <c r="C29" s="12" t="s">
        <v>232</v>
      </c>
    </row>
    <row r="30" spans="1:3">
      <c r="A30" s="4" t="s">
        <v>233</v>
      </c>
      <c r="B30" s="21" t="s">
        <v>146</v>
      </c>
      <c r="C30" s="12" t="s">
        <v>234</v>
      </c>
    </row>
    <row r="31" spans="1:3">
      <c r="A31" s="4" t="s">
        <v>235</v>
      </c>
      <c r="B31" s="21" t="s">
        <v>146</v>
      </c>
      <c r="C31" s="12" t="s">
        <v>236</v>
      </c>
    </row>
    <row r="32" spans="1:3">
      <c r="A32" s="4" t="s">
        <v>237</v>
      </c>
      <c r="B32" s="21" t="s">
        <v>146</v>
      </c>
      <c r="C32" s="12" t="s">
        <v>238</v>
      </c>
    </row>
  </sheetData>
  <mergeCells count="4">
    <mergeCell ref="A1:C1"/>
    <mergeCell ref="A3:C3"/>
    <mergeCell ref="A16:C16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Annual CapEx</vt:lpstr>
      <vt:lpstr>Backlog (RPO)</vt:lpstr>
      <vt:lpstr>CapEx vs Backlog</vt:lpstr>
      <vt:lpstr>Category Allocation</vt:lpstr>
      <vt:lpstr>Geographic Allocation</vt:lpstr>
      <vt:lpstr>CapEx Drivers</vt:lpstr>
      <vt:lpstr>Power &amp; Constraints</vt:lpstr>
      <vt:lpstr>Summary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2026-04-01T19:27:26Z</dcterms:created>
  <dcterms:modified xsi:type="dcterms:W3CDTF">2026-04-01T19:27:26Z</dcterms:modified>
</cp:coreProperties>
</file>