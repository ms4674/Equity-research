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rgest Buildouts" sheetId="2" state="visible" r:id="rId2"/>
    <sheet name="Programs &amp; Pipelines" sheetId="3" state="visible" r:id="rId3"/>
    <sheet name="Hyperscaler Capex" sheetId="4" state="visible" r:id="rId4"/>
    <sheet name="Sources" sheetId="5" state="visible" r:id="rId5"/>
  </sheets>
  <definedNames>
    <definedName name="_xlnm._FilterDatabase" localSheetId="1" hidden="1">'Largest Buildouts'!$A$1:$M$24</definedName>
    <definedName name="_xlnm._FilterDatabase" localSheetId="2" hidden="1">'Programs &amp; Pipelines'!$A$1:$H$20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1F3864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Largest single-campus buildouts by estimated cost (US$B)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'Overview'!C27</f>
            </strRef>
          </tx>
          <spPr>
            <a:ln>
              <a:prstDash val="solid"/>
            </a:ln>
          </spPr>
          <cat>
            <numRef>
              <f>'Overview'!$B$28:$B$42</f>
            </numRef>
          </cat>
          <val>
            <numRef>
              <f>'Overview'!$C$28:$C$42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25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</cols>
  <sheetData>
    <row r="2">
      <c r="B2" s="1" t="inlineStr">
        <is>
          <t>Largest Data Center Buildouts — Costs &amp; Pipelines</t>
        </is>
      </c>
    </row>
    <row r="3">
      <c r="B3" s="2" t="inlineStr">
        <is>
          <t>Compiled from public reporting as of 27 July 2026. All dollar figures in US$ billions unless noted.</t>
        </is>
      </c>
    </row>
    <row r="5">
      <c r="B5" s="3" t="inlineStr">
        <is>
          <t>WHAT'S IN THIS WORKBOOK</t>
        </is>
      </c>
    </row>
    <row r="6">
      <c r="B6" t="inlineStr">
        <is>
          <t xml:space="preserve">  • 'Largest Buildouts' — the biggest single data center campuses worldwide, with status, capacity, cost and power strategy.</t>
        </is>
      </c>
    </row>
    <row r="7">
      <c r="B7" t="inlineStr">
        <is>
          <t xml:space="preserve">  • 'Programs &amp; Pipelines' — multi-site buildout programs, contracted compute deals and financing pipelines behind the campuses.</t>
        </is>
      </c>
    </row>
    <row r="8">
      <c r="B8" t="inlineStr">
        <is>
          <t xml:space="preserve">  • 'Hyperscaler Capex' — 2025 actual vs 2026 guided capital expenditure for Amazon, Microsoft, Alphabet and Meta.</t>
        </is>
      </c>
    </row>
    <row r="9">
      <c r="B9" t="inlineStr">
        <is>
          <t xml:space="preserve">  • 'Sources' — publications used, with URLs and what each supports.</t>
        </is>
      </c>
    </row>
    <row r="10">
      <c r="B10" t="inlineStr"/>
    </row>
    <row r="11">
      <c r="B11" s="3" t="inlineStr">
        <is>
          <t>KEY TAKEAWAYS (as of Jul 2026)</t>
        </is>
      </c>
    </row>
    <row r="12">
      <c r="B12" t="inlineStr">
        <is>
          <t xml:space="preserve">  • Big-4 hyperscaler capex guided to ~$710–725B for 2026, up ~77% from ~$410B in 2025; analysts project $1T+ in 2027.</t>
        </is>
      </c>
    </row>
    <row r="13">
      <c r="B13" t="inlineStr">
        <is>
          <t xml:space="preserve">  • Stargate (OpenAI/Oracle/SoftBank) spans ~11 GW of headline planned US capacity plus Stargate UAE; ~$400B committed vs the $500B envelope.</t>
        </is>
      </c>
    </row>
    <row r="14">
      <c r="B14" t="inlineStr">
        <is>
          <t xml:space="preserve">  • OpenAI's total infrastructure spending plan reached ~$750B through 2030 (WSJ, 22 Jul 2026), incl. its first self-built campus (Project Camellia, GA).</t>
        </is>
      </c>
    </row>
    <row r="15">
      <c r="B15" t="inlineStr">
        <is>
          <t xml:space="preserve">  • Largest single campuses by planned power: Fermi 'Project Matador' claim 11 GW (unproven), Nexus Hubbard potential 7.7 GW,</t>
        </is>
      </c>
    </row>
    <row r="16">
      <c r="B16" t="inlineStr">
        <is>
          <t xml:space="preserve">    Meta Hyperion 5 GW, Stargate UAE 5 GW, Stargate Doña Ana ('Project Jupiter') 4.5 GW.</t>
        </is>
      </c>
    </row>
    <row r="17">
      <c r="B17" t="inlineStr">
        <is>
          <t xml:space="preserve">  • Largest disclosed single-campus costs: Meta Hyperion &gt;$50B, Stargate Abilene ~$47B (incl. GPUs), xAI Colossus 2 ~$35.8B (est., incl. chips).</t>
        </is>
      </c>
    </row>
    <row r="18">
      <c r="B18" t="inlineStr"/>
    </row>
    <row r="19">
      <c r="B19" s="3" t="inlineStr">
        <is>
          <t>CAVEATS — READ BEFORE COMPARING NUMBERS</t>
        </is>
      </c>
    </row>
    <row r="20">
      <c r="B20" t="inlineStr">
        <is>
          <t xml:space="preserve">  • Cost bases are inconsistent across projects: some figures include IT hardware/GPUs (often the majority of cost), others cover only land,</t>
        </is>
      </c>
    </row>
    <row r="21">
      <c r="B21" t="inlineStr">
        <is>
          <t xml:space="preserve">    shell, power and cooling. See the 'Cost basis / notes' column before comparing.</t>
        </is>
      </c>
    </row>
    <row r="22">
      <c r="B22" t="inlineStr">
        <is>
          <t xml:space="preserve">  • Capacity is reported variously as IT (critical) load or total grid draw; grid draw runs ~1.2–1.3x IT load.</t>
        </is>
      </c>
    </row>
    <row r="23">
      <c r="B23" t="inlineStr">
        <is>
          <t xml:space="preserve">  • Figures are company statements, regulatory filings and press estimates — not audited; several projects have already been re-scoped.</t>
        </is>
      </c>
    </row>
    <row r="24">
      <c r="B24" t="inlineStr">
        <is>
          <t xml:space="preserve">  • Announced/pipeline projects (e.g. Project Matador) may never be built as described.</t>
        </is>
      </c>
    </row>
    <row r="26">
      <c r="B26" s="3" t="inlineStr">
        <is>
          <t>Estimated cost — largest single campuses (US$B)</t>
        </is>
      </c>
    </row>
    <row r="27">
      <c r="B27" t="inlineStr">
        <is>
          <t>Campus</t>
        </is>
      </c>
      <c r="C27" t="inlineStr">
        <is>
          <t>Est. cost (US$B)</t>
        </is>
      </c>
    </row>
    <row r="28">
      <c r="B28" t="inlineStr">
        <is>
          <t>Meta Hyperion (LA)</t>
        </is>
      </c>
      <c r="C28" s="4" t="n">
        <v>50</v>
      </c>
    </row>
    <row r="29">
      <c r="B29" t="inlineStr">
        <is>
          <t>Stargate Abilene (TX, incl. GPUs)</t>
        </is>
      </c>
      <c r="C29" s="4" t="n">
        <v>47</v>
      </c>
    </row>
    <row r="30">
      <c r="B30" t="inlineStr">
        <is>
          <t>xAI Colossus 2 (TN, est. incl. chips)</t>
        </is>
      </c>
      <c r="C30" s="4" t="n">
        <v>35.8</v>
      </c>
    </row>
    <row r="31">
      <c r="B31" t="inlineStr">
        <is>
          <t>Stargate UAE (Abu Dhabi)</t>
        </is>
      </c>
      <c r="C31" s="4" t="n">
        <v>30</v>
      </c>
    </row>
    <row r="32">
      <c r="B32" t="inlineStr">
        <is>
          <t>OpenAI Project Camellia (GA)</t>
        </is>
      </c>
      <c r="C32" s="4" t="n">
        <v>30</v>
      </c>
    </row>
    <row r="33">
      <c r="B33" t="inlineStr">
        <is>
          <t>Stargate 'Frontier' Shackelford (TX)</t>
        </is>
      </c>
      <c r="C33" s="4" t="n">
        <v>25</v>
      </c>
    </row>
    <row r="34">
      <c r="B34" t="inlineStr">
        <is>
          <t>Stargate 'Jupiter' Doña Ana (NM, financing)</t>
        </is>
      </c>
      <c r="C34" s="4" t="n">
        <v>21</v>
      </c>
    </row>
    <row r="35">
      <c r="B35" t="inlineStr">
        <is>
          <t>Meta Prometheus (OH, est.)</t>
        </is>
      </c>
      <c r="C35" s="4" t="n">
        <v>16</v>
      </c>
    </row>
    <row r="36">
      <c r="B36" t="inlineStr">
        <is>
          <t>Stargate 'Lighthouse' Port Washington (WI)</t>
        </is>
      </c>
      <c r="C36" s="4" t="n">
        <v>15</v>
      </c>
    </row>
    <row r="37">
      <c r="B37" t="inlineStr">
        <is>
          <t>AWS Project Rainier (IN)</t>
        </is>
      </c>
      <c r="C37" s="4" t="n">
        <v>11</v>
      </c>
    </row>
    <row r="38">
      <c r="B38" t="inlineStr">
        <is>
          <t>Stargate 'The Barn' Saline Twp (MI)</t>
        </is>
      </c>
      <c r="C38" s="4" t="n">
        <v>10</v>
      </c>
    </row>
    <row r="39">
      <c r="B39" t="inlineStr">
        <is>
          <t>Meta El Paso (TX)</t>
        </is>
      </c>
      <c r="C39" s="4" t="n">
        <v>10</v>
      </c>
    </row>
    <row r="40">
      <c r="B40" t="inlineStr">
        <is>
          <t>Homer City Energy Campus (PA)</t>
        </is>
      </c>
      <c r="C40" s="4" t="n">
        <v>10</v>
      </c>
    </row>
    <row r="41">
      <c r="B41" t="inlineStr">
        <is>
          <t>Microsoft Fairwater Wisconsin</t>
        </is>
      </c>
      <c r="C41" s="4" t="n">
        <v>7.3</v>
      </c>
    </row>
    <row r="42">
      <c r="B42" t="inlineStr">
        <is>
          <t>Nexus Hubbard initial phase (TX)</t>
        </is>
      </c>
      <c r="C42" s="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0" customWidth="1" min="2" max="2"/>
    <col width="34" customWidth="1" min="3" max="3"/>
    <col width="26" customWidth="1" min="4" max="4"/>
    <col width="12" customWidth="1" min="5" max="5"/>
    <col width="26" customWidth="1" min="6" max="6"/>
    <col width="11" customWidth="1" min="7" max="7"/>
    <col width="12" customWidth="1" min="8" max="8"/>
    <col width="11" customWidth="1" min="9" max="9"/>
    <col width="60" customWidth="1" min="10" max="10"/>
    <col width="16" customWidth="1" min="11" max="11"/>
    <col width="24" customWidth="1" min="12" max="12"/>
    <col width="42" customWidth="1" min="13" max="13"/>
  </cols>
  <sheetData>
    <row r="1">
      <c r="A1" s="5" t="inlineStr">
        <is>
          <t>Project / Campus</t>
        </is>
      </c>
      <c r="B1" s="5" t="inlineStr">
        <is>
          <t>Lead company / Developer</t>
        </is>
      </c>
      <c r="C1" s="5" t="inlineStr">
        <is>
          <t>Partners / Anchor tenant</t>
        </is>
      </c>
      <c r="D1" s="5" t="inlineStr">
        <is>
          <t>Location</t>
        </is>
      </c>
      <c r="E1" s="5" t="inlineStr">
        <is>
          <t>Country</t>
        </is>
      </c>
      <c r="F1" s="5" t="inlineStr">
        <is>
          <t>Status (Jul 2026)</t>
        </is>
      </c>
      <c r="G1" s="5" t="inlineStr">
        <is>
          <t>Capacity now (GW)</t>
        </is>
      </c>
      <c r="H1" s="5" t="inlineStr">
        <is>
          <t>Planned capacity (GW)</t>
        </is>
      </c>
      <c r="I1" s="5" t="inlineStr">
        <is>
          <t>Est. cost (US$B)</t>
        </is>
      </c>
      <c r="J1" s="5" t="inlineStr">
        <is>
          <t>Cost basis / notes</t>
        </is>
      </c>
      <c r="K1" s="5" t="inlineStr">
        <is>
          <t>Construction start</t>
        </is>
      </c>
      <c r="L1" s="5" t="inlineStr">
        <is>
          <t>Target completion</t>
        </is>
      </c>
      <c r="M1" s="5" t="inlineStr">
        <is>
          <t>Power strategy</t>
        </is>
      </c>
    </row>
    <row r="2">
      <c r="A2" s="6" t="inlineStr">
        <is>
          <t>Meta Hyperion</t>
        </is>
      </c>
      <c r="B2" s="6" t="inlineStr">
        <is>
          <t>Meta (JV with Blue Owl Capital)</t>
        </is>
      </c>
      <c r="C2" s="6" t="inlineStr">
        <is>
          <t>Entergy Louisiana (power)</t>
        </is>
      </c>
      <c r="D2" s="6" t="inlineStr">
        <is>
          <t>Richland Parish, Louisiana</t>
        </is>
      </c>
      <c r="E2" s="6" t="inlineStr">
        <is>
          <t>USA</t>
        </is>
      </c>
      <c r="F2" s="6" t="inlineStr">
        <is>
          <t>Under construction</t>
        </is>
      </c>
      <c r="G2" s="7" t="n">
        <v>0</v>
      </c>
      <c r="H2" s="8" t="n">
        <v>5</v>
      </c>
      <c r="I2" s="8" t="n">
        <v>50</v>
      </c>
      <c r="J2" s="6" t="inlineStr">
        <is>
          <t>&gt;$50B announced Jul 2026 (up from $10B at Dec 2024 announcement); $27B initial JV with Blue Owl; ~$29B off-balance-sheet financing ($26B debt + $3B equity). Excludes ~$3B of on-site gas plants funded via Entergy.</t>
        </is>
      </c>
      <c r="K2" s="6" t="inlineStr">
        <is>
          <t>2025</t>
        </is>
      </c>
      <c r="L2" s="6" t="inlineStr">
        <is>
          <t>First phase 2028; full build ~2030</t>
        </is>
      </c>
      <c r="M2" s="6" t="inlineStr">
        <is>
          <t>10 new Entergy gas plants (&gt;7 GW combined) + up to 1.5 GW solar; Meta pays full energy/water infrastructure cost</t>
        </is>
      </c>
    </row>
    <row r="3">
      <c r="A3" s="9" t="inlineStr">
        <is>
          <t>Stargate Abilene (flagship; 'Project Ludicrous')</t>
        </is>
      </c>
      <c r="B3" s="9" t="inlineStr">
        <is>
          <t>Crusoe (developer) / Lancium (site)</t>
        </is>
      </c>
      <c r="C3" s="9" t="inlineStr">
        <is>
          <t>Oracle (lessee, hardware), OpenAI (tenant), Microsoft (~700 MW lease), Nvidia</t>
        </is>
      </c>
      <c r="D3" s="9" t="inlineStr">
        <is>
          <t>Abilene, Texas</t>
        </is>
      </c>
      <c r="E3" s="9" t="inlineStr">
        <is>
          <t>USA</t>
        </is>
      </c>
      <c r="F3" s="9" t="inlineStr">
        <is>
          <t>Partially operational (4 of 8 buildings live)</t>
        </is>
      </c>
      <c r="G3" s="10" t="n">
        <v>0.3</v>
      </c>
      <c r="H3" s="10" t="n">
        <v>1.2</v>
      </c>
      <c r="I3" s="10" t="n">
        <v>47</v>
      </c>
      <c r="J3" s="9" t="inlineStr">
        <is>
          <t>~$47B at full buildout INCLUDING ~400k Nvidia Blackwell GPUs; Crusoe construction cost ~$12B excl. chips. 8 buildings, ~4M sq ft. Planned 600 MW expansion cancelled early 2026; capacity re-let to Microsoft/Nvidia.</t>
        </is>
      </c>
      <c r="K3" s="9" t="inlineStr">
        <is>
          <t>Jun 2024</t>
        </is>
      </c>
      <c r="L3" s="9" t="inlineStr">
        <is>
          <t>Full 1.2 GW: Q4 2026</t>
        </is>
      </c>
      <c r="M3" s="9" t="inlineStr">
        <is>
          <t>On-site natural gas + AEP grid; closed-loop liquid cooling</t>
        </is>
      </c>
    </row>
    <row r="4">
      <c r="A4" s="6" t="inlineStr">
        <is>
          <t>xAI Colossus 2</t>
        </is>
      </c>
      <c r="B4" s="6" t="inlineStr">
        <is>
          <t>xAI (SpaceX)</t>
        </is>
      </c>
      <c r="C4" s="6" t="inlineStr">
        <is>
          <t>Used by xAI/SpaceX, Anthropic, Cursor (per Epoch AI)</t>
        </is>
      </c>
      <c r="D4" s="6" t="inlineStr">
        <is>
          <t>Memphis, Tennessee</t>
        </is>
      </c>
      <c r="E4" s="6" t="inlineStr">
        <is>
          <t>USA</t>
        </is>
      </c>
      <c r="F4" s="6" t="inlineStr">
        <is>
          <t>Operational &amp; expanding</t>
        </is>
      </c>
      <c r="G4" s="8" t="n">
        <v>0.95</v>
      </c>
      <c r="H4" s="8" t="n">
        <v>1.5</v>
      </c>
      <c r="I4" s="8" t="n">
        <v>35.8</v>
      </c>
      <c r="J4" s="6" t="inlineStr">
        <is>
          <t>Epoch AI capital-cost estimate INCLUDING chips (~1.1M H100-equivalents; GB200/GB300); build cost excl. chips estimated ~$9B. 946 MW IT power live; further ~400 MW expansion phase in progress.</t>
        </is>
      </c>
      <c r="K4" s="6" t="inlineStr">
        <is>
          <t>2025</t>
        </is>
      </c>
      <c r="L4" s="6" t="inlineStr">
        <is>
          <t>Expansion phases through 2026</t>
        </is>
      </c>
      <c r="M4" s="6" t="inlineStr">
        <is>
          <t>Gas-fired (mobile generators + power plant) + MLGW grid</t>
        </is>
      </c>
    </row>
    <row r="5">
      <c r="A5" s="9" t="inlineStr">
        <is>
          <t>Stargate UAE</t>
        </is>
      </c>
      <c r="B5" s="9" t="inlineStr">
        <is>
          <t>Khazna Data Centres (G42)</t>
        </is>
      </c>
      <c r="C5" s="9" t="inlineStr">
        <is>
          <t>OpenAI, Oracle, Nvidia, Cisco, SoftBank; Mubadala; South Korea joined</t>
        </is>
      </c>
      <c r="D5" s="9" t="inlineStr">
        <is>
          <t>Abu Dhabi</t>
        </is>
      </c>
      <c r="E5" s="9" t="inlineStr">
        <is>
          <t>UAE</t>
        </is>
      </c>
      <c r="F5" s="9" t="inlineStr">
        <is>
          <t>Under construction</t>
        </is>
      </c>
      <c r="G5" s="11" t="n">
        <v>0</v>
      </c>
      <c r="H5" s="10" t="n">
        <v>5</v>
      </c>
      <c r="I5" s="10" t="n">
        <v>30</v>
      </c>
      <c r="J5" s="9" t="inlineStr">
        <is>
          <t>&gt;$30B per UAE AI minister (Jan 2026), up ~50% from initial ~$20B estimate. 19.2 km² campus (~9x Monaco). 200 MW phase 1 due Q3 2026; 1 GW foundation cluster in ~3-year window.</t>
        </is>
      </c>
      <c r="K5" s="9" t="inlineStr">
        <is>
          <t>2025</t>
        </is>
      </c>
      <c r="L5" s="9" t="inlineStr">
        <is>
          <t>200 MW Q3 2026; 1 GW late 2026+; 5 GW full build later</t>
        </is>
      </c>
      <c r="M5" s="9" t="inlineStr">
        <is>
          <t>Dedicated generation + grid; GB300 systems on site since May 2026</t>
        </is>
      </c>
    </row>
    <row r="6">
      <c r="A6" s="6" t="inlineStr">
        <is>
          <t>OpenAI Project Camellia</t>
        </is>
      </c>
      <c r="B6" s="6" t="inlineStr">
        <is>
          <t>OpenAI (first self-designed/built/operated site)</t>
        </is>
      </c>
      <c r="C6" s="6" t="inlineStr">
        <is>
          <t>Georgia Power (25-yr PPA)</t>
        </is>
      </c>
      <c r="D6" s="6" t="inlineStr">
        <is>
          <t>Effingham County, Georgia</t>
        </is>
      </c>
      <c r="E6" s="6" t="inlineStr">
        <is>
          <t>USA</t>
        </is>
      </c>
      <c r="F6" s="6" t="inlineStr">
        <is>
          <t>Announced / pipeline</t>
        </is>
      </c>
      <c r="G6" s="7" t="n">
        <v>0</v>
      </c>
      <c r="H6" s="8" t="n">
        <v>3.2</v>
      </c>
      <c r="I6" s="8" t="n">
        <v>30</v>
      </c>
      <c r="J6" s="6" t="inlineStr">
        <is>
          <t>$20B initial commitment; &gt;$30B at full scale per OpenAI VP of Compute Strategy (announced 22 Jul 2026). 1,400 acres, four buildings. OpenAI pays full infrastructure and electric-service costs.</t>
        </is>
      </c>
      <c r="K6" s="6" t="inlineStr">
        <is>
          <t>Announced Jul 2026</t>
        </is>
      </c>
      <c r="L6" s="6" t="inlineStr">
        <is>
          <t>Power phased 2028–2032</t>
        </is>
      </c>
      <c r="M6" s="6" t="inlineStr">
        <is>
          <t>Georgia Power grid (3.2 GW, 25-yr agreement) + up to 1 GW flexible demand response</t>
        </is>
      </c>
    </row>
    <row r="7">
      <c r="A7" s="9" t="inlineStr">
        <is>
          <t>Stargate Shackelford 'Frontier'</t>
        </is>
      </c>
      <c r="B7" s="9" t="inlineStr">
        <is>
          <t>Vantage Data Centers</t>
        </is>
      </c>
      <c r="C7" s="9" t="inlineStr">
        <is>
          <t>Oracle (named occupant), OpenAI workloads; VoltaGrid (power)</t>
        </is>
      </c>
      <c r="D7" s="9" t="inlineStr">
        <is>
          <t>Shackelford County, Texas</t>
        </is>
      </c>
      <c r="E7" s="9" t="inlineStr">
        <is>
          <t>USA</t>
        </is>
      </c>
      <c r="F7" s="9" t="inlineStr">
        <is>
          <t>Under construction</t>
        </is>
      </c>
      <c r="G7" s="11" t="n">
        <v>0</v>
      </c>
      <c r="H7" s="10" t="n">
        <v>1.4</v>
      </c>
      <c r="I7" s="10" t="n">
        <v>25</v>
      </c>
      <c r="J7" s="9" t="inlineStr">
        <is>
          <t>&gt;$25B total investment. 10 buildings, ~3.7M sq ft, 1.4 GW IT capacity (~2.0 GW grid-draw equivalent); &gt;250 kW/rack densities. Part of $38B Vantage borrowing across its two Stargate campuses.</t>
        </is>
      </c>
      <c r="K7" s="9" t="inlineStr">
        <is>
          <t>Dec 2025</t>
        </is>
      </c>
      <c r="L7" s="9" t="inlineStr">
        <is>
          <t>First building 2H 2026; full ~Q4 2028</t>
        </is>
      </c>
      <c r="M7" s="9" t="inlineStr">
        <is>
          <t>Behind-the-meter gas microgrid (210 VoltaGrid Jenbacher engines, 700 MW), fully off ERCOT grid</t>
        </is>
      </c>
    </row>
    <row r="8">
      <c r="A8" s="6" t="inlineStr">
        <is>
          <t>Stargate Doña Ana 'Project Jupiter'</t>
        </is>
      </c>
      <c r="B8" s="6" t="inlineStr">
        <is>
          <t>STACK Infrastructure + BorderPlex Digital Assets</t>
        </is>
      </c>
      <c r="C8" s="6" t="inlineStr">
        <is>
          <t>Oracle (customer); lenders SMBC/BNP/Goldman/MUFG; Blue Owl equity</t>
        </is>
      </c>
      <c r="D8" s="6" t="inlineStr">
        <is>
          <t>Doña Ana County, New Mexico</t>
        </is>
      </c>
      <c r="E8" s="6" t="inlineStr">
        <is>
          <t>USA</t>
        </is>
      </c>
      <c r="F8" s="6" t="inlineStr">
        <is>
          <t>Planning / pre-construction</t>
        </is>
      </c>
      <c r="G8" s="7" t="n">
        <v>0</v>
      </c>
      <c r="H8" s="8" t="n">
        <v>4.5</v>
      </c>
      <c r="I8" s="8" t="n">
        <v>21</v>
      </c>
      <c r="J8" s="6" t="inlineStr">
        <is>
          <t>~$18B bank project financing + ~$3B Blue Owl equity arranged; up to $165B industrial revenue bonds authorized by county (30-yr). Largest single Stargate campus by planned capacity. Air-quality permit was the gating item (decision deadline Jul 2026).</t>
        </is>
      </c>
      <c r="K8" s="6" t="inlineStr">
        <is>
          <t>Financing arranged; no confirmed start</t>
        </is>
      </c>
      <c r="L8" s="6" t="inlineStr">
        <is>
          <t>~2.2 GW by 2028 (est.); 4.5 GW full build</t>
        </is>
      </c>
      <c r="M8" s="6" t="inlineStr">
        <is>
          <t>Two behind-the-fence gas microgrids (no utility grid connection); dedicated Transwestern gas lateral</t>
        </is>
      </c>
    </row>
    <row r="9">
      <c r="A9" s="9" t="inlineStr">
        <is>
          <t>Meta Prometheus</t>
        </is>
      </c>
      <c r="B9" s="9" t="inlineStr">
        <is>
          <t>Meta</t>
        </is>
      </c>
      <c r="C9" s="9" t="inlineStr">
        <is>
          <t>—</t>
        </is>
      </c>
      <c r="D9" s="9" t="inlineStr">
        <is>
          <t>New Albany, Ohio</t>
        </is>
      </c>
      <c r="E9" s="9" t="inlineStr">
        <is>
          <t>USA</t>
        </is>
      </c>
      <c r="F9" s="9" t="inlineStr">
        <is>
          <t>Online 2026 (first gigawatt-scale cluster)</t>
        </is>
      </c>
      <c r="G9" s="11" t="n">
        <v>0</v>
      </c>
      <c r="H9" s="10" t="n">
        <v>1</v>
      </c>
      <c r="I9" s="10" t="n">
        <v>16</v>
      </c>
      <c r="J9" s="9" t="inlineStr">
        <is>
          <t>Meta has not disclosed cost; analyst/Epoch estimates $15.6B–$32.4B including hardware, depending on expansion scope. Low end used here.</t>
        </is>
      </c>
      <c r="K9" s="9" t="inlineStr">
        <is>
          <t>2024</t>
        </is>
      </c>
      <c r="L9" s="9" t="inlineStr">
        <is>
          <t>Online 2026</t>
        </is>
      </c>
      <c r="M9" s="9" t="inlineStr">
        <is>
          <t>On-site natural gas (~200 MW) + grid</t>
        </is>
      </c>
    </row>
    <row r="10">
      <c r="A10" s="6" t="inlineStr">
        <is>
          <t>Stargate Port Washington 'Lighthouse'</t>
        </is>
      </c>
      <c r="B10" s="6" t="inlineStr">
        <is>
          <t>Vantage Data Centers + Cloverleaf Infrastructure</t>
        </is>
      </c>
      <c r="C10" s="6" t="inlineStr">
        <is>
          <t>OpenAI, Oracle; We Energies (power)</t>
        </is>
      </c>
      <c r="D10" s="6" t="inlineStr">
        <is>
          <t>Port Washington, Wisconsin</t>
        </is>
      </c>
      <c r="E10" s="6" t="inlineStr">
        <is>
          <t>USA</t>
        </is>
      </c>
      <c r="F10" s="6" t="inlineStr">
        <is>
          <t>Under construction (early)</t>
        </is>
      </c>
      <c r="G10" s="7" t="n">
        <v>0</v>
      </c>
      <c r="H10" s="8" t="n">
        <v>0.9</v>
      </c>
      <c r="I10" s="8" t="n">
        <v>15</v>
      </c>
      <c r="J10" s="6" t="inlineStr">
        <is>
          <t>&gt;$15B investment. 902 MW IT across 4 buildings (~2.5M sq ft); 1.3 GW grid draw; expandable to 3.5 GW on up to 1,900 acres. Requires new $1.4–1.6B ATC transmission corridor (in service late 2027).</t>
        </is>
      </c>
      <c r="K10" s="6" t="inlineStr">
        <is>
          <t>First steel Mar 2026</t>
        </is>
      </c>
      <c r="L10" s="6" t="inlineStr">
        <is>
          <t>2028</t>
        </is>
      </c>
      <c r="M10" s="6" t="inlineStr">
        <is>
          <t>Utility-integrated: We Energies adding &gt;3 GW new generation (solar/battery/wind + &gt;1.2 GW gas)</t>
        </is>
      </c>
    </row>
    <row r="11">
      <c r="A11" s="9" t="inlineStr">
        <is>
          <t>AWS Project Rainier</t>
        </is>
      </c>
      <c r="B11" s="9" t="inlineStr">
        <is>
          <t>Amazon Web Services</t>
        </is>
      </c>
      <c r="C11" s="9" t="inlineStr">
        <is>
          <t>Anthropic (anchor; trains Claude here)</t>
        </is>
      </c>
      <c r="D11" s="9" t="inlineStr">
        <is>
          <t>New Carlisle, Indiana</t>
        </is>
      </c>
      <c r="E11" s="9" t="inlineStr">
        <is>
          <t>USA</t>
        </is>
      </c>
      <c r="F11" s="9" t="inlineStr">
        <is>
          <t>Operational &amp; expanding</t>
        </is>
      </c>
      <c r="G11" s="10" t="n">
        <v>1</v>
      </c>
      <c r="H11" s="10" t="n">
        <v>2.25</v>
      </c>
      <c r="I11" s="10" t="n">
        <v>11</v>
      </c>
      <c r="J11" s="9" t="inlineStr">
        <is>
          <t>$11B — largest capital investment in Indiana history. 18 of 32 buildings operating (Jul 2026); ~6.5M sq ft at full build. &gt;500k Trainium2 chips at opening (Oct 2025), 1M+ by end 2025. Largest non-Nvidia compute deployment.</t>
        </is>
      </c>
      <c r="K11" s="9" t="inlineStr">
        <is>
          <t>2024</t>
        </is>
      </c>
      <c r="L11" s="9" t="inlineStr">
        <is>
          <t>Full 32-building build ~2027–28</t>
        </is>
      </c>
      <c r="M11" s="9" t="inlineStr">
        <is>
          <t>Grid (Indiana Michigan Power, 2.25 GW draw) + 878 backup diesel generators</t>
        </is>
      </c>
    </row>
    <row r="12">
      <c r="A12" s="6" t="inlineStr">
        <is>
          <t>Stargate Saline Township 'The Barn'</t>
        </is>
      </c>
      <c r="B12" s="6" t="inlineStr">
        <is>
          <t>Related Digital (Related Companies)</t>
        </is>
      </c>
      <c r="C12" s="6" t="inlineStr">
        <is>
          <t>Oracle subsidiary (contracting customer), OpenAI; DTE Energy (power)</t>
        </is>
      </c>
      <c r="D12" s="6" t="inlineStr">
        <is>
          <t>Saline Township, Michigan</t>
        </is>
      </c>
      <c r="E12" s="6" t="inlineStr">
        <is>
          <t>USA</t>
        </is>
      </c>
      <c r="F12" s="6" t="inlineStr">
        <is>
          <t>Under construction (financing unresolved)</t>
        </is>
      </c>
      <c r="G12" s="7" t="n">
        <v>0</v>
      </c>
      <c r="H12" s="8" t="n">
        <v>1.4</v>
      </c>
      <c r="I12" s="8" t="n">
        <v>10</v>
      </c>
      <c r="J12" s="6" t="inlineStr">
        <is>
          <t>~$10B estimated project cost; ~$14B debt package described in reporting but lender composition unconfirmed (Blue Owl declined; Blackstone in talks). 1.38 GW contracted utility capacity across 3 buildings (~550k sq ft each).</t>
        </is>
      </c>
      <c r="K12" s="6" t="inlineStr">
        <is>
          <t>Site work from Dec 2025</t>
        </is>
      </c>
      <c r="L12" s="6" t="inlineStr">
        <is>
          <t>~2028</t>
        </is>
      </c>
      <c r="M12" s="6" t="inlineStr">
        <is>
          <t>Grid (DTE) + project-financed battery storage (1.33 GW of contracts approved Mar 2026)</t>
        </is>
      </c>
    </row>
    <row r="13">
      <c r="A13" s="9" t="inlineStr">
        <is>
          <t>Meta El Paso</t>
        </is>
      </c>
      <c r="B13" s="9" t="inlineStr">
        <is>
          <t>Meta</t>
        </is>
      </c>
      <c r="C13" s="9" t="inlineStr">
        <is>
          <t>—</t>
        </is>
      </c>
      <c r="D13" s="9" t="inlineStr">
        <is>
          <t>El Paso, Texas</t>
        </is>
      </c>
      <c r="E13" s="9" t="inlineStr">
        <is>
          <t>USA</t>
        </is>
      </c>
      <c r="F13" s="9" t="inlineStr">
        <is>
          <t>Under construction</t>
        </is>
      </c>
      <c r="G13" s="11" t="n">
        <v>0</v>
      </c>
      <c r="H13" s="10" t="n">
        <v>1</v>
      </c>
      <c r="I13" s="10" t="n">
        <v>10</v>
      </c>
      <c r="J13" s="9" t="inlineStr">
        <is>
          <t>$10B announced investment; ~1 GW AI data center.</t>
        </is>
      </c>
      <c r="K13" s="9" t="inlineStr">
        <is>
          <t>2025</t>
        </is>
      </c>
      <c r="L13" s="9" t="inlineStr">
        <is>
          <t>2028</t>
        </is>
      </c>
      <c r="M13" s="9" t="inlineStr">
        <is>
          <t>Grid + on-site generation</t>
        </is>
      </c>
    </row>
    <row r="14">
      <c r="A14" s="6" t="inlineStr">
        <is>
          <t>Homer City Energy Campus</t>
        </is>
      </c>
      <c r="B14" s="6" t="inlineStr">
        <is>
          <t>Homer City Redevelopment (+ Kiewit)</t>
        </is>
      </c>
      <c r="C14" s="6" t="inlineStr">
        <is>
          <t>GE Vernova (turbines)</t>
        </is>
      </c>
      <c r="D14" s="6" t="inlineStr">
        <is>
          <t>Homer City, Pennsylvania</t>
        </is>
      </c>
      <c r="E14" s="6" t="inlineStr">
        <is>
          <t>USA</t>
        </is>
      </c>
      <c r="F14" s="6" t="inlineStr">
        <is>
          <t>Site prep / pipeline</t>
        </is>
      </c>
      <c r="G14" s="7" t="n">
        <v>0</v>
      </c>
      <c r="H14" s="8" t="n">
        <v>4.5</v>
      </c>
      <c r="I14" s="8" t="n">
        <v>10</v>
      </c>
      <c r="J14" s="6" t="inlineStr">
        <is>
          <t>&gt;$10B initial phases announced Apr 2025 for power infrastructure and site; redevelopment of the largest former coal plant site in PA into a gas-powered data center campus (up to 4.5 GW generation).</t>
        </is>
      </c>
      <c r="K14" s="6" t="inlineStr">
        <is>
          <t>2025 (demolition/site prep)</t>
        </is>
      </c>
      <c r="L14" s="6" t="inlineStr">
        <is>
          <t>Power from ~2027</t>
        </is>
      </c>
      <c r="M14" s="6" t="inlineStr">
        <is>
          <t>On-site combined-cycle natural gas (GE Vernova 7HA.02 turbines)</t>
        </is>
      </c>
    </row>
    <row r="15">
      <c r="A15" s="9" t="inlineStr">
        <is>
          <t>Microsoft Fairwater Wisconsin</t>
        </is>
      </c>
      <c r="B15" s="9" t="inlineStr">
        <is>
          <t>Microsoft (self-build)</t>
        </is>
      </c>
      <c r="C15" s="9" t="inlineStr">
        <is>
          <t>WE Energies (power)</t>
        </is>
      </c>
      <c r="D15" s="9" t="inlineStr">
        <is>
          <t>Mount Pleasant, Wisconsin</t>
        </is>
      </c>
      <c r="E15" s="9" t="inlineStr">
        <is>
          <t>USA</t>
        </is>
      </c>
      <c r="F15" s="9" t="inlineStr">
        <is>
          <t>Partially operational (DC1 live Jun 2026)</t>
        </is>
      </c>
      <c r="G15" s="9" t="n"/>
      <c r="H15" s="9" t="n"/>
      <c r="I15" s="10" t="n">
        <v>7.3</v>
      </c>
      <c r="J15" s="9" t="inlineStr">
        <is>
          <t>&gt;$7.3B committed ($3.3B first DC + $4B second, Sep 2025); ~$4.7B local hyperscale construction 2024–28. Capacity not disclosed ('world's most powerful AI datacenter' claim); 15 additional buildings approved Jan 2026.</t>
        </is>
      </c>
      <c r="K15" s="9" t="inlineStr">
        <is>
          <t>2023</t>
        </is>
      </c>
      <c r="L15" s="9" t="inlineStr">
        <is>
          <t>DC1 live Jun 2026; DC2 2028</t>
        </is>
      </c>
      <c r="M15" s="9" t="inlineStr">
        <is>
          <t>Grid (WE Energies) with pre-paid infrastructure; 250 MW solar match; closed-loop liquid cooling</t>
        </is>
      </c>
    </row>
    <row r="16">
      <c r="A16" s="6" t="inlineStr">
        <is>
          <t>Nexus Hubbard Campus</t>
        </is>
      </c>
      <c r="B16" s="6" t="inlineStr">
        <is>
          <t>Nexus Data Centers</t>
        </is>
      </c>
      <c r="C16" s="6" t="inlineStr">
        <is>
          <t>Anthropic (anchor lease); Google (construction financing); Eagle Point (credit)</t>
        </is>
      </c>
      <c r="D16" s="6" t="inlineStr">
        <is>
          <t>Hubbard, Texas</t>
        </is>
      </c>
      <c r="E16" s="6" t="inlineStr">
        <is>
          <t>USA</t>
        </is>
      </c>
      <c r="F16" s="6" t="inlineStr">
        <is>
          <t>Under construction</t>
        </is>
      </c>
      <c r="G16" s="7" t="n">
        <v>0</v>
      </c>
      <c r="H16" s="8" t="n">
        <v>7.7</v>
      </c>
      <c r="I16" s="8" t="n">
        <v>5</v>
      </c>
      <c r="J16" s="6" t="inlineStr">
        <is>
          <t>$5B+ initial phase (up-to figure incl. Google-backed financing); first permitted building 491k sq ft / ~600 MW. ~2,900-acre site could ultimately host up to 7.7 GW of behind-the-meter generation.</t>
        </is>
      </c>
      <c r="K16" s="6" t="inlineStr">
        <is>
          <t>Broke ground 2025–26</t>
        </is>
      </c>
      <c r="L16" s="6" t="inlineStr">
        <is>
          <t>500–612 MW late 2026; 7.7 GW long-term potential</t>
        </is>
      </c>
      <c r="M16" s="6" t="inlineStr">
        <is>
          <t>Behind-the-meter natural gas turbines (direct pipeline access), independent of ERCOT queue</t>
        </is>
      </c>
    </row>
    <row r="17">
      <c r="A17" s="9" t="inlineStr">
        <is>
          <t>Stargate Milam County 'Orion'</t>
        </is>
      </c>
      <c r="B17" s="9" t="inlineStr">
        <is>
          <t>SB Energy (SoftBank)</t>
        </is>
      </c>
      <c r="C17" s="9" t="inlineStr">
        <is>
          <t>OpenAI ($500M each into SB Energy); Ares ($800M pref)</t>
        </is>
      </c>
      <c r="D17" s="9" t="inlineStr">
        <is>
          <t>Milam County, Texas</t>
        </is>
      </c>
      <c r="E17" s="9" t="inlineStr">
        <is>
          <t>USA</t>
        </is>
      </c>
      <c r="F17" s="9" t="inlineStr">
        <is>
          <t>Under construction</t>
        </is>
      </c>
      <c r="G17" s="11" t="n">
        <v>0</v>
      </c>
      <c r="H17" s="10" t="n">
        <v>1.2</v>
      </c>
      <c r="I17" s="9" t="n"/>
      <c r="J17" s="9" t="inlineStr">
        <is>
          <t>Site cost not disclosed; $1.8B identified equity into SB Energy. Vertically integrated developer model; modular units manufactured at SoftBank's Lordstown plant targeting 7–8 month build cycles.</t>
        </is>
      </c>
      <c r="K17" s="9" t="inlineStr">
        <is>
          <t>Oct 2025</t>
        </is>
      </c>
      <c r="L17" s="9" t="inlineStr">
        <is>
          <t>~Q4 2028</t>
        </is>
      </c>
      <c r="M17" s="9" t="inlineStr">
        <is>
          <t>Co-located with SB Energy's 900 MWdc Orion Solar Belt + on-site infrastructure</t>
        </is>
      </c>
    </row>
    <row r="18">
      <c r="A18" s="6" t="inlineStr">
        <is>
          <t>Stargate Lordstown</t>
        </is>
      </c>
      <c r="B18" s="6" t="inlineStr">
        <is>
          <t>SoftBank (+ Foxconn JV)</t>
        </is>
      </c>
      <c r="C18" s="6" t="inlineStr">
        <is>
          <t>OpenAI</t>
        </is>
      </c>
      <c r="D18" s="6" t="inlineStr">
        <is>
          <t>Lordstown, Ohio</t>
        </is>
      </c>
      <c r="E18" s="6" t="inlineStr">
        <is>
          <t>USA</t>
        </is>
      </c>
      <c r="F18" s="6" t="inlineStr">
        <is>
          <t>Under construction</t>
        </is>
      </c>
      <c r="G18" s="7" t="n">
        <v>0</v>
      </c>
      <c r="H18" s="8" t="n">
        <v>0.3</v>
      </c>
      <c r="I18" s="6" t="n"/>
      <c r="J18" s="6" t="inlineStr">
        <is>
          <t>Former Foxconn EV plant acquired for $375M (Aug 2025); dual role as data center (~0.3 GW) and modular data-center-equipment factory. With Milam County, scalable to a combined 1.5 GW by 2027.</t>
        </is>
      </c>
      <c r="K18" s="6" t="inlineStr">
        <is>
          <t>Q4 2025</t>
        </is>
      </c>
      <c r="L18" s="6" t="inlineStr">
        <is>
          <t>Operational 2026–27</t>
        </is>
      </c>
      <c r="M18" s="6" t="inlineStr">
        <is>
          <t>Grid</t>
        </is>
      </c>
    </row>
    <row r="19">
      <c r="A19" s="9" t="inlineStr">
        <is>
          <t>xAI Colossus 1</t>
        </is>
      </c>
      <c r="B19" s="9" t="inlineStr">
        <is>
          <t>xAI</t>
        </is>
      </c>
      <c r="C19" s="9" t="inlineStr">
        <is>
          <t>—</t>
        </is>
      </c>
      <c r="D19" s="9" t="inlineStr">
        <is>
          <t>Memphis, Tennessee</t>
        </is>
      </c>
      <c r="E19" s="9" t="inlineStr">
        <is>
          <t>USA</t>
        </is>
      </c>
      <c r="F19" s="9" t="inlineStr">
        <is>
          <t>Operational</t>
        </is>
      </c>
      <c r="G19" s="10" t="n">
        <v>0.43</v>
      </c>
      <c r="H19" s="10" t="n">
        <v>0.43</v>
      </c>
      <c r="I19" s="9" t="n"/>
      <c r="J19" s="9" t="inlineStr">
        <is>
          <t>~425 MW; ~230k GPUs (H100/H200/GB200 era); built in ~122 days in 2024. Cost not formally disclosed.</t>
        </is>
      </c>
      <c r="K19" s="9" t="inlineStr">
        <is>
          <t>2024</t>
        </is>
      </c>
      <c r="L19" s="9" t="inlineStr">
        <is>
          <t>Operational since Sep 2024</t>
        </is>
      </c>
      <c r="M19" s="9" t="inlineStr">
        <is>
          <t>Gas turbines + MLGW grid</t>
        </is>
      </c>
    </row>
    <row r="20">
      <c r="A20" s="6" t="inlineStr">
        <is>
          <t>Microsoft Fairwater Atlanta (Fairwater 2)</t>
        </is>
      </c>
      <c r="B20" s="6" t="inlineStr">
        <is>
          <t>Microsoft (leased)</t>
        </is>
      </c>
      <c r="C20" s="6" t="inlineStr">
        <is>
          <t>QTS / Blackstone (landlord); Georgia Power</t>
        </is>
      </c>
      <c r="D20" s="6" t="inlineStr">
        <is>
          <t>Fayetteville (Atlanta), Georgia</t>
        </is>
      </c>
      <c r="E20" s="6" t="inlineStr">
        <is>
          <t>USA</t>
        </is>
      </c>
      <c r="F20" s="6" t="inlineStr">
        <is>
          <t>Operational (Oct–Nov 2025)</t>
        </is>
      </c>
      <c r="G20" s="8" t="n">
        <v>0.7</v>
      </c>
      <c r="H20" s="8" t="n">
        <v>1.5</v>
      </c>
      <c r="I20" s="6" t="n"/>
      <c r="J20" s="6" t="inlineStr">
        <is>
          <t>Cost not disclosed (Microsoft is anchor tenant on long triple-net lease of QTS-built shells; 2 buildings, ~2.17M sq ft with Fairwater 1). &gt;700 MW Microsoft IT capacity by end 2026; QTS campus ultimate load ~1.5 GW across 13 buildings.</t>
        </is>
      </c>
      <c r="K20" s="6" t="inlineStr">
        <is>
          <t>2024</t>
        </is>
      </c>
      <c r="L20" s="6" t="inlineStr">
        <is>
          <t>&gt;700 MW by end 2026</t>
        </is>
      </c>
      <c r="M20" s="6" t="inlineStr">
        <is>
          <t>Georgia Power grid only — no on-site generation or UPS; linked with other Fairwater sites into one training system</t>
        </is>
      </c>
    </row>
    <row r="21">
      <c r="A21" s="9" t="inlineStr">
        <is>
          <t>Anthropic–Fluidstack sites (TX &amp; NY)</t>
        </is>
      </c>
      <c r="B21" s="9" t="inlineStr">
        <is>
          <t>Fluidstack (developer/operator)</t>
        </is>
      </c>
      <c r="C21" s="9" t="inlineStr">
        <is>
          <t>Anthropic ($50B commitment)</t>
        </is>
      </c>
      <c r="D21" s="9" t="inlineStr">
        <is>
          <t>Texas &amp; New York (multiple sites)</t>
        </is>
      </c>
      <c r="E21" s="9" t="inlineStr">
        <is>
          <t>USA</t>
        </is>
      </c>
      <c r="F21" s="9" t="inlineStr">
        <is>
          <t>Under construction</t>
        </is>
      </c>
      <c r="G21" s="11" t="n">
        <v>0</v>
      </c>
      <c r="H21" s="9" t="n"/>
      <c r="I21" s="10" t="n">
        <v>50</v>
      </c>
      <c r="J21" s="9" t="inlineStr">
        <is>
          <t>$50B program announced 12 Nov 2025 — Anthropic's first major independent buildout; capacity not disclosed (multi-GW). ~800 permanent + 2,400 construction jobs. Listed here as a program; sites not yet individually disclosed.</t>
        </is>
      </c>
      <c r="K21" s="9" t="inlineStr">
        <is>
          <t>2025–26</t>
        </is>
      </c>
      <c r="L21" s="9" t="inlineStr">
        <is>
          <t>Facilities online through 2026</t>
        </is>
      </c>
      <c r="M21" s="9" t="inlineStr">
        <is>
          <t>Mixed / site-dependent</t>
        </is>
      </c>
    </row>
    <row r="22">
      <c r="A22" s="6" t="inlineStr">
        <is>
          <t>Google Texas new campuses</t>
        </is>
      </c>
      <c r="B22" s="6" t="inlineStr">
        <is>
          <t>Google</t>
        </is>
      </c>
      <c r="C22" s="6" t="inlineStr">
        <is>
          <t>—</t>
        </is>
      </c>
      <c r="D22" s="6" t="inlineStr">
        <is>
          <t>Armstrong, Haskell (x2), Pampa &amp; Wilbarger Counties, Texas</t>
        </is>
      </c>
      <c r="E22" s="6" t="inlineStr">
        <is>
          <t>USA</t>
        </is>
      </c>
      <c r="F22" s="6" t="inlineStr">
        <is>
          <t>Announced / early works</t>
        </is>
      </c>
      <c r="G22" s="7" t="n">
        <v>0</v>
      </c>
      <c r="H22" s="6" t="n"/>
      <c r="I22" s="8" t="n">
        <v>40</v>
      </c>
      <c r="J22" s="6" t="inlineStr">
        <is>
          <t>Within Google's $40B Texas investment through 2027 (also covers Ellis County/Red Oak expansion, energy funds, workforce). Campus-level capacity/cost not yet disclosed; one Haskell site co-located with solar + battery storage.</t>
        </is>
      </c>
      <c r="K22" s="6" t="inlineStr">
        <is>
          <t>Announced Nov 2025</t>
        </is>
      </c>
      <c r="L22" s="6" t="inlineStr">
        <is>
          <t>Through 2027</t>
        </is>
      </c>
      <c r="M22" s="6" t="inlineStr">
        <is>
          <t>Grid + ~6.2 GW of Texas PPAs; one campus co-located with solar/BESS</t>
        </is>
      </c>
    </row>
    <row r="23">
      <c r="A23" s="9" t="inlineStr">
        <is>
          <t>Fermi America 'Project Matador' (HyperGrid)</t>
        </is>
      </c>
      <c r="B23" s="9" t="inlineStr">
        <is>
          <t>Fermi America</t>
        </is>
      </c>
      <c r="C23" s="9" t="inlineStr">
        <is>
          <t>—</t>
        </is>
      </c>
      <c r="D23" s="9" t="inlineStr">
        <is>
          <t>Amarillo, Texas</t>
        </is>
      </c>
      <c r="E23" s="9" t="inlineStr">
        <is>
          <t>USA</t>
        </is>
      </c>
      <c r="F23" s="9" t="inlineStr">
        <is>
          <t>Announced only — no construction or customers</t>
        </is>
      </c>
      <c r="G23" s="11" t="n">
        <v>0</v>
      </c>
      <c r="H23" s="10" t="n">
        <v>11</v>
      </c>
      <c r="I23" s="9" t="n"/>
      <c r="J23" s="9" t="inlineStr">
        <is>
          <t>Claims an 11 GW energy-and-data campus (nuclear + gas + solar). As of late 2025 reporting, construction had not begun and no customers were secured. Included for completeness; treat as speculative.</t>
        </is>
      </c>
      <c r="K23" s="9" t="inlineStr">
        <is>
          <t>—</t>
        </is>
      </c>
      <c r="L23" s="9" t="inlineStr">
        <is>
          <t>—</t>
        </is>
      </c>
      <c r="M23" s="9" t="inlineStr">
        <is>
          <t>Proposed nuclear + gas + solar 'HyperGrid'</t>
        </is>
      </c>
    </row>
    <row r="24">
      <c r="A24" s="6" t="inlineStr">
        <is>
          <t>HUMAIN buildout</t>
        </is>
      </c>
      <c r="B24" s="6" t="inlineStr">
        <is>
          <t>HUMAIN (Saudi PIF)</t>
        </is>
      </c>
      <c r="C24" s="6" t="inlineStr">
        <is>
          <t>Nvidia, AMD silicon supply; NEOM</t>
        </is>
      </c>
      <c r="D24" s="6" t="inlineStr">
        <is>
          <t>Riyadh / NEOM / Eastern Province</t>
        </is>
      </c>
      <c r="E24" s="6" t="inlineStr">
        <is>
          <t>Saudi Arabia</t>
        </is>
      </c>
      <c r="F24" s="6" t="inlineStr">
        <is>
          <t>Early construction</t>
        </is>
      </c>
      <c r="G24" s="7" t="n">
        <v>0</v>
      </c>
      <c r="H24" s="8" t="n">
        <v>0.5</v>
      </c>
      <c r="I24" s="6" t="n"/>
      <c r="J24" s="6" t="inlineStr">
        <is>
          <t>PIF-backed sovereign AI company; ~500 MW near-term build target across three regions with Nvidia and AMD supply pipelines (multi-GW ambition into the 2030s). Costs not disclosed.</t>
        </is>
      </c>
      <c r="K24" s="6" t="inlineStr">
        <is>
          <t>2025</t>
        </is>
      </c>
      <c r="L24" s="6" t="inlineStr">
        <is>
          <t>First phases 2026+</t>
        </is>
      </c>
      <c r="M24" s="6" t="inlineStr">
        <is>
          <t>Grid + renewables</t>
        </is>
      </c>
    </row>
    <row r="26">
      <c r="A26" s="2" t="inlineStr">
        <is>
          <t>Blank cost/capacity = not disclosed. Costs are NOT directly comparable — some include IT hardware/GPUs, others only land/shell/power (see 'Cost basis / notes'). Capacity mixes IT load and grid draw as reported. Compiled 27 July 2026.</t>
        </is>
      </c>
    </row>
  </sheetData>
  <autoFilter ref="A1:M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40" customWidth="1" min="3" max="3"/>
    <col width="13" customWidth="1" min="4" max="4"/>
    <col width="34" customWidth="1" min="5" max="5"/>
    <col width="26" customWidth="1" min="6" max="6"/>
    <col width="26" customWidth="1" min="7" max="7"/>
    <col width="78" customWidth="1" min="8" max="8"/>
  </cols>
  <sheetData>
    <row r="1">
      <c r="A1" s="5" t="inlineStr">
        <is>
          <t>Program / Deal</t>
        </is>
      </c>
      <c r="B1" s="5" t="inlineStr">
        <is>
          <t>Type</t>
        </is>
      </c>
      <c r="C1" s="5" t="inlineStr">
        <is>
          <t>Parties</t>
        </is>
      </c>
      <c r="D1" s="5" t="inlineStr">
        <is>
          <t>Value (US$B)</t>
        </is>
      </c>
      <c r="E1" s="5" t="inlineStr">
        <is>
          <t>Capacity (GW)</t>
        </is>
      </c>
      <c r="F1" s="5" t="inlineStr">
        <is>
          <t>Timeframe</t>
        </is>
      </c>
      <c r="G1" s="5" t="inlineStr">
        <is>
          <t>Status (Jul 2026)</t>
        </is>
      </c>
      <c r="H1" s="5" t="inlineStr">
        <is>
          <t>Notes</t>
        </is>
      </c>
    </row>
    <row r="2">
      <c r="A2" s="6" t="inlineStr">
        <is>
          <t>OpenAI infrastructure spending plan</t>
        </is>
      </c>
      <c r="B2" s="6" t="inlineStr">
        <is>
          <t>Corporate pipeline</t>
        </is>
      </c>
      <c r="C2" s="6" t="inlineStr">
        <is>
          <t>OpenAI</t>
        </is>
      </c>
      <c r="D2" s="8" t="n">
        <v>750</v>
      </c>
      <c r="E2" s="6" t="inlineStr">
        <is>
          <t>~8 GW fleet target by 2030</t>
        </is>
      </c>
      <c r="F2" s="6" t="inlineStr">
        <is>
          <t>Through 2030</t>
        </is>
      </c>
      <c r="G2" s="6" t="inlineStr">
        <is>
          <t>Active</t>
        </is>
      </c>
      <c r="H2" s="6" t="inlineStr">
        <is>
          <t>Raised to ~$750B (WSJ, 22 Jul 2026) from ~$600B earlier in 2026; spans Stargate, self-builds (Camellia) and cloud contracts below. OpenAI ended 2025 with ~1.9 GW of compute.</t>
        </is>
      </c>
    </row>
    <row r="3">
      <c r="A3" s="9" t="inlineStr">
        <is>
          <t>Meta US infrastructure pledge</t>
        </is>
      </c>
      <c r="B3" s="9" t="inlineStr">
        <is>
          <t>Corporate pipeline</t>
        </is>
      </c>
      <c r="C3" s="9" t="inlineStr">
        <is>
          <t>Meta</t>
        </is>
      </c>
      <c r="D3" s="10" t="n">
        <v>600</v>
      </c>
      <c r="E3" s="9" t="inlineStr">
        <is>
          <t>&gt;10 GW total capacity targeted by end 2026</t>
        </is>
      </c>
      <c r="F3" s="9" t="inlineStr">
        <is>
          <t>Through 2028</t>
        </is>
      </c>
      <c r="G3" s="9" t="inlineStr">
        <is>
          <t>Active</t>
        </is>
      </c>
      <c r="H3" s="9" t="inlineStr">
        <is>
          <t>US data centers and infrastructure pledge; anchored by Hyperion (LA), Prometheus (OH), El Paso (TX) and ~30 existing data centers.</t>
        </is>
      </c>
    </row>
    <row r="4">
      <c r="A4" s="6" t="inlineStr">
        <is>
          <t>Stargate program</t>
        </is>
      </c>
      <c r="B4" s="6" t="inlineStr">
        <is>
          <t>Multi-site buildout JV</t>
        </is>
      </c>
      <c r="C4" s="6" t="inlineStr">
        <is>
          <t>OpenAI, Oracle, SoftBank, MGX</t>
        </is>
      </c>
      <c r="D4" s="8" t="n">
        <v>500</v>
      </c>
      <c r="E4" s="6" t="inlineStr">
        <is>
          <t>~11 GW headline planned across 7 US sites + UAE</t>
        </is>
      </c>
      <c r="F4" s="6" t="inlineStr">
        <is>
          <t>2025–2029</t>
        </is>
      </c>
      <c r="G4" s="6" t="inlineStr">
        <is>
          <t>Active — only ~0.2–0.6 GW operational so far</t>
        </is>
      </c>
      <c r="H4" s="6" t="inlineStr">
        <is>
          <t>$500B/4-yr envelope announced at White House Jan 2025 ($100B immediate); ~$400B of committed 3-yr spend by mid-2026. Buildout is proceeding site-by-site with different developers, power models and financing.</t>
        </is>
      </c>
    </row>
    <row r="5">
      <c r="A5" s="9" t="inlineStr">
        <is>
          <t>OpenAI–Oracle compute agreement</t>
        </is>
      </c>
      <c r="B5" s="9" t="inlineStr">
        <is>
          <t>Compute contract</t>
        </is>
      </c>
      <c r="C5" s="9" t="inlineStr">
        <is>
          <t>OpenAI, Oracle</t>
        </is>
      </c>
      <c r="D5" s="10" t="n">
        <v>300</v>
      </c>
      <c r="E5" s="9" t="inlineStr">
        <is>
          <t>4.5 GW additional (~6 GW total contracted)</t>
        </is>
      </c>
      <c r="F5" s="9" t="inlineStr">
        <is>
          <t>~5 years (from Jul 2025)</t>
        </is>
      </c>
      <c r="G5" s="9" t="inlineStr">
        <is>
          <t>Signed</t>
        </is>
      </c>
      <c r="H5" s="9" t="inlineStr">
        <is>
          <t>&gt;$300B over ~5 years for additional Stargate capacity; underpins Shackelford, Doña Ana, Port Washington, Saline Twp sites. Oracle RPO hit $553B in Q3 FY26 (+325% YoY).</t>
        </is>
      </c>
    </row>
    <row r="6">
      <c r="A6" s="6" t="inlineStr">
        <is>
          <t>OpenAI–Microsoft Azure commitment</t>
        </is>
      </c>
      <c r="B6" s="6" t="inlineStr">
        <is>
          <t>Compute contract</t>
        </is>
      </c>
      <c r="C6" s="6" t="inlineStr">
        <is>
          <t>OpenAI, Microsoft</t>
        </is>
      </c>
      <c r="D6" s="8" t="n">
        <v>250</v>
      </c>
      <c r="E6" s="6" t="inlineStr">
        <is>
          <t>n/d</t>
        </is>
      </c>
      <c r="F6" s="6" t="inlineStr">
        <is>
          <t>~6 years (from Oct 2025 restructuring)</t>
        </is>
      </c>
      <c r="G6" s="6" t="inlineStr">
        <is>
          <t>Signed</t>
        </is>
      </c>
      <c r="H6" s="6" t="inlineStr">
        <is>
          <t>Up to $250B of contracted Azure spend agreed as part of the Oct 2025 partnership restructuring.</t>
        </is>
      </c>
    </row>
    <row r="7">
      <c r="A7" s="9" t="inlineStr">
        <is>
          <t>OpenAI–AWS agreement</t>
        </is>
      </c>
      <c r="B7" s="9" t="inlineStr">
        <is>
          <t>Compute contract</t>
        </is>
      </c>
      <c r="C7" s="9" t="inlineStr">
        <is>
          <t>OpenAI, Amazon Web Services</t>
        </is>
      </c>
      <c r="D7" s="10" t="n">
        <v>138</v>
      </c>
      <c r="E7" s="9" t="inlineStr">
        <is>
          <t>n/d</t>
        </is>
      </c>
      <c r="F7" s="9" t="inlineStr">
        <is>
          <t>8 years</t>
        </is>
      </c>
      <c r="G7" s="9" t="inlineStr">
        <is>
          <t>Signed (expanded)</t>
        </is>
      </c>
      <c r="H7" s="9" t="inlineStr">
        <is>
          <t>Expanded from initial ~$38B (Nov 2025) to $138B over eight years (reported Jul 2026).</t>
        </is>
      </c>
    </row>
    <row r="8">
      <c r="A8" s="6" t="inlineStr">
        <is>
          <t>Anthropic–AWS commitment</t>
        </is>
      </c>
      <c r="B8" s="6" t="inlineStr">
        <is>
          <t>Compute contract + investment</t>
        </is>
      </c>
      <c r="C8" s="6" t="inlineStr">
        <is>
          <t>Anthropic, Amazon</t>
        </is>
      </c>
      <c r="D8" s="8" t="n">
        <v>100</v>
      </c>
      <c r="E8" s="6" t="inlineStr">
        <is>
          <t>Up to 5 GW Trainium reserved; ~1 GW online by end 2026</t>
        </is>
      </c>
      <c r="F8" s="6" t="inlineStr">
        <is>
          <t>10 years</t>
        </is>
      </c>
      <c r="G8" s="6" t="inlineStr">
        <is>
          <t>Active</t>
        </is>
      </c>
      <c r="H8" s="6" t="inlineStr">
        <is>
          <t>&gt;$100B compute commitment; Amazon investing up to $25B more ($5B equity + $20B milestone-gated facility) on top of $8B already invested. Project Rainier (IN) is the flagship site.</t>
        </is>
      </c>
    </row>
    <row r="9">
      <c r="A9" s="9" t="inlineStr">
        <is>
          <t>Nvidia–OpenAI letter of intent</t>
        </is>
      </c>
      <c r="B9" s="9" t="inlineStr">
        <is>
          <t>Strategic investment</t>
        </is>
      </c>
      <c r="C9" s="9" t="inlineStr">
        <is>
          <t>Nvidia, OpenAI</t>
        </is>
      </c>
      <c r="D9" s="10" t="n">
        <v>100</v>
      </c>
      <c r="E9" s="9" t="inlineStr">
        <is>
          <t>10 GW of Nvidia systems</t>
        </is>
      </c>
      <c r="F9" s="9" t="inlineStr">
        <is>
          <t>Announced Sep 2025</t>
        </is>
      </c>
      <c r="G9" s="9" t="inlineStr">
        <is>
          <t>LOI — progressive</t>
        </is>
      </c>
      <c r="H9" s="9" t="inlineStr">
        <is>
          <t>Up to $100B invested progressively as each GW of Nvidia systems is deployed.</t>
        </is>
      </c>
    </row>
    <row r="10">
      <c r="A10" s="6" t="inlineStr">
        <is>
          <t>Anthropic–Fluidstack program</t>
        </is>
      </c>
      <c r="B10" s="6" t="inlineStr">
        <is>
          <t>Multi-site buildout</t>
        </is>
      </c>
      <c r="C10" s="6" t="inlineStr">
        <is>
          <t>Anthropic, Fluidstack</t>
        </is>
      </c>
      <c r="D10" s="8" t="n">
        <v>50</v>
      </c>
      <c r="E10" s="6" t="inlineStr">
        <is>
          <t>n/d (multi-GW)</t>
        </is>
      </c>
      <c r="F10" s="6" t="inlineStr">
        <is>
          <t>Announced 12 Nov 2025; online through 2026</t>
        </is>
      </c>
      <c r="G10" s="6" t="inlineStr">
        <is>
          <t>Under construction</t>
        </is>
      </c>
      <c r="H10" s="6" t="inlineStr">
        <is>
          <t>Anthropic's first major independent data center buildout — custom sites in Texas and New York.</t>
        </is>
      </c>
    </row>
    <row r="11">
      <c r="A11" s="9" t="inlineStr">
        <is>
          <t>Google Texas investment</t>
        </is>
      </c>
      <c r="B11" s="9" t="inlineStr">
        <is>
          <t>Regional program</t>
        </is>
      </c>
      <c r="C11" s="9" t="inlineStr">
        <is>
          <t>Google</t>
        </is>
      </c>
      <c r="D11" s="10" t="n">
        <v>40</v>
      </c>
      <c r="E11" s="9" t="inlineStr">
        <is>
          <t>n/d; 6.2 GW of PPAs</t>
        </is>
      </c>
      <c r="F11" s="9" t="inlineStr">
        <is>
          <t>Through 2027</t>
        </is>
      </c>
      <c r="G11" s="9" t="inlineStr">
        <is>
          <t>Active</t>
        </is>
      </c>
      <c r="H11" s="9" t="inlineStr">
        <is>
          <t>$40B for cloud/AI infrastructure incl. new campuses in Armstrong, Haskell (x2), Pampa, Wilbarger counties + Ellis County expansion; $30M Energy Impact Fund.</t>
        </is>
      </c>
    </row>
    <row r="12">
      <c r="A12" s="6" t="inlineStr">
        <is>
          <t>Vantage Stargate financing</t>
        </is>
      </c>
      <c r="B12" s="6" t="inlineStr">
        <is>
          <t>Project debt</t>
        </is>
      </c>
      <c r="C12" s="6" t="inlineStr">
        <is>
          <t>Vantage Data Centers (DigitalBridge)</t>
        </is>
      </c>
      <c r="D12" s="8" t="n">
        <v>38</v>
      </c>
      <c r="E12" s="6" t="inlineStr">
        <is>
          <t>Shackelford 1.4 GW IT + Port Washington 0.9 GW IT</t>
        </is>
      </c>
      <c r="F12" s="6" t="inlineStr">
        <is>
          <t>2025–2026</t>
        </is>
      </c>
      <c r="G12" s="6" t="inlineStr">
        <is>
          <t>Drawn/committed</t>
        </is>
      </c>
      <c r="H12" s="6" t="inlineStr">
        <is>
          <t>$38B borrowed across the two Vantage-built Stargate campuses.</t>
        </is>
      </c>
    </row>
    <row r="13">
      <c r="A13" s="9" t="inlineStr">
        <is>
          <t>Stargate UAE / G42 program</t>
        </is>
      </c>
      <c r="B13" s="9" t="inlineStr">
        <is>
          <t>International buildout</t>
        </is>
      </c>
      <c r="C13" s="9" t="inlineStr">
        <is>
          <t>Khazna (G42), OpenAI, Oracle, Nvidia, Cisco, SoftBank</t>
        </is>
      </c>
      <c r="D13" s="10" t="n">
        <v>30</v>
      </c>
      <c r="E13" s="9" t="inlineStr">
        <is>
          <t>5 GW campus (1 GW foundation cluster)</t>
        </is>
      </c>
      <c r="F13" s="9" t="inlineStr">
        <is>
          <t>Phase 1 Q3 2026; 1 GW late 2026+</t>
        </is>
      </c>
      <c r="G13" s="9" t="inlineStr">
        <is>
          <t>Under construction</t>
        </is>
      </c>
      <c r="H13" s="9" t="inlineStr">
        <is>
          <t>&gt;$30B estimate (Jan 2026); template being studied for sovereign builds with Vietnam and India.</t>
        </is>
      </c>
    </row>
    <row r="14">
      <c r="A14" s="6" t="inlineStr">
        <is>
          <t>Microsoft UK investment</t>
        </is>
      </c>
      <c r="B14" s="6" t="inlineStr">
        <is>
          <t>Regional program</t>
        </is>
      </c>
      <c r="C14" s="6" t="inlineStr">
        <is>
          <t>Microsoft (+ Nscale)</t>
        </is>
      </c>
      <c r="D14" s="8" t="n">
        <v>30</v>
      </c>
      <c r="E14" s="6" t="inlineStr">
        <is>
          <t>n/d</t>
        </is>
      </c>
      <c r="F14" s="6" t="inlineStr">
        <is>
          <t>Announced Sep 2025</t>
        </is>
      </c>
      <c r="G14" s="6" t="inlineStr">
        <is>
          <t>Active</t>
        </is>
      </c>
      <c r="H14" s="6" t="inlineStr">
        <is>
          <t>$30B UK commitment incl. the country's largest supercomputer with Nscale.</t>
        </is>
      </c>
    </row>
    <row r="15">
      <c r="A15" s="9" t="inlineStr">
        <is>
          <t>Amazon–Anthropic investment</t>
        </is>
      </c>
      <c r="B15" s="9" t="inlineStr">
        <is>
          <t>Investment</t>
        </is>
      </c>
      <c r="C15" s="9" t="inlineStr">
        <is>
          <t>Amazon, Anthropic</t>
        </is>
      </c>
      <c r="D15" s="10" t="n">
        <v>33</v>
      </c>
      <c r="E15" s="9" t="inlineStr">
        <is>
          <t>—</t>
        </is>
      </c>
      <c r="F15" s="9" t="inlineStr">
        <is>
          <t>2023–</t>
        </is>
      </c>
      <c r="G15" s="9" t="inlineStr">
        <is>
          <t>Active</t>
        </is>
      </c>
      <c r="H15" s="9" t="inlineStr">
        <is>
          <t>Up to ~$33B total: $8B invested + $5B equity + $20B milestone-gated financing facility tied to compute delivery.</t>
        </is>
      </c>
    </row>
    <row r="16">
      <c r="A16" s="6" t="inlineStr">
        <is>
          <t>OpenAI–CoreWeave agreement</t>
        </is>
      </c>
      <c r="B16" s="6" t="inlineStr">
        <is>
          <t>Compute contract</t>
        </is>
      </c>
      <c r="C16" s="6" t="inlineStr">
        <is>
          <t>OpenAI, CoreWeave</t>
        </is>
      </c>
      <c r="D16" s="8" t="n">
        <v>22.4</v>
      </c>
      <c r="E16" s="6" t="inlineStr">
        <is>
          <t>n/d</t>
        </is>
      </c>
      <c r="F16" s="6" t="inlineStr">
        <is>
          <t>Through 2029</t>
        </is>
      </c>
      <c r="G16" s="6" t="inlineStr">
        <is>
          <t>Signed</t>
        </is>
      </c>
      <c r="H16" s="6" t="inlineStr">
        <is>
          <t>Up to $22.4B of contracted capacity.</t>
        </is>
      </c>
    </row>
    <row r="17">
      <c r="A17" s="9" t="inlineStr">
        <is>
          <t>Anthropic–Google Cloud TPU deal</t>
        </is>
      </c>
      <c r="B17" s="9" t="inlineStr">
        <is>
          <t>Compute contract</t>
        </is>
      </c>
      <c r="C17" s="9" t="inlineStr">
        <is>
          <t>Anthropic, Google</t>
        </is>
      </c>
      <c r="D17" s="9" t="n"/>
      <c r="E17" s="9" t="inlineStr">
        <is>
          <t>Up to 1 GW of TPU capacity in 2026</t>
        </is>
      </c>
      <c r="F17" s="9" t="inlineStr">
        <is>
          <t>Announced Oct 2025</t>
        </is>
      </c>
      <c r="G17" s="9" t="inlineStr">
        <is>
          <t>Signed</t>
        </is>
      </c>
      <c r="H17" s="9" t="inlineStr">
        <is>
          <t>Reported to be worth tens of billions of dollars; value not formally disclosed.</t>
        </is>
      </c>
    </row>
    <row r="18">
      <c r="A18" s="6" t="inlineStr">
        <is>
          <t>Meta–AMD chip supply</t>
        </is>
      </c>
      <c r="B18" s="6" t="inlineStr">
        <is>
          <t>Chip supply</t>
        </is>
      </c>
      <c r="C18" s="6" t="inlineStr">
        <is>
          <t>Meta, AMD</t>
        </is>
      </c>
      <c r="D18" s="6" t="n"/>
      <c r="E18" s="6" t="inlineStr">
        <is>
          <t>6 GW</t>
        </is>
      </c>
      <c r="F18" s="6" t="inlineStr">
        <is>
          <t>Signed Feb 2026</t>
        </is>
      </c>
      <c r="G18" s="6" t="inlineStr">
        <is>
          <t>Signed</t>
        </is>
      </c>
      <c r="H18" s="6" t="inlineStr">
        <is>
          <t>6 GW AMD accelerator deal (per Measured AI reporting); shifted competitive dynamics for Nvidia at Stargate Abilene.</t>
        </is>
      </c>
    </row>
    <row r="19">
      <c r="A19" s="9" t="inlineStr">
        <is>
          <t>SoftBank–DigitalBridge acquisition</t>
        </is>
      </c>
      <c r="B19" s="9" t="inlineStr">
        <is>
          <t>M&amp;A</t>
        </is>
      </c>
      <c r="C19" s="9" t="inlineStr">
        <is>
          <t>SoftBank, DigitalBridge</t>
        </is>
      </c>
      <c r="D19" s="10" t="n">
        <v>3.9</v>
      </c>
      <c r="E19" s="9" t="inlineStr">
        <is>
          <t>—</t>
        </is>
      </c>
      <c r="F19" s="9" t="inlineStr">
        <is>
          <t>Expected close H2 2026</t>
        </is>
      </c>
      <c r="G19" s="9" t="inlineStr">
        <is>
          <t>Pending</t>
        </is>
      </c>
      <c r="H19" s="9" t="inlineStr">
        <is>
          <t>Gives SoftBank control of Vantage Data Centers — consolidating Stargate exposure across SB Energy (Milam), Vantage (Shackelford, Port Washington) and Lordstown.</t>
        </is>
      </c>
    </row>
    <row r="20">
      <c r="A20" s="6" t="inlineStr">
        <is>
          <t>Oracle contracted backlog (RPO)</t>
        </is>
      </c>
      <c r="B20" s="6" t="inlineStr">
        <is>
          <t>Backlog indicator</t>
        </is>
      </c>
      <c r="C20" s="6" t="inlineStr">
        <is>
          <t>Oracle</t>
        </is>
      </c>
      <c r="D20" s="8" t="n">
        <v>553</v>
      </c>
      <c r="E20" s="6" t="inlineStr">
        <is>
          <t>—</t>
        </is>
      </c>
      <c r="F20" s="6" t="inlineStr">
        <is>
          <t>Q3 FY2026 (Mar 2026)</t>
        </is>
      </c>
      <c r="G20" s="6" t="inlineStr">
        <is>
          <t>Reported</t>
        </is>
      </c>
      <c r="H20" s="6" t="inlineStr">
        <is>
          <t>Remaining performance obligations $553B, +325% YoY — proxy for contracted AI cloud pipeline. Oracle FY26 capex ~$50B; total borrowings $134.6B (Feb 2026); $50B capital program announced Feb 2026.</t>
        </is>
      </c>
    </row>
    <row r="22">
      <c r="A22" s="2" t="inlineStr">
        <is>
          <t>Values mix committed spend, 'up to' contract ceilings, debt facilities and backlog — see Notes column. Contract values overlap with campus costs on the 'Largest Buildouts' sheet; do not sum across sheets.</t>
        </is>
      </c>
    </row>
  </sheetData>
  <autoFilter ref="A1:H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8" customWidth="1" min="4" max="4"/>
    <col width="12" customWidth="1" min="5" max="5"/>
    <col width="34" customWidth="1" min="6" max="6"/>
    <col width="70" customWidth="1" min="7" max="7"/>
  </cols>
  <sheetData>
    <row r="1">
      <c r="A1" s="5" t="inlineStr">
        <is>
          <t>Company</t>
        </is>
      </c>
      <c r="B1" s="5" t="inlineStr">
        <is>
          <t>2025 capex (US$B, approx.)</t>
        </is>
      </c>
      <c r="C1" s="5" t="inlineStr">
        <is>
          <t>2026 guidance (US$B)</t>
        </is>
      </c>
      <c r="D1" s="5" t="inlineStr">
        <is>
          <t>2026 midpoint (US$B)</t>
        </is>
      </c>
      <c r="E1" s="5" t="inlineStr">
        <is>
          <t>YoY growth</t>
        </is>
      </c>
      <c r="F1" s="5" t="inlineStr">
        <is>
          <t>Primary AI drivers</t>
        </is>
      </c>
      <c r="G1" s="5" t="inlineStr">
        <is>
          <t>Notes</t>
        </is>
      </c>
    </row>
    <row r="2">
      <c r="A2" s="6" t="inlineStr">
        <is>
          <t>Amazon</t>
        </is>
      </c>
      <c r="B2" s="7" t="n">
        <v>100</v>
      </c>
      <c r="C2" s="6" t="inlineStr">
        <is>
          <t>~200</t>
        </is>
      </c>
      <c r="D2" s="7" t="n">
        <v>200</v>
      </c>
      <c r="E2" s="6" t="inlineStr">
        <is>
          <t>~+100%</t>
        </is>
      </c>
      <c r="F2" s="6" t="inlineStr">
        <is>
          <t>AWS, Trainium 2/3, Anthropic</t>
        </is>
      </c>
      <c r="G2" s="6" t="inlineStr">
        <is>
          <t>Q1 2026 capex $44.2B (+77% YoY); ~$200B full-year run rate reiterated by CEO Andy Jassy.</t>
        </is>
      </c>
    </row>
    <row r="3">
      <c r="A3" s="9" t="inlineStr">
        <is>
          <t>Microsoft</t>
        </is>
      </c>
      <c r="B3" s="11" t="n">
        <v>95</v>
      </c>
      <c r="C3" s="9" t="inlineStr">
        <is>
          <t>~190</t>
        </is>
      </c>
      <c r="D3" s="11" t="n">
        <v>190</v>
      </c>
      <c r="E3" s="9" t="inlineStr">
        <is>
          <t>~+100%</t>
        </is>
      </c>
      <c r="F3" s="9" t="inlineStr">
        <is>
          <t>Azure, OpenAI, Maia silicon</t>
        </is>
      </c>
      <c r="G3" s="9" t="inlineStr">
        <is>
          <t>Guide includes ~$25B attributed to higher component pricing (Q3 FY26 call, 29 Apr 2026). AI business run rate &gt;$37B (+123% YoY).</t>
        </is>
      </c>
    </row>
    <row r="4">
      <c r="A4" s="6" t="inlineStr">
        <is>
          <t>Alphabet (Google)</t>
        </is>
      </c>
      <c r="B4" s="7" t="n">
        <v>85</v>
      </c>
      <c r="C4" s="6" t="inlineStr">
        <is>
          <t>180–190</t>
        </is>
      </c>
      <c r="D4" s="7" t="n">
        <v>185</v>
      </c>
      <c r="E4" s="6" t="inlineStr">
        <is>
          <t>~+110%</t>
        </is>
      </c>
      <c r="F4" s="6" t="inlineStr">
        <is>
          <t>Google Cloud, TPU v7, Gemini</t>
        </is>
      </c>
      <c r="G4" s="6" t="inlineStr">
        <is>
          <t>Raised from $175–185B in Feb 2026. Google Cloud backlog &gt;$460B.</t>
        </is>
      </c>
    </row>
    <row r="5">
      <c r="A5" s="9" t="inlineStr">
        <is>
          <t>Meta</t>
        </is>
      </c>
      <c r="B5" s="11" t="n">
        <v>71</v>
      </c>
      <c r="C5" s="9" t="inlineStr">
        <is>
          <t>125–145</t>
        </is>
      </c>
      <c r="D5" s="11" t="n">
        <v>135</v>
      </c>
      <c r="E5" s="9" t="inlineStr">
        <is>
          <t>~+90%</t>
        </is>
      </c>
      <c r="F5" s="9" t="inlineStr">
        <is>
          <t>Llama, ads ranking, MTIA silicon</t>
        </is>
      </c>
      <c r="G5" s="9" t="inlineStr">
        <is>
          <t>Raised both ends by $10B (from $115–135B), citing memory prices and added data center costs. No public cloud to monetize.</t>
        </is>
      </c>
    </row>
    <row r="6">
      <c r="A6" s="6" t="inlineStr">
        <is>
          <t>Combined (Big 4)</t>
        </is>
      </c>
      <c r="B6" s="7" t="n">
        <v>410</v>
      </c>
      <c r="C6" s="6" t="inlineStr">
        <is>
          <t>~700–725</t>
        </is>
      </c>
      <c r="D6" s="7" t="n">
        <v>710</v>
      </c>
      <c r="E6" s="6" t="inlineStr">
        <is>
          <t>~+77%</t>
        </is>
      </c>
      <c r="F6" s="6" t="inlineStr">
        <is>
          <t>—</t>
        </is>
      </c>
      <c r="G6" s="6" t="inlineStr">
        <is>
          <t>vs ~$226B in 2024. Roughly $2B/day of infrastructure spend; ~3/4 AI-related. Analysts project $1T+ combined in 2027.</t>
        </is>
      </c>
    </row>
    <row r="8">
      <c r="A8" s="2" t="inlineStr">
        <is>
          <t>Capex covers all capital expenditure (mostly, but not exclusively, AI/data centers): GPUs and custom silicon, data center shells, power and land. Source: Q1 2026 earnings calls (29 Apr 2026) and company disclosures.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2" customWidth="1" min="2" max="2"/>
    <col width="80" customWidth="1" min="3" max="3"/>
    <col width="14" customWidth="1" min="4" max="4"/>
  </cols>
  <sheetData>
    <row r="1">
      <c r="A1" s="5" t="inlineStr">
        <is>
          <t>Source</t>
        </is>
      </c>
      <c r="B1" s="5" t="inlineStr">
        <is>
          <t>URL</t>
        </is>
      </c>
      <c r="C1" s="5" t="inlineStr">
        <is>
          <t>Supports</t>
        </is>
      </c>
      <c r="D1" s="5" t="inlineStr">
        <is>
          <t>Accessed</t>
        </is>
      </c>
    </row>
    <row r="2">
      <c r="A2" s="6" t="inlineStr">
        <is>
          <t>OpenAI — Five new Stargate sites</t>
        </is>
      </c>
      <c r="B2" s="6" t="inlineStr">
        <is>
          <t>https://openai.com/index/five-new-stargate-sites/</t>
        </is>
      </c>
      <c r="C2" s="6" t="inlineStr">
        <is>
          <t>Stargate expansion: Shackelford, Doña Ana, Lordstown, Milam; $300B+/4.5 GW Oracle deal</t>
        </is>
      </c>
      <c r="D2" s="6" t="inlineStr">
        <is>
          <t>27 July 2026</t>
        </is>
      </c>
    </row>
    <row r="3">
      <c r="A3" s="9" t="inlineStr">
        <is>
          <t>Epoch AI — Stargate: where the US sites stand</t>
        </is>
      </c>
      <c r="B3" s="9" t="inlineStr">
        <is>
          <t>https://epoch.ai/publications/openai-stargate-where-the-us-sites-stand</t>
        </is>
      </c>
      <c r="C3" s="9" t="inlineStr">
        <is>
          <t>Site-level capacity/status/timeline table for all 7 US Stargate sites</t>
        </is>
      </c>
      <c r="D3" s="9" t="inlineStr">
        <is>
          <t>27 July 2026</t>
        </is>
      </c>
    </row>
    <row r="4">
      <c r="A4" s="6" t="inlineStr">
        <is>
          <t>Measured AI — Stargate site-by-site status (Mar 2026)</t>
        </is>
      </c>
      <c r="B4" s="6" t="inlineStr">
        <is>
          <t>https://measuredai.substack.com/p/stargate-site-by-site-status</t>
        </is>
      </c>
      <c r="C4" s="6" t="inlineStr">
        <is>
          <t>Abilene $47B/$12B costs; Frontier &gt;$25B; Lighthouse &gt;$15B; The Barn ~$10B; Jupiter $18B+$3B financing; Vantage $38B debt; OpenAI Azure $250B / AWS $138B / CoreWeave $22.4B; Oracle RPO/debt</t>
        </is>
      </c>
      <c r="D4" s="6" t="inlineStr">
        <is>
          <t>27 July 2026</t>
        </is>
      </c>
    </row>
    <row r="5">
      <c r="A5" s="9" t="inlineStr">
        <is>
          <t>Presenc AI — Stargate status report 2026</t>
        </is>
      </c>
      <c r="B5" s="9" t="inlineStr">
        <is>
          <t>https://presenc.ai/research/stargate-project-status-2026</t>
        </is>
      </c>
      <c r="C5" s="9" t="inlineStr">
        <is>
          <t>~7 GW planned, ~$400B committed; Abilene 4-of-8 buildings live; Stargate UAE phase status</t>
        </is>
      </c>
      <c r="D5" s="9" t="inlineStr">
        <is>
          <t>27 July 2026</t>
        </is>
      </c>
    </row>
    <row r="6">
      <c r="A6" s="6" t="inlineStr">
        <is>
          <t>The Energy Mag — Meta expands Louisiana AI DC (Jul 2026)</t>
        </is>
      </c>
      <c r="B6" s="6" t="inlineStr">
        <is>
          <t>https://backend.theenergymag.com/news/2026-07-13/meta-ai-louisiana-expand/</t>
        </is>
      </c>
      <c r="C6" s="6" t="inlineStr">
        <is>
          <t>Hyperion 5 GW / &gt;$50B expansion</t>
        </is>
      </c>
      <c r="D6" s="6" t="inlineStr">
        <is>
          <t>27 July 2026</t>
        </is>
      </c>
    </row>
    <row r="7">
      <c r="A7" s="9" t="inlineStr">
        <is>
          <t>Silicon Report — Meta Hyperion profile</t>
        </is>
      </c>
      <c r="B7" s="9" t="inlineStr">
        <is>
          <t>https://www.siliconreport.com/meta-hyperion-louisiana-megacampus-profile-84de9440</t>
        </is>
      </c>
      <c r="C7" s="9" t="inlineStr">
        <is>
          <t>Hyperion power plan: 10 Entergy gas plants &gt;7 GW; $29B off-balance-sheet financing</t>
        </is>
      </c>
      <c r="D7" s="9" t="inlineStr">
        <is>
          <t>27 July 2026</t>
        </is>
      </c>
    </row>
    <row r="8">
      <c r="A8" s="6" t="inlineStr">
        <is>
          <t>TechCrunch — OpenAI spending balloons to $750B (22 Jul 2026)</t>
        </is>
      </c>
      <c r="B8" s="6" t="inlineStr">
        <is>
          <t>https://techcrunch.com/2026/07/22/openais-ai-spending-spree-has-ballooned-to-750b/</t>
        </is>
      </c>
      <c r="C8" s="6" t="inlineStr">
        <is>
          <t>OpenAI $750B-through-2030 plan; Project Camellia basics</t>
        </is>
      </c>
      <c r="D8" s="6" t="inlineStr">
        <is>
          <t>27 July 2026</t>
        </is>
      </c>
    </row>
    <row r="9">
      <c r="A9" s="9" t="inlineStr">
        <is>
          <t>Enterprise DNA / ConstructConnect — Project Camellia</t>
        </is>
      </c>
      <c r="B9" s="9" t="inlineStr">
        <is>
          <t>https://enterprisedna.co/resources/news/openai-project-camellia-georgia-data-center-30-billion-2026/</t>
        </is>
      </c>
      <c r="C9" s="9" t="inlineStr">
        <is>
          <t>Camellia 3.2 GW, $20B→$30B+, Georgia Power 25-yr PPA, 2028–2032 phasing</t>
        </is>
      </c>
      <c r="D9" s="9" t="inlineStr">
        <is>
          <t>27 July 2026</t>
        </is>
      </c>
    </row>
    <row r="10">
      <c r="A10" s="6" t="inlineStr">
        <is>
          <t>Epoch AI — Colossus 2 directory entry</t>
        </is>
      </c>
      <c r="B10" s="6" t="inlineStr">
        <is>
          <t>https://epoch.ai/data/ai-data-centers/directory/colossus-2</t>
        </is>
      </c>
      <c r="C10" s="6" t="inlineStr">
        <is>
          <t>Colossus 2: 946 MW IT, $35.8B est. capital cost incl. chips, users incl. Anthropic/Cursor</t>
        </is>
      </c>
      <c r="D10" s="6" t="inlineStr">
        <is>
          <t>27 July 2026</t>
        </is>
      </c>
    </row>
    <row r="11">
      <c r="A11" s="9" t="inlineStr">
        <is>
          <t>Measured AI — AWS New Carlisle / Project Rainier</t>
        </is>
      </c>
      <c r="B11" s="9" t="inlineStr">
        <is>
          <t>https://measuredai.substack.com/p/aws-new-carlisle-data-center-campus</t>
        </is>
      </c>
      <c r="C11" s="9" t="inlineStr">
        <is>
          <t>$11B, 32 buildings, 2.25 GW draw, Anthropic–AWS $100B/5 GW commitments</t>
        </is>
      </c>
      <c r="D11" s="9" t="inlineStr">
        <is>
          <t>27 July 2026</t>
        </is>
      </c>
    </row>
    <row r="12">
      <c r="A12" s="6" t="inlineStr">
        <is>
          <t>Introl — Anthropic $50B Fluidstack partnership</t>
        </is>
      </c>
      <c r="B12" s="6" t="inlineStr">
        <is>
          <t>https://introl.com/blog/anthropic-50b-fluidstack-data-center-december-2025</t>
        </is>
      </c>
      <c r="C12" s="6" t="inlineStr">
        <is>
          <t>Anthropic–Fluidstack $50B, TX &amp; NY, jobs figures</t>
        </is>
      </c>
      <c r="D12" s="6" t="inlineStr">
        <is>
          <t>27 July 2026</t>
        </is>
      </c>
    </row>
    <row r="13">
      <c r="A13" s="9" t="inlineStr">
        <is>
          <t>Microsoft — Made in Wisconsin (Fairwater)</t>
        </is>
      </c>
      <c r="B13" s="9" t="inlineStr">
        <is>
          <t>https://blogs.microsoft.com/on-the-issues/2025/09/18/made-in-wisconsin-the-worlds-most-powerful-ai-datacenter/</t>
        </is>
      </c>
      <c r="C13" s="9" t="inlineStr">
        <is>
          <t>Fairwater WI $3.3B + $4B; DCD follow-up: DC1 operational Jun 2026, 15 more buildings approved</t>
        </is>
      </c>
      <c r="D13" s="9" t="inlineStr">
        <is>
          <t>27 July 2026</t>
        </is>
      </c>
    </row>
    <row r="14">
      <c r="A14" s="6" t="inlineStr">
        <is>
          <t>Measured AI — Microsoft Fairwater Atlanta</t>
        </is>
      </c>
      <c r="B14" s="6" t="inlineStr">
        <is>
          <t>https://measuredai.substack.com/p/microsoft-fairwater-atlanta-data-center</t>
        </is>
      </c>
      <c r="C14" s="6" t="inlineStr">
        <is>
          <t>Fairwater Atlanta: QTS lease, &gt;700 MW by end 2026, ~1.5 GW campus load, grid-only design</t>
        </is>
      </c>
      <c r="D14" s="6" t="inlineStr">
        <is>
          <t>27 July 2026</t>
        </is>
      </c>
    </row>
    <row r="15">
      <c r="A15" s="9" t="inlineStr">
        <is>
          <t>The National / AGBI — Stargate UAE &gt;$30B (Jan 2026)</t>
        </is>
      </c>
      <c r="B15" s="9" t="inlineStr">
        <is>
          <t>https://www.thenationalnews.com/future/technology/2026/01/26/stargate-uae-data-centre-to-cost-more-than-30bn-ai-minister-says/</t>
        </is>
      </c>
      <c r="C15" s="9" t="inlineStr">
        <is>
          <t>Stargate UAE 5 GW, &gt;$30B, 19.2 km², Q3 2026 phase 1</t>
        </is>
      </c>
      <c r="D15" s="9" t="inlineStr">
        <is>
          <t>27 July 2026</t>
        </is>
      </c>
    </row>
    <row r="16">
      <c r="A16" s="6" t="inlineStr">
        <is>
          <t>DCD — Google commits $40B to Texas</t>
        </is>
      </c>
      <c r="B16" s="6" t="inlineStr">
        <is>
          <t>https://www.datacenterdynamics.com/en/news/google-commits-40bn-to-expand-cloud-and-ai-infrastructure-in-texas-through-2027/</t>
        </is>
      </c>
      <c r="C16" s="6" t="inlineStr">
        <is>
          <t>Google $40B Texas program, new campuses, 6.2 GW PPAs; Fermi 'Project Matador' 11 GW claim</t>
        </is>
      </c>
      <c r="D16" s="6" t="inlineStr">
        <is>
          <t>27 July 2026</t>
        </is>
      </c>
    </row>
    <row r="17">
      <c r="A17" s="9" t="inlineStr">
        <is>
          <t>MLQ / Construction Review — Nexus Hubbard campus</t>
        </is>
      </c>
      <c r="B17" s="9" t="inlineStr">
        <is>
          <t>https://mlq.ai/news/nexus-data-centers-files-permit-for-491000-sq-ft-data-center-in-hubbard-texas/</t>
        </is>
      </c>
      <c r="C17" s="9" t="inlineStr">
        <is>
          <t>Nexus Hubbard: $5B+ initial, Anthropic lease, Google financing, 7.7 GW potential</t>
        </is>
      </c>
      <c r="D17" s="9" t="inlineStr">
        <is>
          <t>27 July 2026</t>
        </is>
      </c>
    </row>
    <row r="18">
      <c r="A18" s="6" t="inlineStr">
        <is>
          <t>Value Add VC / Analysis Atlas — 2026 hyperscaler capex</t>
        </is>
      </c>
      <c r="B18" s="6" t="inlineStr">
        <is>
          <t>https://valueaddvc.com/pulse/big-tech-ai-capex-725-billion-2026-guidance</t>
        </is>
      </c>
      <c r="C18" s="6" t="inlineStr">
        <is>
          <t>Big-4 2026 capex guidance ($710–725B), per-company breakdown, 2025 baseline</t>
        </is>
      </c>
      <c r="D18" s="6" t="inlineStr">
        <is>
          <t>27 July 2026</t>
        </is>
      </c>
    </row>
    <row r="19">
      <c r="A19" s="9" t="inlineStr">
        <is>
          <t>AI in Arabia — G42 Stargate UAE GB300s; HUMAIN</t>
        </is>
      </c>
      <c r="B19" s="9" t="inlineStr">
        <is>
          <t>https://aiinarabia.com/news/g42-stargate-uae-200mw-gb300-chips-on-site-news-2026-05-18</t>
        </is>
      </c>
      <c r="C19" s="9" t="inlineStr">
        <is>
          <t>Stargate UAE phase-1 progress; HUMAIN 500 MW target across Riyadh/NEOM/Eastern Province</t>
        </is>
      </c>
      <c r="D19" s="9" t="inlineStr">
        <is>
          <t>27 July 2026</t>
        </is>
      </c>
    </row>
    <row r="21">
      <c r="A21" s="2" t="inlineStr">
        <is>
          <t>Homer City Energy Campus (PA) figures are from its April 2025 announcement (Homer City Redevelopment / GE Vernova press coverage). All other rows trace to the sources above. Figures are press/company statements, not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2026-07-27T12:39:08Z</dcterms:created>
  <dcterms:modified xsi:type="dcterms:W3CDTF">2026-07-27T12:39:08Z</dcterms:modified>
</cp:coreProperties>
</file>