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s" sheetId="3" state="visible" r:id="rId3"/>
    <sheet name="Weights Memory" sheetId="4" state="visible" r:id="rId4"/>
    <sheet name="KV Cache Scaling" sheetId="5" state="visible" r:id="rId5"/>
    <sheet name="Decode Economics" sheetId="6" state="visible" r:id="rId6"/>
    <sheet name="Parametric Sca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&quot; GB&quot;"/>
    <numFmt numFmtId="166" formatCode="#,##0.00&quot; GB&quot;"/>
    <numFmt numFmtId="167" formatCode="#,##0.0&quot; TB&quot;"/>
    <numFmt numFmtId="168" formatCode="#,##0&quot; tok/s&quot;"/>
  </numFmts>
  <fonts count="14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1F3864"/>
      <sz val="11"/>
    </font>
    <font>
      <b val="1"/>
      <color rgb="00FFFFFF"/>
      <sz val="10"/>
    </font>
    <font>
      <color rgb="00000000"/>
      <sz val="10"/>
    </font>
    <font>
      <b val="1"/>
      <color rgb="00C55A11"/>
      <sz val="11"/>
    </font>
    <font>
      <b val="1"/>
      <color rgb="00000000"/>
      <sz val="10"/>
    </font>
    <font>
      <i val="1"/>
      <color rgb="00595959"/>
      <sz val="9"/>
    </font>
    <font>
      <b val="1"/>
      <sz val="10"/>
    </font>
    <font>
      <b val="1"/>
      <color rgb="00C55A11"/>
      <sz val="10"/>
    </font>
    <font>
      <b val="1"/>
      <color rgb="00375623"/>
      <sz val="10"/>
    </font>
    <font>
      <b val="1"/>
      <color rgb="001F3864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7" fontId="5" fillId="4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168" fontId="7" fillId="7" borderId="1" applyAlignment="1" pivotButton="0" quotePrefix="0" xfId="0">
      <alignment horizontal="right" vertical="center"/>
    </xf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Weights Memory vs Parameter Count</a:t>
            </a:r>
          </a:p>
        </rich>
      </tx>
    </title>
    <plotArea>
      <lineChart>
        <grouping val="standard"/>
        <ser>
          <idx val="0"/>
          <order val="0"/>
          <tx>
            <strRef>
              <f>'Parametric Scaling'!C5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Scaling'!$B$6:$B$18</f>
            </numRef>
          </cat>
          <val>
            <numRef>
              <f>'Parametric Scaling'!$C$6:$C$18</f>
            </numRef>
          </val>
        </ser>
        <ser>
          <idx val="1"/>
          <order val="1"/>
          <tx>
            <strRef>
              <f>'Parametric Scaling'!D5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Scaling'!$B$6:$B$18</f>
            </numRef>
          </cat>
          <val>
            <numRef>
              <f>'Parametric Scaling'!$D$6:$D$18</f>
            </numRef>
          </val>
        </ser>
        <ser>
          <idx val="2"/>
          <order val="2"/>
          <tx>
            <strRef>
              <f>'Parametric Scaling'!E5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Scaling'!$B$6:$B$18</f>
            </numRef>
          </cat>
          <val>
            <numRef>
              <f>'Parametric Scaling'!$E$6:$E$18</f>
            </numRef>
          </val>
        </ser>
        <ser>
          <idx val="3"/>
          <order val="3"/>
          <tx>
            <strRef>
              <f>'Parametric Scaling'!F5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Scaling'!$B$6:$B$18</f>
            </numRef>
          </cat>
          <val>
            <numRef>
              <f>'Parametric Scaling'!$F$6:$F$18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Parameters (B)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Weights memory (GB)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KV Cache vs Context Length (batch=1)</a:t>
            </a:r>
          </a:p>
        </rich>
      </tx>
    </title>
    <plotArea>
      <lineChart>
        <grouping val="standard"/>
        <ser>
          <idx val="0"/>
          <order val="0"/>
          <tx>
            <strRef>
              <f>'Parametric Scaling'!K27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Scaling'!$J$28:$J$35</f>
            </numRef>
          </cat>
          <val>
            <numRef>
              <f>'Parametric Scaling'!$K$28:$K$35</f>
            </numRef>
          </val>
        </ser>
        <ser>
          <idx val="1"/>
          <order val="1"/>
          <tx>
            <strRef>
              <f>'Parametric Scaling'!L27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Scaling'!$J$28:$J$35</f>
            </numRef>
          </cat>
          <val>
            <numRef>
              <f>'Parametric Scaling'!$L$28:$L$35</f>
            </numRef>
          </val>
        </ser>
        <ser>
          <idx val="2"/>
          <order val="2"/>
          <tx>
            <strRef>
              <f>'Parametric Scaling'!M27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Scaling'!$J$28:$J$35</f>
            </numRef>
          </cat>
          <val>
            <numRef>
              <f>'Parametric Scaling'!$M$28:$M$35</f>
            </numRef>
          </val>
        </ser>
        <ser>
          <idx val="3"/>
          <order val="3"/>
          <tx>
            <strRef>
              <f>'Parametric Scaling'!N27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Scaling'!$J$28:$J$35</f>
            </numRef>
          </cat>
          <val>
            <numRef>
              <f>'Parametric Scaling'!$N$28:$N$35</f>
            </numRef>
          </val>
        </ser>
        <ser>
          <idx val="4"/>
          <order val="4"/>
          <tx>
            <strRef>
              <f>'Parametric Scaling'!O27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'Parametric Scaling'!$J$28:$J$35</f>
            </numRef>
          </cat>
          <val>
            <numRef>
              <f>'Parametric Scaling'!$O$28:$O$35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Context length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KV cache (GB)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4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0" customWidth="1" min="3" max="3"/>
  </cols>
  <sheetData>
    <row r="2">
      <c r="B2" s="1" t="inlineStr">
        <is>
          <t>README — Methodology &amp; Formulas</t>
        </is>
      </c>
    </row>
    <row r="5">
      <c r="B5" s="2" t="inlineStr">
        <is>
          <t>Purpose</t>
        </is>
      </c>
      <c r="C5" s="3" t="inlineStr">
        <is>
          <t>Quantify how LLM memory footprint scales along two axes: parametric (weights) and KV cache, and how both drive decode-time economics.</t>
        </is>
      </c>
    </row>
    <row r="7">
      <c r="B7" s="2" t="inlineStr">
        <is>
          <t>Three memory regimes</t>
        </is>
      </c>
    </row>
    <row r="8">
      <c r="B8" s="2" t="inlineStr">
        <is>
          <t xml:space="preserve">  1. Parametric (weights)</t>
        </is>
      </c>
      <c r="C8" s="3" t="inlineStr">
        <is>
          <t>Fixed per model. Memory = params x bytes/elem. Scales linearly with param count; precision sets the slope (FP16=2B, FP8=1B, INT4=0.5B).</t>
        </is>
      </c>
    </row>
    <row r="9">
      <c r="B9" s="2" t="inlineStr">
        <is>
          <t xml:space="preserve">  2. KV cache</t>
        </is>
      </c>
      <c r="C9" s="3" t="inlineStr">
        <is>
          <t>Grows at run time. Bytes = 2 x layers x kv_heads x head_dim x seq_len x batch x kv_bytes. Linear in context length AND batch size.</t>
        </is>
      </c>
    </row>
    <row r="10">
      <c r="B10" s="2" t="inlineStr">
        <is>
          <t xml:space="preserve">  3. Decode</t>
        </is>
      </c>
      <c r="C10" s="3" t="inlineStr">
        <is>
          <t>Autoregressive generation reads weights + KV cache from HBM every token → memory-bandwidth bound. Step time ≈ (weights+KV)/BW.</t>
        </is>
      </c>
    </row>
    <row r="12">
      <c r="B12" s="2" t="inlineStr">
        <is>
          <t>Key formulas</t>
        </is>
      </c>
    </row>
    <row r="13">
      <c r="B13" s="2" t="inlineStr">
        <is>
          <t xml:space="preserve">  Weights (GB)</t>
        </is>
      </c>
      <c r="C13" s="3" t="inlineStr">
        <is>
          <t>params_B x bytes_per_elem   (since params_B x 1e9 x bytes / 1e9 = params_B x bytes)</t>
        </is>
      </c>
    </row>
    <row r="14">
      <c r="B14" s="2" t="inlineStr">
        <is>
          <t xml:space="preserve">  KV / token (KB)</t>
        </is>
      </c>
      <c r="C14" s="3" t="inlineStr">
        <is>
          <t>2 x layers x kv_heads x head_dim x kv_bytes / 1024</t>
        </is>
      </c>
    </row>
    <row r="15">
      <c r="B15" s="2" t="inlineStr">
        <is>
          <t xml:space="preserve">  KV total (GB)</t>
        </is>
      </c>
      <c r="C15" s="3" t="inlineStr">
        <is>
          <t>(KV_per_token_KB x 1024) x seq_len x batch / 1e9</t>
        </is>
      </c>
    </row>
    <row r="16">
      <c r="B16" s="2" t="inlineStr">
        <is>
          <t xml:space="preserve">  Decode step (ms)</t>
        </is>
      </c>
      <c r="C16" s="3" t="inlineStr">
        <is>
          <t>(weights_GB + KV_GB) / mem_BW_TBps          [GB/1e9 ÷ TB/1e12 x1000 = GB/TBps]</t>
        </is>
      </c>
    </row>
    <row r="17">
      <c r="B17" s="2" t="inlineStr">
        <is>
          <t xml:space="preserve">  Throughput (tok/s)</t>
        </is>
      </c>
      <c r="C17" s="3" t="inlineStr">
        <is>
          <t>1000 / decode_step_ms   (single stream, BW-bound upper bound)</t>
        </is>
      </c>
    </row>
    <row r="19">
      <c r="B19" s="2" t="inlineStr">
        <is>
          <t>Why GQA matters</t>
        </is>
      </c>
      <c r="C19" s="3" t="inlineStr">
        <is>
          <t>Grouped-Query Attention slashes kv_heads (e.g. 64→8), cutting KV cache 8x vs multi-head attention. This is why modern long-context models are viable.</t>
        </is>
      </c>
    </row>
    <row r="21">
      <c r="B21" s="2" t="inlineStr">
        <is>
          <t>Caveats</t>
        </is>
      </c>
      <c r="C21" s="3" t="inlineStr">
        <is>
          <t>Estimates ignore compute-bound prefill, kernel/MFU inefficiency, PagedAttention fragmentation, and batching amortization. Treat throughput as an optimistic ceiling.</t>
        </is>
      </c>
    </row>
    <row r="23">
      <c r="B23" s="2" t="inlineStr">
        <is>
          <t>How to use</t>
        </is>
      </c>
      <c r="C23" s="3" t="inlineStr">
        <is>
          <t>Edit yellow cells on Assumptions (precision, batch, overhead, GPU) and F5 on Decode Economics (context). All tabs recompute live.</t>
        </is>
      </c>
    </row>
    <row r="25">
      <c r="B25" s="2" t="inlineStr">
        <is>
          <t>Tabs</t>
        </is>
      </c>
      <c r="C25" s="3" t="inlineStr">
        <is>
          <t>Assumptions · Models · Weights Memory · KV Cache Scaling · Decode Economics · Parametric Scaling (charts) · README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14" customWidth="1" min="4" max="4"/>
    <col width="16" customWidth="1" min="5" max="5"/>
    <col width="34" customWidth="1" min="6" max="6"/>
  </cols>
  <sheetData>
    <row r="2">
      <c r="B2" s="1" t="inlineStr">
        <is>
          <t>LLM Parametric vs Memory Scaling — Assumptions</t>
        </is>
      </c>
    </row>
    <row r="3">
      <c r="B3" s="4" t="inlineStr">
        <is>
          <t>Yellow cells are editable inputs. Every other tab references these values via live formulas.</t>
        </is>
      </c>
    </row>
    <row r="5">
      <c r="B5" s="5" t="inlineStr">
        <is>
          <t>Numeric precision (bytes per element)</t>
        </is>
      </c>
    </row>
    <row r="6">
      <c r="B6" s="6" t="inlineStr">
        <is>
          <t>Precision</t>
        </is>
      </c>
      <c r="C6" s="6" t="inlineStr">
        <is>
          <t>Bytes/elem</t>
        </is>
      </c>
      <c r="D6" s="6" t="inlineStr">
        <is>
          <t>Notes</t>
        </is>
      </c>
    </row>
    <row r="7">
      <c r="B7" s="7" t="inlineStr">
        <is>
          <t>FP32</t>
        </is>
      </c>
      <c r="C7" s="8" t="n">
        <v>4</v>
      </c>
      <c r="D7" s="7" t="inlineStr">
        <is>
          <t>Full precision (training / reference)</t>
        </is>
      </c>
    </row>
    <row r="8">
      <c r="B8" s="7" t="inlineStr">
        <is>
          <t>FP16 / BF16</t>
        </is>
      </c>
      <c r="C8" s="8" t="n">
        <v>2</v>
      </c>
      <c r="D8" s="7" t="inlineStr">
        <is>
          <t>Standard inference precision</t>
        </is>
      </c>
    </row>
    <row r="9">
      <c r="B9" s="7" t="inlineStr">
        <is>
          <t>FP8</t>
        </is>
      </c>
      <c r="C9" s="8" t="n">
        <v>1</v>
      </c>
      <c r="D9" s="7" t="inlineStr">
        <is>
          <t>Hopper/Blackwell native; frontier inference</t>
        </is>
      </c>
    </row>
    <row r="10">
      <c r="B10" s="7" t="inlineStr">
        <is>
          <t>INT4 / NF4</t>
        </is>
      </c>
      <c r="C10" s="8" t="n">
        <v>0.5</v>
      </c>
      <c r="D10" s="7" t="inlineStr">
        <is>
          <t>Aggressive weight-only quantization</t>
        </is>
      </c>
    </row>
    <row r="13">
      <c r="B13" s="5" t="inlineStr">
        <is>
          <t>Default serving assumptions</t>
        </is>
      </c>
    </row>
    <row r="14">
      <c r="B14" s="7" t="inlineStr">
        <is>
          <t>Weight precision bytes/elem</t>
        </is>
      </c>
      <c r="D14" s="8" t="n">
        <v>2</v>
      </c>
      <c r="E14" s="7" t="inlineStr">
        <is>
          <t>Default = FP16/BF16</t>
        </is>
      </c>
    </row>
    <row r="15">
      <c r="B15" s="7" t="inlineStr">
        <is>
          <t>KV cache precision bytes/elem</t>
        </is>
      </c>
      <c r="D15" s="8" t="n">
        <v>2</v>
      </c>
      <c r="E15" s="7" t="inlineStr">
        <is>
          <t>Default = FP16 KV</t>
        </is>
      </c>
    </row>
    <row r="16">
      <c r="B16" s="7" t="inlineStr">
        <is>
          <t>Batch size (concurrent seqs)</t>
        </is>
      </c>
      <c r="D16" s="8" t="n">
        <v>1</v>
      </c>
      <c r="E16" s="7" t="inlineStr">
        <is>
          <t>Concurrent sequences served</t>
        </is>
      </c>
    </row>
    <row r="17">
      <c r="B17" s="7" t="inlineStr">
        <is>
          <t>Weights overhead factor</t>
        </is>
      </c>
      <c r="D17" s="8" t="n">
        <v>1.15</v>
      </c>
      <c r="E17" s="7" t="inlineStr">
        <is>
          <t>CUDA ctx, fragmentation, buffers</t>
        </is>
      </c>
    </row>
    <row r="18">
      <c r="B18" s="7" t="inlineStr">
        <is>
          <t>Activation / runtime overhead</t>
        </is>
      </c>
      <c r="D18" s="8" t="n">
        <v>1.1</v>
      </c>
      <c r="E18" s="7" t="inlineStr">
        <is>
          <t>Applied on top of weights+KV</t>
        </is>
      </c>
    </row>
    <row r="19">
      <c r="B19" s="7" t="inlineStr">
        <is>
          <t>Selected GPU (row # below)</t>
        </is>
      </c>
      <c r="D19" s="8" t="n">
        <v>2</v>
      </c>
      <c r="E19" s="7" t="inlineStr">
        <is>
          <t>Pick GPU for Decode tab (1-5)</t>
        </is>
      </c>
    </row>
    <row r="22">
      <c r="B22" s="5" t="inlineStr">
        <is>
          <t>Accelerator specifications</t>
        </is>
      </c>
    </row>
    <row r="23">
      <c r="B23" s="6" t="inlineStr">
        <is>
          <t>#</t>
        </is>
      </c>
      <c r="C23" s="6" t="inlineStr">
        <is>
          <t>Accelerator</t>
        </is>
      </c>
      <c r="D23" s="6" t="inlineStr">
        <is>
          <t>HBM (GB)</t>
        </is>
      </c>
      <c r="E23" s="6" t="inlineStr">
        <is>
          <t>Mem BW (TB/s)</t>
        </is>
      </c>
      <c r="F23" s="6" t="inlineStr">
        <is>
          <t>Notes</t>
        </is>
      </c>
    </row>
    <row r="24">
      <c r="B24" s="9" t="n">
        <v>1</v>
      </c>
      <c r="C24" s="7" t="inlineStr">
        <is>
          <t>NVIDIA A100 80GB</t>
        </is>
      </c>
      <c r="D24" s="10" t="n">
        <v>80</v>
      </c>
      <c r="E24" s="8" t="n">
        <v>2.04</v>
      </c>
      <c r="F24" s="7" t="inlineStr">
        <is>
          <t>Ampere, HBM2e</t>
        </is>
      </c>
    </row>
    <row r="25">
      <c r="B25" s="9" t="n">
        <v>2</v>
      </c>
      <c r="C25" s="7" t="inlineStr">
        <is>
          <t>NVIDIA H100 SXM</t>
        </is>
      </c>
      <c r="D25" s="10" t="n">
        <v>80</v>
      </c>
      <c r="E25" s="8" t="n">
        <v>3.35</v>
      </c>
      <c r="F25" s="7" t="inlineStr">
        <is>
          <t>Hopper, HBM3</t>
        </is>
      </c>
    </row>
    <row r="26">
      <c r="B26" s="9" t="n">
        <v>3</v>
      </c>
      <c r="C26" s="7" t="inlineStr">
        <is>
          <t>NVIDIA H200</t>
        </is>
      </c>
      <c r="D26" s="10" t="n">
        <v>141</v>
      </c>
      <c r="E26" s="8" t="n">
        <v>4.8</v>
      </c>
      <c r="F26" s="7" t="inlineStr">
        <is>
          <t>Hopper, HBM3e</t>
        </is>
      </c>
    </row>
    <row r="27">
      <c r="B27" s="9" t="n">
        <v>4</v>
      </c>
      <c r="C27" s="7" t="inlineStr">
        <is>
          <t>NVIDIA B200</t>
        </is>
      </c>
      <c r="D27" s="10" t="n">
        <v>192</v>
      </c>
      <c r="E27" s="8" t="n">
        <v>8</v>
      </c>
      <c r="F27" s="7" t="inlineStr">
        <is>
          <t>Blackwell, HBM3e</t>
        </is>
      </c>
    </row>
    <row r="28">
      <c r="B28" s="9" t="n">
        <v>5</v>
      </c>
      <c r="C28" s="7" t="inlineStr">
        <is>
          <t>AMD MI300X</t>
        </is>
      </c>
      <c r="D28" s="10" t="n">
        <v>192</v>
      </c>
      <c r="E28" s="8" t="n">
        <v>5.3</v>
      </c>
      <c r="F28" s="7" t="inlineStr">
        <is>
          <t>CDNA3, HBM3</t>
        </is>
      </c>
    </row>
    <row r="31">
      <c r="B31" s="11" t="inlineStr">
        <is>
          <t>Selected GPU (from row # above)</t>
        </is>
      </c>
    </row>
    <row r="32">
      <c r="B32" s="7" t="inlineStr">
        <is>
          <t>Name</t>
        </is>
      </c>
      <c r="D32" s="12">
        <f>INDEX($C$24:$C$28,Assumptions!$D$19)</f>
        <v/>
      </c>
    </row>
    <row r="33">
      <c r="B33" s="7" t="inlineStr">
        <is>
          <t>HBM (GB)</t>
        </is>
      </c>
      <c r="D33" s="13">
        <f>INDEX($D$24:$D$28,Assumptions!$D$19)</f>
        <v/>
      </c>
    </row>
    <row r="34">
      <c r="B34" s="7" t="inlineStr">
        <is>
          <t>Mem BW (TB/s)</t>
        </is>
      </c>
      <c r="D34" s="14">
        <f>INDEX($E$24:$E$28,Assumptions!$D$19)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1" customWidth="1" min="3" max="3"/>
    <col width="8" customWidth="1" min="4" max="4"/>
    <col width="9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</cols>
  <sheetData>
    <row r="2">
      <c r="B2" s="1" t="inlineStr">
        <is>
          <t>Model Architectures</t>
        </is>
      </c>
    </row>
    <row r="3">
      <c r="B3" s="4" t="inlineStr">
        <is>
          <t>Public / reported configurations. KV cache scales with (layers x kv_heads x head_dim); weights scale with total parameters.</t>
        </is>
      </c>
    </row>
    <row r="5">
      <c r="B5" s="15" t="inlineStr">
        <is>
          <t>Model</t>
        </is>
      </c>
      <c r="C5" s="15" t="inlineStr">
        <is>
          <t>Params (B)</t>
        </is>
      </c>
      <c r="D5" s="15" t="inlineStr">
        <is>
          <t>Layers</t>
        </is>
      </c>
      <c r="E5" s="15" t="inlineStr">
        <is>
          <t>Hidden</t>
        </is>
      </c>
      <c r="F5" s="15" t="inlineStr">
        <is>
          <t>Attn heads</t>
        </is>
      </c>
      <c r="G5" s="15" t="inlineStr">
        <is>
          <t>KV heads</t>
        </is>
      </c>
      <c r="H5" s="15" t="inlineStr">
        <is>
          <t>Head dim</t>
        </is>
      </c>
      <c r="I5" s="15" t="inlineStr">
        <is>
          <t>Vocab</t>
        </is>
      </c>
      <c r="J5" s="15" t="inlineStr">
        <is>
          <t>Max ctx (K)</t>
        </is>
      </c>
      <c r="K5" s="15" t="inlineStr">
        <is>
          <t>Attn type</t>
        </is>
      </c>
    </row>
    <row r="6">
      <c r="B6" s="16" t="inlineStr">
        <is>
          <t>Llama-3.2-1B</t>
        </is>
      </c>
      <c r="C6" s="17" t="n">
        <v>1.24</v>
      </c>
      <c r="D6" s="18" t="n">
        <v>16</v>
      </c>
      <c r="E6" s="18" t="n">
        <v>2048</v>
      </c>
      <c r="F6" s="18" t="n">
        <v>32</v>
      </c>
      <c r="G6" s="18" t="n">
        <v>8</v>
      </c>
      <c r="H6" s="18" t="n">
        <v>64</v>
      </c>
      <c r="I6" s="18" t="n">
        <v>128256</v>
      </c>
      <c r="J6" s="18" t="n">
        <v>128</v>
      </c>
      <c r="K6" s="19" t="inlineStr">
        <is>
          <t>GQA</t>
        </is>
      </c>
    </row>
    <row r="7">
      <c r="B7" s="20" t="inlineStr">
        <is>
          <t>Llama-3.2-3B</t>
        </is>
      </c>
      <c r="C7" s="21" t="n">
        <v>3.21</v>
      </c>
      <c r="D7" s="22" t="n">
        <v>28</v>
      </c>
      <c r="E7" s="22" t="n">
        <v>3072</v>
      </c>
      <c r="F7" s="22" t="n">
        <v>24</v>
      </c>
      <c r="G7" s="22" t="n">
        <v>8</v>
      </c>
      <c r="H7" s="22" t="n">
        <v>128</v>
      </c>
      <c r="I7" s="22" t="n">
        <v>128256</v>
      </c>
      <c r="J7" s="22" t="n">
        <v>128</v>
      </c>
      <c r="K7" s="23" t="inlineStr">
        <is>
          <t>GQA</t>
        </is>
      </c>
    </row>
    <row r="8">
      <c r="B8" s="16" t="inlineStr">
        <is>
          <t>Llama-3.1-8B</t>
        </is>
      </c>
      <c r="C8" s="17" t="n">
        <v>8.029999999999999</v>
      </c>
      <c r="D8" s="18" t="n">
        <v>32</v>
      </c>
      <c r="E8" s="18" t="n">
        <v>4096</v>
      </c>
      <c r="F8" s="18" t="n">
        <v>32</v>
      </c>
      <c r="G8" s="18" t="n">
        <v>8</v>
      </c>
      <c r="H8" s="18" t="n">
        <v>128</v>
      </c>
      <c r="I8" s="18" t="n">
        <v>128256</v>
      </c>
      <c r="J8" s="18" t="n">
        <v>128</v>
      </c>
      <c r="K8" s="19" t="inlineStr">
        <is>
          <t>GQA</t>
        </is>
      </c>
    </row>
    <row r="9">
      <c r="B9" s="20" t="inlineStr">
        <is>
          <t>Llama-2-7B</t>
        </is>
      </c>
      <c r="C9" s="21" t="n">
        <v>6.74</v>
      </c>
      <c r="D9" s="22" t="n">
        <v>32</v>
      </c>
      <c r="E9" s="22" t="n">
        <v>4096</v>
      </c>
      <c r="F9" s="22" t="n">
        <v>32</v>
      </c>
      <c r="G9" s="22" t="n">
        <v>32</v>
      </c>
      <c r="H9" s="22" t="n">
        <v>128</v>
      </c>
      <c r="I9" s="22" t="n">
        <v>32000</v>
      </c>
      <c r="J9" s="22" t="n">
        <v>4</v>
      </c>
      <c r="K9" s="23" t="inlineStr">
        <is>
          <t>MHA</t>
        </is>
      </c>
    </row>
    <row r="10">
      <c r="B10" s="16" t="inlineStr">
        <is>
          <t>Mistral-7B v0.3</t>
        </is>
      </c>
      <c r="C10" s="17" t="n">
        <v>7.25</v>
      </c>
      <c r="D10" s="18" t="n">
        <v>32</v>
      </c>
      <c r="E10" s="18" t="n">
        <v>4096</v>
      </c>
      <c r="F10" s="18" t="n">
        <v>32</v>
      </c>
      <c r="G10" s="18" t="n">
        <v>8</v>
      </c>
      <c r="H10" s="18" t="n">
        <v>128</v>
      </c>
      <c r="I10" s="18" t="n">
        <v>32768</v>
      </c>
      <c r="J10" s="18" t="n">
        <v>32</v>
      </c>
      <c r="K10" s="19" t="inlineStr">
        <is>
          <t>GQA</t>
        </is>
      </c>
    </row>
    <row r="11">
      <c r="B11" s="20" t="inlineStr">
        <is>
          <t>Qwen2.5-7B</t>
        </is>
      </c>
      <c r="C11" s="21" t="n">
        <v>7.62</v>
      </c>
      <c r="D11" s="22" t="n">
        <v>28</v>
      </c>
      <c r="E11" s="22" t="n">
        <v>3584</v>
      </c>
      <c r="F11" s="22" t="n">
        <v>28</v>
      </c>
      <c r="G11" s="22" t="n">
        <v>4</v>
      </c>
      <c r="H11" s="22" t="n">
        <v>128</v>
      </c>
      <c r="I11" s="22" t="n">
        <v>152064</v>
      </c>
      <c r="J11" s="22" t="n">
        <v>128</v>
      </c>
      <c r="K11" s="23" t="inlineStr">
        <is>
          <t>GQA</t>
        </is>
      </c>
    </row>
    <row r="12">
      <c r="B12" s="16" t="inlineStr">
        <is>
          <t>Gemma-2-9B</t>
        </is>
      </c>
      <c r="C12" s="17" t="n">
        <v>9.24</v>
      </c>
      <c r="D12" s="18" t="n">
        <v>42</v>
      </c>
      <c r="E12" s="18" t="n">
        <v>3584</v>
      </c>
      <c r="F12" s="18" t="n">
        <v>16</v>
      </c>
      <c r="G12" s="18" t="n">
        <v>8</v>
      </c>
      <c r="H12" s="18" t="n">
        <v>256</v>
      </c>
      <c r="I12" s="18" t="n">
        <v>256128</v>
      </c>
      <c r="J12" s="18" t="n">
        <v>8</v>
      </c>
      <c r="K12" s="19" t="inlineStr">
        <is>
          <t>GQA</t>
        </is>
      </c>
    </row>
    <row r="13">
      <c r="B13" s="20" t="inlineStr">
        <is>
          <t>Gemma-2-27B</t>
        </is>
      </c>
      <c r="C13" s="21" t="n">
        <v>27.2</v>
      </c>
      <c r="D13" s="22" t="n">
        <v>46</v>
      </c>
      <c r="E13" s="22" t="n">
        <v>4608</v>
      </c>
      <c r="F13" s="22" t="n">
        <v>32</v>
      </c>
      <c r="G13" s="22" t="n">
        <v>16</v>
      </c>
      <c r="H13" s="22" t="n">
        <v>128</v>
      </c>
      <c r="I13" s="22" t="n">
        <v>256128</v>
      </c>
      <c r="J13" s="22" t="n">
        <v>8</v>
      </c>
      <c r="K13" s="23" t="inlineStr">
        <is>
          <t>GQA</t>
        </is>
      </c>
    </row>
    <row r="14">
      <c r="B14" s="16" t="inlineStr">
        <is>
          <t>Llama-2-70B</t>
        </is>
      </c>
      <c r="C14" s="17" t="n">
        <v>68.90000000000001</v>
      </c>
      <c r="D14" s="18" t="n">
        <v>80</v>
      </c>
      <c r="E14" s="18" t="n">
        <v>8192</v>
      </c>
      <c r="F14" s="18" t="n">
        <v>64</v>
      </c>
      <c r="G14" s="18" t="n">
        <v>8</v>
      </c>
      <c r="H14" s="18" t="n">
        <v>128</v>
      </c>
      <c r="I14" s="18" t="n">
        <v>32000</v>
      </c>
      <c r="J14" s="18" t="n">
        <v>4</v>
      </c>
      <c r="K14" s="19" t="inlineStr">
        <is>
          <t>GQA</t>
        </is>
      </c>
    </row>
    <row r="15">
      <c r="B15" s="20" t="inlineStr">
        <is>
          <t>Qwen2.5-72B</t>
        </is>
      </c>
      <c r="C15" s="21" t="n">
        <v>72.7</v>
      </c>
      <c r="D15" s="22" t="n">
        <v>80</v>
      </c>
      <c r="E15" s="22" t="n">
        <v>8192</v>
      </c>
      <c r="F15" s="22" t="n">
        <v>64</v>
      </c>
      <c r="G15" s="22" t="n">
        <v>8</v>
      </c>
      <c r="H15" s="22" t="n">
        <v>128</v>
      </c>
      <c r="I15" s="22" t="n">
        <v>152064</v>
      </c>
      <c r="J15" s="22" t="n">
        <v>128</v>
      </c>
      <c r="K15" s="23" t="inlineStr">
        <is>
          <t>GQA</t>
        </is>
      </c>
    </row>
    <row r="16">
      <c r="B16" s="16" t="inlineStr">
        <is>
          <t>Llama-3.1-70B</t>
        </is>
      </c>
      <c r="C16" s="17" t="n">
        <v>70.59999999999999</v>
      </c>
      <c r="D16" s="18" t="n">
        <v>80</v>
      </c>
      <c r="E16" s="18" t="n">
        <v>8192</v>
      </c>
      <c r="F16" s="18" t="n">
        <v>64</v>
      </c>
      <c r="G16" s="18" t="n">
        <v>8</v>
      </c>
      <c r="H16" s="18" t="n">
        <v>128</v>
      </c>
      <c r="I16" s="18" t="n">
        <v>128256</v>
      </c>
      <c r="J16" s="18" t="n">
        <v>128</v>
      </c>
      <c r="K16" s="19" t="inlineStr">
        <is>
          <t>GQA</t>
        </is>
      </c>
    </row>
    <row r="17">
      <c r="B17" s="20" t="inlineStr">
        <is>
          <t>GPT-3 175B</t>
        </is>
      </c>
      <c r="C17" s="21" t="n">
        <v>175</v>
      </c>
      <c r="D17" s="22" t="n">
        <v>96</v>
      </c>
      <c r="E17" s="22" t="n">
        <v>12288</v>
      </c>
      <c r="F17" s="22" t="n">
        <v>96</v>
      </c>
      <c r="G17" s="22" t="n">
        <v>96</v>
      </c>
      <c r="H17" s="22" t="n">
        <v>128</v>
      </c>
      <c r="I17" s="22" t="n">
        <v>50257</v>
      </c>
      <c r="J17" s="22" t="n">
        <v>2</v>
      </c>
      <c r="K17" s="23" t="inlineStr">
        <is>
          <t>MHA</t>
        </is>
      </c>
    </row>
    <row r="18">
      <c r="B18" s="16" t="inlineStr">
        <is>
          <t>Llama-3.1-405B</t>
        </is>
      </c>
      <c r="C18" s="17" t="n">
        <v>405</v>
      </c>
      <c r="D18" s="18" t="n">
        <v>126</v>
      </c>
      <c r="E18" s="18" t="n">
        <v>16384</v>
      </c>
      <c r="F18" s="18" t="n">
        <v>128</v>
      </c>
      <c r="G18" s="18" t="n">
        <v>8</v>
      </c>
      <c r="H18" s="18" t="n">
        <v>128</v>
      </c>
      <c r="I18" s="18" t="n">
        <v>128256</v>
      </c>
      <c r="J18" s="18" t="n">
        <v>128</v>
      </c>
      <c r="K18" s="19" t="inlineStr">
        <is>
          <t>GQA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1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5" customWidth="1" min="9" max="9"/>
  </cols>
  <sheetData>
    <row r="2">
      <c r="B2" s="1" t="inlineStr">
        <is>
          <t>Parametric (Weights) Memory</t>
        </is>
      </c>
    </row>
    <row r="3">
      <c r="B3" s="4" t="inlineStr">
        <is>
          <t>Weights memory = params x bytes/elem x overhead. Overhead applied per Assumptions. GB = 1e9 bytes.</t>
        </is>
      </c>
    </row>
    <row r="5">
      <c r="B5" s="15" t="inlineStr">
        <is>
          <t>Model</t>
        </is>
      </c>
      <c r="C5" s="15" t="inlineStr">
        <is>
          <t>Params (B)</t>
        </is>
      </c>
      <c r="D5" s="15" t="inlineStr">
        <is>
          <t>FP16 (GB)</t>
        </is>
      </c>
      <c r="E5" s="15" t="inlineStr">
        <is>
          <t>FP8 (GB)</t>
        </is>
      </c>
      <c r="F5" s="15" t="inlineStr">
        <is>
          <t>INT4 (GB)</t>
        </is>
      </c>
      <c r="G5" s="15" t="inlineStr">
        <is>
          <t>FP16 + overhead</t>
        </is>
      </c>
      <c r="H5" s="15" t="inlineStr">
        <is>
          <t># H200 (141GB)</t>
        </is>
      </c>
      <c r="I5" s="15" t="inlineStr">
        <is>
          <t># B200 (192GB)</t>
        </is>
      </c>
    </row>
    <row r="6">
      <c r="B6" s="16">
        <f>Models!$B$6</f>
        <v/>
      </c>
      <c r="C6" s="17">
        <f>Models!$C$6</f>
        <v/>
      </c>
      <c r="D6" s="24">
        <f>C6*Assumptions!$C$8</f>
        <v/>
      </c>
      <c r="E6" s="24">
        <f>C6*Assumptions!$C$9</f>
        <v/>
      </c>
      <c r="F6" s="24">
        <f>C6*Assumptions!$C$10</f>
        <v/>
      </c>
      <c r="G6" s="25">
        <f>D6*Assumptions!$D$17</f>
        <v/>
      </c>
      <c r="H6" s="18">
        <f>CEILING(G6/141,1)</f>
        <v/>
      </c>
      <c r="I6" s="18">
        <f>CEILING(G6/192,1)</f>
        <v/>
      </c>
    </row>
    <row r="7">
      <c r="B7" s="20">
        <f>Models!$B$7</f>
        <v/>
      </c>
      <c r="C7" s="21">
        <f>Models!$C$7</f>
        <v/>
      </c>
      <c r="D7" s="26">
        <f>C7*Assumptions!$C$8</f>
        <v/>
      </c>
      <c r="E7" s="26">
        <f>C7*Assumptions!$C$9</f>
        <v/>
      </c>
      <c r="F7" s="26">
        <f>C7*Assumptions!$C$10</f>
        <v/>
      </c>
      <c r="G7" s="27">
        <f>D7*Assumptions!$D$17</f>
        <v/>
      </c>
      <c r="H7" s="22">
        <f>CEILING(G7/141,1)</f>
        <v/>
      </c>
      <c r="I7" s="22">
        <f>CEILING(G7/192,1)</f>
        <v/>
      </c>
    </row>
    <row r="8">
      <c r="B8" s="16">
        <f>Models!$B$8</f>
        <v/>
      </c>
      <c r="C8" s="17">
        <f>Models!$C$8</f>
        <v/>
      </c>
      <c r="D8" s="24">
        <f>C8*Assumptions!$C$8</f>
        <v/>
      </c>
      <c r="E8" s="24">
        <f>C8*Assumptions!$C$9</f>
        <v/>
      </c>
      <c r="F8" s="24">
        <f>C8*Assumptions!$C$10</f>
        <v/>
      </c>
      <c r="G8" s="25">
        <f>D8*Assumptions!$D$17</f>
        <v/>
      </c>
      <c r="H8" s="18">
        <f>CEILING(G8/141,1)</f>
        <v/>
      </c>
      <c r="I8" s="18">
        <f>CEILING(G8/192,1)</f>
        <v/>
      </c>
    </row>
    <row r="9">
      <c r="B9" s="20">
        <f>Models!$B$9</f>
        <v/>
      </c>
      <c r="C9" s="21">
        <f>Models!$C$9</f>
        <v/>
      </c>
      <c r="D9" s="26">
        <f>C9*Assumptions!$C$8</f>
        <v/>
      </c>
      <c r="E9" s="26">
        <f>C9*Assumptions!$C$9</f>
        <v/>
      </c>
      <c r="F9" s="26">
        <f>C9*Assumptions!$C$10</f>
        <v/>
      </c>
      <c r="G9" s="27">
        <f>D9*Assumptions!$D$17</f>
        <v/>
      </c>
      <c r="H9" s="22">
        <f>CEILING(G9/141,1)</f>
        <v/>
      </c>
      <c r="I9" s="22">
        <f>CEILING(G9/192,1)</f>
        <v/>
      </c>
    </row>
    <row r="10">
      <c r="B10" s="16">
        <f>Models!$B$10</f>
        <v/>
      </c>
      <c r="C10" s="17">
        <f>Models!$C$10</f>
        <v/>
      </c>
      <c r="D10" s="24">
        <f>C10*Assumptions!$C$8</f>
        <v/>
      </c>
      <c r="E10" s="24">
        <f>C10*Assumptions!$C$9</f>
        <v/>
      </c>
      <c r="F10" s="24">
        <f>C10*Assumptions!$C$10</f>
        <v/>
      </c>
      <c r="G10" s="25">
        <f>D10*Assumptions!$D$17</f>
        <v/>
      </c>
      <c r="H10" s="18">
        <f>CEILING(G10/141,1)</f>
        <v/>
      </c>
      <c r="I10" s="18">
        <f>CEILING(G10/192,1)</f>
        <v/>
      </c>
    </row>
    <row r="11">
      <c r="B11" s="20">
        <f>Models!$B$11</f>
        <v/>
      </c>
      <c r="C11" s="21">
        <f>Models!$C$11</f>
        <v/>
      </c>
      <c r="D11" s="26">
        <f>C11*Assumptions!$C$8</f>
        <v/>
      </c>
      <c r="E11" s="26">
        <f>C11*Assumptions!$C$9</f>
        <v/>
      </c>
      <c r="F11" s="26">
        <f>C11*Assumptions!$C$10</f>
        <v/>
      </c>
      <c r="G11" s="27">
        <f>D11*Assumptions!$D$17</f>
        <v/>
      </c>
      <c r="H11" s="22">
        <f>CEILING(G11/141,1)</f>
        <v/>
      </c>
      <c r="I11" s="22">
        <f>CEILING(G11/192,1)</f>
        <v/>
      </c>
    </row>
    <row r="12">
      <c r="B12" s="16">
        <f>Models!$B$12</f>
        <v/>
      </c>
      <c r="C12" s="17">
        <f>Models!$C$12</f>
        <v/>
      </c>
      <c r="D12" s="24">
        <f>C12*Assumptions!$C$8</f>
        <v/>
      </c>
      <c r="E12" s="24">
        <f>C12*Assumptions!$C$9</f>
        <v/>
      </c>
      <c r="F12" s="24">
        <f>C12*Assumptions!$C$10</f>
        <v/>
      </c>
      <c r="G12" s="25">
        <f>D12*Assumptions!$D$17</f>
        <v/>
      </c>
      <c r="H12" s="18">
        <f>CEILING(G12/141,1)</f>
        <v/>
      </c>
      <c r="I12" s="18">
        <f>CEILING(G12/192,1)</f>
        <v/>
      </c>
    </row>
    <row r="13">
      <c r="B13" s="20">
        <f>Models!$B$13</f>
        <v/>
      </c>
      <c r="C13" s="21">
        <f>Models!$C$13</f>
        <v/>
      </c>
      <c r="D13" s="26">
        <f>C13*Assumptions!$C$8</f>
        <v/>
      </c>
      <c r="E13" s="26">
        <f>C13*Assumptions!$C$9</f>
        <v/>
      </c>
      <c r="F13" s="26">
        <f>C13*Assumptions!$C$10</f>
        <v/>
      </c>
      <c r="G13" s="27">
        <f>D13*Assumptions!$D$17</f>
        <v/>
      </c>
      <c r="H13" s="22">
        <f>CEILING(G13/141,1)</f>
        <v/>
      </c>
      <c r="I13" s="22">
        <f>CEILING(G13/192,1)</f>
        <v/>
      </c>
    </row>
    <row r="14">
      <c r="B14" s="16">
        <f>Models!$B$14</f>
        <v/>
      </c>
      <c r="C14" s="17">
        <f>Models!$C$14</f>
        <v/>
      </c>
      <c r="D14" s="24">
        <f>C14*Assumptions!$C$8</f>
        <v/>
      </c>
      <c r="E14" s="24">
        <f>C14*Assumptions!$C$9</f>
        <v/>
      </c>
      <c r="F14" s="24">
        <f>C14*Assumptions!$C$10</f>
        <v/>
      </c>
      <c r="G14" s="25">
        <f>D14*Assumptions!$D$17</f>
        <v/>
      </c>
      <c r="H14" s="18">
        <f>CEILING(G14/141,1)</f>
        <v/>
      </c>
      <c r="I14" s="18">
        <f>CEILING(G14/192,1)</f>
        <v/>
      </c>
    </row>
    <row r="15">
      <c r="B15" s="20">
        <f>Models!$B$15</f>
        <v/>
      </c>
      <c r="C15" s="21">
        <f>Models!$C$15</f>
        <v/>
      </c>
      <c r="D15" s="26">
        <f>C15*Assumptions!$C$8</f>
        <v/>
      </c>
      <c r="E15" s="26">
        <f>C15*Assumptions!$C$9</f>
        <v/>
      </c>
      <c r="F15" s="26">
        <f>C15*Assumptions!$C$10</f>
        <v/>
      </c>
      <c r="G15" s="27">
        <f>D15*Assumptions!$D$17</f>
        <v/>
      </c>
      <c r="H15" s="22">
        <f>CEILING(G15/141,1)</f>
        <v/>
      </c>
      <c r="I15" s="22">
        <f>CEILING(G15/192,1)</f>
        <v/>
      </c>
    </row>
    <row r="16">
      <c r="B16" s="16">
        <f>Models!$B$16</f>
        <v/>
      </c>
      <c r="C16" s="17">
        <f>Models!$C$16</f>
        <v/>
      </c>
      <c r="D16" s="24">
        <f>C16*Assumptions!$C$8</f>
        <v/>
      </c>
      <c r="E16" s="24">
        <f>C16*Assumptions!$C$9</f>
        <v/>
      </c>
      <c r="F16" s="24">
        <f>C16*Assumptions!$C$10</f>
        <v/>
      </c>
      <c r="G16" s="25">
        <f>D16*Assumptions!$D$17</f>
        <v/>
      </c>
      <c r="H16" s="18">
        <f>CEILING(G16/141,1)</f>
        <v/>
      </c>
      <c r="I16" s="18">
        <f>CEILING(G16/192,1)</f>
        <v/>
      </c>
    </row>
    <row r="17">
      <c r="B17" s="20">
        <f>Models!$B$17</f>
        <v/>
      </c>
      <c r="C17" s="21">
        <f>Models!$C$17</f>
        <v/>
      </c>
      <c r="D17" s="26">
        <f>C17*Assumptions!$C$8</f>
        <v/>
      </c>
      <c r="E17" s="26">
        <f>C17*Assumptions!$C$9</f>
        <v/>
      </c>
      <c r="F17" s="26">
        <f>C17*Assumptions!$C$10</f>
        <v/>
      </c>
      <c r="G17" s="27">
        <f>D17*Assumptions!$D$17</f>
        <v/>
      </c>
      <c r="H17" s="22">
        <f>CEILING(G17/141,1)</f>
        <v/>
      </c>
      <c r="I17" s="22">
        <f>CEILING(G17/192,1)</f>
        <v/>
      </c>
    </row>
    <row r="18">
      <c r="B18" s="16">
        <f>Models!$B$18</f>
        <v/>
      </c>
      <c r="C18" s="17">
        <f>Models!$C$18</f>
        <v/>
      </c>
      <c r="D18" s="24">
        <f>C18*Assumptions!$C$8</f>
        <v/>
      </c>
      <c r="E18" s="24">
        <f>C18*Assumptions!$C$9</f>
        <v/>
      </c>
      <c r="F18" s="24">
        <f>C18*Assumptions!$C$10</f>
        <v/>
      </c>
      <c r="G18" s="25">
        <f>D18*Assumptions!$D$17</f>
        <v/>
      </c>
      <c r="H18" s="18">
        <f>CEILING(G18/141,1)</f>
        <v/>
      </c>
      <c r="I18" s="18">
        <f>CEILING(G18/192,1)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" t="inlineStr">
        <is>
          <t>KV Cache Memory Scaling</t>
        </is>
      </c>
    </row>
    <row r="3">
      <c r="B3" s="4" t="inlineStr">
        <is>
          <t>KV bytes = 2 x layers x kv_heads x head_dim x seq_len x batch x kv_bytes. Grows LINEARLY with context &amp; batch.</t>
        </is>
      </c>
    </row>
    <row r="4">
      <c r="B4" s="4" t="inlineStr">
        <is>
          <t>Per-token column is batch-independent; matrix below uses batch size from Assumptions.</t>
        </is>
      </c>
    </row>
    <row r="6">
      <c r="B6" s="28" t="inlineStr">
        <is>
          <t>Model</t>
        </is>
      </c>
      <c r="C6" s="28" t="inlineStr">
        <is>
          <t>KV / token (KB)</t>
        </is>
      </c>
      <c r="D6" s="28" t="inlineStr">
        <is>
          <t>1K ctx (GB)</t>
        </is>
      </c>
      <c r="E6" s="28" t="inlineStr">
        <is>
          <t>2K ctx (GB)</t>
        </is>
      </c>
      <c r="F6" s="28" t="inlineStr">
        <is>
          <t>4K ctx (GB)</t>
        </is>
      </c>
      <c r="G6" s="28" t="inlineStr">
        <is>
          <t>8K ctx (GB)</t>
        </is>
      </c>
      <c r="H6" s="28" t="inlineStr">
        <is>
          <t>16K ctx (GB)</t>
        </is>
      </c>
      <c r="I6" s="28" t="inlineStr">
        <is>
          <t>32K ctx (GB)</t>
        </is>
      </c>
      <c r="J6" s="28" t="inlineStr">
        <is>
          <t>64K ctx (GB)</t>
        </is>
      </c>
      <c r="K6" s="28" t="inlineStr">
        <is>
          <t>128K ctx (GB)</t>
        </is>
      </c>
    </row>
    <row r="7">
      <c r="B7" s="16">
        <f>Models!$B$6</f>
        <v/>
      </c>
      <c r="C7" s="17">
        <f>2*Models!$D$6*Models!$G$6*Models!$H$6*Assumptions!$D$15/1024</f>
        <v/>
      </c>
      <c r="D7" s="29">
        <f>$C7*1024*1024*Assumptions!$D$16/1000000000</f>
        <v/>
      </c>
      <c r="E7" s="29">
        <f>$C7*1024*2048*Assumptions!$D$16/1000000000</f>
        <v/>
      </c>
      <c r="F7" s="29">
        <f>$C7*1024*4096*Assumptions!$D$16/1000000000</f>
        <v/>
      </c>
      <c r="G7" s="29">
        <f>$C7*1024*8192*Assumptions!$D$16/1000000000</f>
        <v/>
      </c>
      <c r="H7" s="29">
        <f>$C7*1024*16384*Assumptions!$D$16/1000000000</f>
        <v/>
      </c>
      <c r="I7" s="29">
        <f>$C7*1024*32768*Assumptions!$D$16/1000000000</f>
        <v/>
      </c>
      <c r="J7" s="29">
        <f>$C7*1024*65536*Assumptions!$D$16/1000000000</f>
        <v/>
      </c>
      <c r="K7" s="29">
        <f>$C7*1024*131072*Assumptions!$D$16/1000000000</f>
        <v/>
      </c>
    </row>
    <row r="8">
      <c r="B8" s="12">
        <f>Models!$B$7</f>
        <v/>
      </c>
      <c r="C8" s="30">
        <f>2*Models!$D$7*Models!$G$7*Models!$H$7*Assumptions!$D$15/1024</f>
        <v/>
      </c>
      <c r="D8" s="31">
        <f>$C8*1024*1024*Assumptions!$D$16/1000000000</f>
        <v/>
      </c>
      <c r="E8" s="31">
        <f>$C8*1024*2048*Assumptions!$D$16/1000000000</f>
        <v/>
      </c>
      <c r="F8" s="31">
        <f>$C8*1024*4096*Assumptions!$D$16/1000000000</f>
        <v/>
      </c>
      <c r="G8" s="31">
        <f>$C8*1024*8192*Assumptions!$D$16/1000000000</f>
        <v/>
      </c>
      <c r="H8" s="31">
        <f>$C8*1024*16384*Assumptions!$D$16/1000000000</f>
        <v/>
      </c>
      <c r="I8" s="31">
        <f>$C8*1024*32768*Assumptions!$D$16/1000000000</f>
        <v/>
      </c>
      <c r="J8" s="31">
        <f>$C8*1024*65536*Assumptions!$D$16/1000000000</f>
        <v/>
      </c>
      <c r="K8" s="31">
        <f>$C8*1024*131072*Assumptions!$D$16/1000000000</f>
        <v/>
      </c>
    </row>
    <row r="9">
      <c r="B9" s="16">
        <f>Models!$B$8</f>
        <v/>
      </c>
      <c r="C9" s="17">
        <f>2*Models!$D$8*Models!$G$8*Models!$H$8*Assumptions!$D$15/1024</f>
        <v/>
      </c>
      <c r="D9" s="29">
        <f>$C9*1024*1024*Assumptions!$D$16/1000000000</f>
        <v/>
      </c>
      <c r="E9" s="29">
        <f>$C9*1024*2048*Assumptions!$D$16/1000000000</f>
        <v/>
      </c>
      <c r="F9" s="29">
        <f>$C9*1024*4096*Assumptions!$D$16/1000000000</f>
        <v/>
      </c>
      <c r="G9" s="29">
        <f>$C9*1024*8192*Assumptions!$D$16/1000000000</f>
        <v/>
      </c>
      <c r="H9" s="29">
        <f>$C9*1024*16384*Assumptions!$D$16/1000000000</f>
        <v/>
      </c>
      <c r="I9" s="29">
        <f>$C9*1024*32768*Assumptions!$D$16/1000000000</f>
        <v/>
      </c>
      <c r="J9" s="29">
        <f>$C9*1024*65536*Assumptions!$D$16/1000000000</f>
        <v/>
      </c>
      <c r="K9" s="29">
        <f>$C9*1024*131072*Assumptions!$D$16/1000000000</f>
        <v/>
      </c>
    </row>
    <row r="10">
      <c r="B10" s="12">
        <f>Models!$B$9</f>
        <v/>
      </c>
      <c r="C10" s="30">
        <f>2*Models!$D$9*Models!$G$9*Models!$H$9*Assumptions!$D$15/1024</f>
        <v/>
      </c>
      <c r="D10" s="31">
        <f>$C10*1024*1024*Assumptions!$D$16/1000000000</f>
        <v/>
      </c>
      <c r="E10" s="31">
        <f>$C10*1024*2048*Assumptions!$D$16/1000000000</f>
        <v/>
      </c>
      <c r="F10" s="31">
        <f>$C10*1024*4096*Assumptions!$D$16/1000000000</f>
        <v/>
      </c>
      <c r="G10" s="31">
        <f>$C10*1024*8192*Assumptions!$D$16/1000000000</f>
        <v/>
      </c>
      <c r="H10" s="31">
        <f>$C10*1024*16384*Assumptions!$D$16/1000000000</f>
        <v/>
      </c>
      <c r="I10" s="31">
        <f>$C10*1024*32768*Assumptions!$D$16/1000000000</f>
        <v/>
      </c>
      <c r="J10" s="31">
        <f>$C10*1024*65536*Assumptions!$D$16/1000000000</f>
        <v/>
      </c>
      <c r="K10" s="31">
        <f>$C10*1024*131072*Assumptions!$D$16/1000000000</f>
        <v/>
      </c>
    </row>
    <row r="11">
      <c r="B11" s="16">
        <f>Models!$B$10</f>
        <v/>
      </c>
      <c r="C11" s="17">
        <f>2*Models!$D$10*Models!$G$10*Models!$H$10*Assumptions!$D$15/1024</f>
        <v/>
      </c>
      <c r="D11" s="29">
        <f>$C11*1024*1024*Assumptions!$D$16/1000000000</f>
        <v/>
      </c>
      <c r="E11" s="29">
        <f>$C11*1024*2048*Assumptions!$D$16/1000000000</f>
        <v/>
      </c>
      <c r="F11" s="29">
        <f>$C11*1024*4096*Assumptions!$D$16/1000000000</f>
        <v/>
      </c>
      <c r="G11" s="29">
        <f>$C11*1024*8192*Assumptions!$D$16/1000000000</f>
        <v/>
      </c>
      <c r="H11" s="29">
        <f>$C11*1024*16384*Assumptions!$D$16/1000000000</f>
        <v/>
      </c>
      <c r="I11" s="29">
        <f>$C11*1024*32768*Assumptions!$D$16/1000000000</f>
        <v/>
      </c>
      <c r="J11" s="29">
        <f>$C11*1024*65536*Assumptions!$D$16/1000000000</f>
        <v/>
      </c>
      <c r="K11" s="29">
        <f>$C11*1024*131072*Assumptions!$D$16/1000000000</f>
        <v/>
      </c>
    </row>
    <row r="12">
      <c r="B12" s="12">
        <f>Models!$B$11</f>
        <v/>
      </c>
      <c r="C12" s="30">
        <f>2*Models!$D$11*Models!$G$11*Models!$H$11*Assumptions!$D$15/1024</f>
        <v/>
      </c>
      <c r="D12" s="31">
        <f>$C12*1024*1024*Assumptions!$D$16/1000000000</f>
        <v/>
      </c>
      <c r="E12" s="31">
        <f>$C12*1024*2048*Assumptions!$D$16/1000000000</f>
        <v/>
      </c>
      <c r="F12" s="31">
        <f>$C12*1024*4096*Assumptions!$D$16/1000000000</f>
        <v/>
      </c>
      <c r="G12" s="31">
        <f>$C12*1024*8192*Assumptions!$D$16/1000000000</f>
        <v/>
      </c>
      <c r="H12" s="31">
        <f>$C12*1024*16384*Assumptions!$D$16/1000000000</f>
        <v/>
      </c>
      <c r="I12" s="31">
        <f>$C12*1024*32768*Assumptions!$D$16/1000000000</f>
        <v/>
      </c>
      <c r="J12" s="31">
        <f>$C12*1024*65536*Assumptions!$D$16/1000000000</f>
        <v/>
      </c>
      <c r="K12" s="31">
        <f>$C12*1024*131072*Assumptions!$D$16/1000000000</f>
        <v/>
      </c>
    </row>
    <row r="13">
      <c r="B13" s="16">
        <f>Models!$B$12</f>
        <v/>
      </c>
      <c r="C13" s="17">
        <f>2*Models!$D$12*Models!$G$12*Models!$H$12*Assumptions!$D$15/1024</f>
        <v/>
      </c>
      <c r="D13" s="29">
        <f>$C13*1024*1024*Assumptions!$D$16/1000000000</f>
        <v/>
      </c>
      <c r="E13" s="29">
        <f>$C13*1024*2048*Assumptions!$D$16/1000000000</f>
        <v/>
      </c>
      <c r="F13" s="29">
        <f>$C13*1024*4096*Assumptions!$D$16/1000000000</f>
        <v/>
      </c>
      <c r="G13" s="29">
        <f>$C13*1024*8192*Assumptions!$D$16/1000000000</f>
        <v/>
      </c>
      <c r="H13" s="29">
        <f>$C13*1024*16384*Assumptions!$D$16/1000000000</f>
        <v/>
      </c>
      <c r="I13" s="29">
        <f>$C13*1024*32768*Assumptions!$D$16/1000000000</f>
        <v/>
      </c>
      <c r="J13" s="29">
        <f>$C13*1024*65536*Assumptions!$D$16/1000000000</f>
        <v/>
      </c>
      <c r="K13" s="29">
        <f>$C13*1024*131072*Assumptions!$D$16/1000000000</f>
        <v/>
      </c>
    </row>
    <row r="14">
      <c r="B14" s="12">
        <f>Models!$B$13</f>
        <v/>
      </c>
      <c r="C14" s="30">
        <f>2*Models!$D$13*Models!$G$13*Models!$H$13*Assumptions!$D$15/1024</f>
        <v/>
      </c>
      <c r="D14" s="31">
        <f>$C14*1024*1024*Assumptions!$D$16/1000000000</f>
        <v/>
      </c>
      <c r="E14" s="31">
        <f>$C14*1024*2048*Assumptions!$D$16/1000000000</f>
        <v/>
      </c>
      <c r="F14" s="31">
        <f>$C14*1024*4096*Assumptions!$D$16/1000000000</f>
        <v/>
      </c>
      <c r="G14" s="31">
        <f>$C14*1024*8192*Assumptions!$D$16/1000000000</f>
        <v/>
      </c>
      <c r="H14" s="31">
        <f>$C14*1024*16384*Assumptions!$D$16/1000000000</f>
        <v/>
      </c>
      <c r="I14" s="31">
        <f>$C14*1024*32768*Assumptions!$D$16/1000000000</f>
        <v/>
      </c>
      <c r="J14" s="31">
        <f>$C14*1024*65536*Assumptions!$D$16/1000000000</f>
        <v/>
      </c>
      <c r="K14" s="31">
        <f>$C14*1024*131072*Assumptions!$D$16/1000000000</f>
        <v/>
      </c>
    </row>
    <row r="15">
      <c r="B15" s="16">
        <f>Models!$B$14</f>
        <v/>
      </c>
      <c r="C15" s="17">
        <f>2*Models!$D$14*Models!$G$14*Models!$H$14*Assumptions!$D$15/1024</f>
        <v/>
      </c>
      <c r="D15" s="29">
        <f>$C15*1024*1024*Assumptions!$D$16/1000000000</f>
        <v/>
      </c>
      <c r="E15" s="29">
        <f>$C15*1024*2048*Assumptions!$D$16/1000000000</f>
        <v/>
      </c>
      <c r="F15" s="29">
        <f>$C15*1024*4096*Assumptions!$D$16/1000000000</f>
        <v/>
      </c>
      <c r="G15" s="29">
        <f>$C15*1024*8192*Assumptions!$D$16/1000000000</f>
        <v/>
      </c>
      <c r="H15" s="29">
        <f>$C15*1024*16384*Assumptions!$D$16/1000000000</f>
        <v/>
      </c>
      <c r="I15" s="29">
        <f>$C15*1024*32768*Assumptions!$D$16/1000000000</f>
        <v/>
      </c>
      <c r="J15" s="29">
        <f>$C15*1024*65536*Assumptions!$D$16/1000000000</f>
        <v/>
      </c>
      <c r="K15" s="29">
        <f>$C15*1024*131072*Assumptions!$D$16/1000000000</f>
        <v/>
      </c>
    </row>
    <row r="16">
      <c r="B16" s="12">
        <f>Models!$B$15</f>
        <v/>
      </c>
      <c r="C16" s="30">
        <f>2*Models!$D$15*Models!$G$15*Models!$H$15*Assumptions!$D$15/1024</f>
        <v/>
      </c>
      <c r="D16" s="31">
        <f>$C16*1024*1024*Assumptions!$D$16/1000000000</f>
        <v/>
      </c>
      <c r="E16" s="31">
        <f>$C16*1024*2048*Assumptions!$D$16/1000000000</f>
        <v/>
      </c>
      <c r="F16" s="31">
        <f>$C16*1024*4096*Assumptions!$D$16/1000000000</f>
        <v/>
      </c>
      <c r="G16" s="31">
        <f>$C16*1024*8192*Assumptions!$D$16/1000000000</f>
        <v/>
      </c>
      <c r="H16" s="31">
        <f>$C16*1024*16384*Assumptions!$D$16/1000000000</f>
        <v/>
      </c>
      <c r="I16" s="31">
        <f>$C16*1024*32768*Assumptions!$D$16/1000000000</f>
        <v/>
      </c>
      <c r="J16" s="31">
        <f>$C16*1024*65536*Assumptions!$D$16/1000000000</f>
        <v/>
      </c>
      <c r="K16" s="31">
        <f>$C16*1024*131072*Assumptions!$D$16/1000000000</f>
        <v/>
      </c>
    </row>
    <row r="17">
      <c r="B17" s="16">
        <f>Models!$B$16</f>
        <v/>
      </c>
      <c r="C17" s="17">
        <f>2*Models!$D$16*Models!$G$16*Models!$H$16*Assumptions!$D$15/1024</f>
        <v/>
      </c>
      <c r="D17" s="29">
        <f>$C17*1024*1024*Assumptions!$D$16/1000000000</f>
        <v/>
      </c>
      <c r="E17" s="29">
        <f>$C17*1024*2048*Assumptions!$D$16/1000000000</f>
        <v/>
      </c>
      <c r="F17" s="29">
        <f>$C17*1024*4096*Assumptions!$D$16/1000000000</f>
        <v/>
      </c>
      <c r="G17" s="29">
        <f>$C17*1024*8192*Assumptions!$D$16/1000000000</f>
        <v/>
      </c>
      <c r="H17" s="29">
        <f>$C17*1024*16384*Assumptions!$D$16/1000000000</f>
        <v/>
      </c>
      <c r="I17" s="29">
        <f>$C17*1024*32768*Assumptions!$D$16/1000000000</f>
        <v/>
      </c>
      <c r="J17" s="29">
        <f>$C17*1024*65536*Assumptions!$D$16/1000000000</f>
        <v/>
      </c>
      <c r="K17" s="29">
        <f>$C17*1024*131072*Assumptions!$D$16/1000000000</f>
        <v/>
      </c>
    </row>
    <row r="18">
      <c r="B18" s="12">
        <f>Models!$B$17</f>
        <v/>
      </c>
      <c r="C18" s="30">
        <f>2*Models!$D$17*Models!$G$17*Models!$H$17*Assumptions!$D$15/1024</f>
        <v/>
      </c>
      <c r="D18" s="31">
        <f>$C18*1024*1024*Assumptions!$D$16/1000000000</f>
        <v/>
      </c>
      <c r="E18" s="31">
        <f>$C18*1024*2048*Assumptions!$D$16/1000000000</f>
        <v/>
      </c>
      <c r="F18" s="31">
        <f>$C18*1024*4096*Assumptions!$D$16/1000000000</f>
        <v/>
      </c>
      <c r="G18" s="31">
        <f>$C18*1024*8192*Assumptions!$D$16/1000000000</f>
        <v/>
      </c>
      <c r="H18" s="31">
        <f>$C18*1024*16384*Assumptions!$D$16/1000000000</f>
        <v/>
      </c>
      <c r="I18" s="31">
        <f>$C18*1024*32768*Assumptions!$D$16/1000000000</f>
        <v/>
      </c>
      <c r="J18" s="31">
        <f>$C18*1024*65536*Assumptions!$D$16/1000000000</f>
        <v/>
      </c>
      <c r="K18" s="31">
        <f>$C18*1024*131072*Assumptions!$D$16/1000000000</f>
        <v/>
      </c>
    </row>
    <row r="19">
      <c r="B19" s="16">
        <f>Models!$B$18</f>
        <v/>
      </c>
      <c r="C19" s="17">
        <f>2*Models!$D$18*Models!$G$18*Models!$H$18*Assumptions!$D$15/1024</f>
        <v/>
      </c>
      <c r="D19" s="29">
        <f>$C19*1024*1024*Assumptions!$D$16/1000000000</f>
        <v/>
      </c>
      <c r="E19" s="29">
        <f>$C19*1024*2048*Assumptions!$D$16/1000000000</f>
        <v/>
      </c>
      <c r="F19" s="29">
        <f>$C19*1024*4096*Assumptions!$D$16/1000000000</f>
        <v/>
      </c>
      <c r="G19" s="29">
        <f>$C19*1024*8192*Assumptions!$D$16/1000000000</f>
        <v/>
      </c>
      <c r="H19" s="29">
        <f>$C19*1024*16384*Assumptions!$D$16/1000000000</f>
        <v/>
      </c>
      <c r="I19" s="29">
        <f>$C19*1024*32768*Assumptions!$D$16/1000000000</f>
        <v/>
      </c>
      <c r="J19" s="29">
        <f>$C19*1024*65536*Assumptions!$D$16/1000000000</f>
        <v/>
      </c>
      <c r="K19" s="29">
        <f>$C19*1024*131072*Assumptions!$D$16/1000000000</f>
        <v/>
      </c>
    </row>
    <row r="21">
      <c r="B21" s="32" t="inlineStr">
        <is>
          <t>Note: MHA models (Llama-2-7B, GPT-3) carry far larger KV per token than GQA models of similar size — the KV cache, not weights, dominates long-context memory.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5" customWidth="1" min="7" max="7"/>
    <col width="17" customWidth="1" min="8" max="8"/>
    <col width="12" customWidth="1" min="9" max="9"/>
  </cols>
  <sheetData>
    <row r="2">
      <c r="B2" s="1" t="inlineStr">
        <is>
          <t>Decode Economics (Memory-Bandwidth Bound)</t>
        </is>
      </c>
    </row>
    <row r="3">
      <c r="B3" s="4" t="inlineStr">
        <is>
          <t>Autoregressive decode reads all weights + KV each step. Step time ≈ (weight_bytes + kv_bytes) / mem_BW.</t>
        </is>
      </c>
    </row>
    <row r="5">
      <c r="B5" s="33" t="inlineStr">
        <is>
          <t>Context length for decode (tokens):</t>
        </is>
      </c>
      <c r="F5" s="10" t="n">
        <v>8192</v>
      </c>
    </row>
    <row r="6">
      <c r="B6" s="33" t="inlineStr">
        <is>
          <t>Selected GPU:</t>
        </is>
      </c>
      <c r="C6" s="34">
        <f>Assumptions!$D$33&amp;" GB HBM @ "&amp;Assumptions!$D$34&amp;" TB/s"</f>
        <v/>
      </c>
      <c r="F6" s="35">
        <f>Assumptions!$D$34</f>
        <v/>
      </c>
    </row>
    <row r="8">
      <c r="B8" s="36" t="inlineStr">
        <is>
          <t>Model</t>
        </is>
      </c>
      <c r="C8" s="36" t="inlineStr">
        <is>
          <t>Weights FP16 (GB)</t>
        </is>
      </c>
      <c r="D8" s="36" t="inlineStr">
        <is>
          <t>KV @ ctx (GB)</t>
        </is>
      </c>
      <c r="E8" s="36" t="inlineStr">
        <is>
          <t>Total mem (GB)</t>
        </is>
      </c>
      <c r="F8" s="36" t="inlineStr">
        <is>
          <t>Fits on GPU?</t>
        </is>
      </c>
      <c r="G8" s="36" t="inlineStr">
        <is>
          <t>Decode step (ms)</t>
        </is>
      </c>
      <c r="H8" s="36" t="inlineStr">
        <is>
          <t>Throughput (tok/s)</t>
        </is>
      </c>
      <c r="I8" s="36" t="inlineStr">
        <is>
          <t>Bottleneck</t>
        </is>
      </c>
    </row>
    <row r="9">
      <c r="B9" s="16">
        <f>Models!$B$6</f>
        <v/>
      </c>
      <c r="C9" s="24">
        <f>'Weights Memory'!D6</f>
        <v/>
      </c>
      <c r="D9" s="29">
        <f>'KV Cache Scaling'!$C7*1024*'Decode Economics'!$F$5*Assumptions!$D$16/1000000000</f>
        <v/>
      </c>
      <c r="E9" s="25">
        <f>(C9+D9)*Assumptions!$D$18</f>
        <v/>
      </c>
      <c r="F9" s="19">
        <f>IF(E9&lt;=Assumptions!$D$33,"Yes","No — "&amp;CEILING(E9/Assumptions!$D$33,1)&amp;"x GPU")</f>
        <v/>
      </c>
      <c r="G9" s="37">
        <f>(C9+D9)/Assumptions!$D$34</f>
        <v/>
      </c>
      <c r="H9" s="38">
        <f>1000/G9</f>
        <v/>
      </c>
      <c r="I9" s="19">
        <f>IF(D9&gt;C9,"KV-cache","Weights")</f>
        <v/>
      </c>
    </row>
    <row r="10">
      <c r="B10" s="20">
        <f>Models!$B$7</f>
        <v/>
      </c>
      <c r="C10" s="26">
        <f>'Weights Memory'!D7</f>
        <v/>
      </c>
      <c r="D10" s="39">
        <f>'KV Cache Scaling'!$C8*1024*'Decode Economics'!$F$5*Assumptions!$D$16/1000000000</f>
        <v/>
      </c>
      <c r="E10" s="27">
        <f>(C10+D10)*Assumptions!$D$18</f>
        <v/>
      </c>
      <c r="F10" s="23">
        <f>IF(E10&lt;=Assumptions!$D$33,"Yes","No — "&amp;CEILING(E10/Assumptions!$D$33,1)&amp;"x GPU")</f>
        <v/>
      </c>
      <c r="G10" s="40">
        <f>(C10+D10)/Assumptions!$D$34</f>
        <v/>
      </c>
      <c r="H10" s="41">
        <f>1000/G10</f>
        <v/>
      </c>
      <c r="I10" s="23">
        <f>IF(D10&gt;C10,"KV-cache","Weights")</f>
        <v/>
      </c>
    </row>
    <row r="11">
      <c r="B11" s="16">
        <f>Models!$B$8</f>
        <v/>
      </c>
      <c r="C11" s="24">
        <f>'Weights Memory'!D8</f>
        <v/>
      </c>
      <c r="D11" s="29">
        <f>'KV Cache Scaling'!$C9*1024*'Decode Economics'!$F$5*Assumptions!$D$16/1000000000</f>
        <v/>
      </c>
      <c r="E11" s="25">
        <f>(C11+D11)*Assumptions!$D$18</f>
        <v/>
      </c>
      <c r="F11" s="19">
        <f>IF(E11&lt;=Assumptions!$D$33,"Yes","No — "&amp;CEILING(E11/Assumptions!$D$33,1)&amp;"x GPU")</f>
        <v/>
      </c>
      <c r="G11" s="37">
        <f>(C11+D11)/Assumptions!$D$34</f>
        <v/>
      </c>
      <c r="H11" s="38">
        <f>1000/G11</f>
        <v/>
      </c>
      <c r="I11" s="19">
        <f>IF(D11&gt;C11,"KV-cache","Weights")</f>
        <v/>
      </c>
    </row>
    <row r="12">
      <c r="B12" s="20">
        <f>Models!$B$9</f>
        <v/>
      </c>
      <c r="C12" s="26">
        <f>'Weights Memory'!D9</f>
        <v/>
      </c>
      <c r="D12" s="39">
        <f>'KV Cache Scaling'!$C10*1024*'Decode Economics'!$F$5*Assumptions!$D$16/1000000000</f>
        <v/>
      </c>
      <c r="E12" s="27">
        <f>(C12+D12)*Assumptions!$D$18</f>
        <v/>
      </c>
      <c r="F12" s="23">
        <f>IF(E12&lt;=Assumptions!$D$33,"Yes","No — "&amp;CEILING(E12/Assumptions!$D$33,1)&amp;"x GPU")</f>
        <v/>
      </c>
      <c r="G12" s="40">
        <f>(C12+D12)/Assumptions!$D$34</f>
        <v/>
      </c>
      <c r="H12" s="41">
        <f>1000/G12</f>
        <v/>
      </c>
      <c r="I12" s="23">
        <f>IF(D12&gt;C12,"KV-cache","Weights")</f>
        <v/>
      </c>
    </row>
    <row r="13">
      <c r="B13" s="16">
        <f>Models!$B$10</f>
        <v/>
      </c>
      <c r="C13" s="24">
        <f>'Weights Memory'!D10</f>
        <v/>
      </c>
      <c r="D13" s="29">
        <f>'KV Cache Scaling'!$C11*1024*'Decode Economics'!$F$5*Assumptions!$D$16/1000000000</f>
        <v/>
      </c>
      <c r="E13" s="25">
        <f>(C13+D13)*Assumptions!$D$18</f>
        <v/>
      </c>
      <c r="F13" s="19">
        <f>IF(E13&lt;=Assumptions!$D$33,"Yes","No — "&amp;CEILING(E13/Assumptions!$D$33,1)&amp;"x GPU")</f>
        <v/>
      </c>
      <c r="G13" s="37">
        <f>(C13+D13)/Assumptions!$D$34</f>
        <v/>
      </c>
      <c r="H13" s="38">
        <f>1000/G13</f>
        <v/>
      </c>
      <c r="I13" s="19">
        <f>IF(D13&gt;C13,"KV-cache","Weights")</f>
        <v/>
      </c>
    </row>
    <row r="14">
      <c r="B14" s="20">
        <f>Models!$B$11</f>
        <v/>
      </c>
      <c r="C14" s="26">
        <f>'Weights Memory'!D11</f>
        <v/>
      </c>
      <c r="D14" s="39">
        <f>'KV Cache Scaling'!$C12*1024*'Decode Economics'!$F$5*Assumptions!$D$16/1000000000</f>
        <v/>
      </c>
      <c r="E14" s="27">
        <f>(C14+D14)*Assumptions!$D$18</f>
        <v/>
      </c>
      <c r="F14" s="23">
        <f>IF(E14&lt;=Assumptions!$D$33,"Yes","No — "&amp;CEILING(E14/Assumptions!$D$33,1)&amp;"x GPU")</f>
        <v/>
      </c>
      <c r="G14" s="40">
        <f>(C14+D14)/Assumptions!$D$34</f>
        <v/>
      </c>
      <c r="H14" s="41">
        <f>1000/G14</f>
        <v/>
      </c>
      <c r="I14" s="23">
        <f>IF(D14&gt;C14,"KV-cache","Weights")</f>
        <v/>
      </c>
    </row>
    <row r="15">
      <c r="B15" s="16">
        <f>Models!$B$12</f>
        <v/>
      </c>
      <c r="C15" s="24">
        <f>'Weights Memory'!D12</f>
        <v/>
      </c>
      <c r="D15" s="29">
        <f>'KV Cache Scaling'!$C13*1024*'Decode Economics'!$F$5*Assumptions!$D$16/1000000000</f>
        <v/>
      </c>
      <c r="E15" s="25">
        <f>(C15+D15)*Assumptions!$D$18</f>
        <v/>
      </c>
      <c r="F15" s="19">
        <f>IF(E15&lt;=Assumptions!$D$33,"Yes","No — "&amp;CEILING(E15/Assumptions!$D$33,1)&amp;"x GPU")</f>
        <v/>
      </c>
      <c r="G15" s="37">
        <f>(C15+D15)/Assumptions!$D$34</f>
        <v/>
      </c>
      <c r="H15" s="38">
        <f>1000/G15</f>
        <v/>
      </c>
      <c r="I15" s="19">
        <f>IF(D15&gt;C15,"KV-cache","Weights")</f>
        <v/>
      </c>
    </row>
    <row r="16">
      <c r="B16" s="20">
        <f>Models!$B$13</f>
        <v/>
      </c>
      <c r="C16" s="26">
        <f>'Weights Memory'!D13</f>
        <v/>
      </c>
      <c r="D16" s="39">
        <f>'KV Cache Scaling'!$C14*1024*'Decode Economics'!$F$5*Assumptions!$D$16/1000000000</f>
        <v/>
      </c>
      <c r="E16" s="27">
        <f>(C16+D16)*Assumptions!$D$18</f>
        <v/>
      </c>
      <c r="F16" s="23">
        <f>IF(E16&lt;=Assumptions!$D$33,"Yes","No — "&amp;CEILING(E16/Assumptions!$D$33,1)&amp;"x GPU")</f>
        <v/>
      </c>
      <c r="G16" s="40">
        <f>(C16+D16)/Assumptions!$D$34</f>
        <v/>
      </c>
      <c r="H16" s="41">
        <f>1000/G16</f>
        <v/>
      </c>
      <c r="I16" s="23">
        <f>IF(D16&gt;C16,"KV-cache","Weights")</f>
        <v/>
      </c>
    </row>
    <row r="17">
      <c r="B17" s="16">
        <f>Models!$B$14</f>
        <v/>
      </c>
      <c r="C17" s="24">
        <f>'Weights Memory'!D14</f>
        <v/>
      </c>
      <c r="D17" s="29">
        <f>'KV Cache Scaling'!$C15*1024*'Decode Economics'!$F$5*Assumptions!$D$16/1000000000</f>
        <v/>
      </c>
      <c r="E17" s="25">
        <f>(C17+D17)*Assumptions!$D$18</f>
        <v/>
      </c>
      <c r="F17" s="19">
        <f>IF(E17&lt;=Assumptions!$D$33,"Yes","No — "&amp;CEILING(E17/Assumptions!$D$33,1)&amp;"x GPU")</f>
        <v/>
      </c>
      <c r="G17" s="37">
        <f>(C17+D17)/Assumptions!$D$34</f>
        <v/>
      </c>
      <c r="H17" s="38">
        <f>1000/G17</f>
        <v/>
      </c>
      <c r="I17" s="19">
        <f>IF(D17&gt;C17,"KV-cache","Weights")</f>
        <v/>
      </c>
    </row>
    <row r="18">
      <c r="B18" s="20">
        <f>Models!$B$15</f>
        <v/>
      </c>
      <c r="C18" s="26">
        <f>'Weights Memory'!D15</f>
        <v/>
      </c>
      <c r="D18" s="39">
        <f>'KV Cache Scaling'!$C16*1024*'Decode Economics'!$F$5*Assumptions!$D$16/1000000000</f>
        <v/>
      </c>
      <c r="E18" s="27">
        <f>(C18+D18)*Assumptions!$D$18</f>
        <v/>
      </c>
      <c r="F18" s="23">
        <f>IF(E18&lt;=Assumptions!$D$33,"Yes","No — "&amp;CEILING(E18/Assumptions!$D$33,1)&amp;"x GPU")</f>
        <v/>
      </c>
      <c r="G18" s="40">
        <f>(C18+D18)/Assumptions!$D$34</f>
        <v/>
      </c>
      <c r="H18" s="41">
        <f>1000/G18</f>
        <v/>
      </c>
      <c r="I18" s="23">
        <f>IF(D18&gt;C18,"KV-cache","Weights")</f>
        <v/>
      </c>
    </row>
    <row r="19">
      <c r="B19" s="16">
        <f>Models!$B$16</f>
        <v/>
      </c>
      <c r="C19" s="24">
        <f>'Weights Memory'!D16</f>
        <v/>
      </c>
      <c r="D19" s="29">
        <f>'KV Cache Scaling'!$C17*1024*'Decode Economics'!$F$5*Assumptions!$D$16/1000000000</f>
        <v/>
      </c>
      <c r="E19" s="25">
        <f>(C19+D19)*Assumptions!$D$18</f>
        <v/>
      </c>
      <c r="F19" s="19">
        <f>IF(E19&lt;=Assumptions!$D$33,"Yes","No — "&amp;CEILING(E19/Assumptions!$D$33,1)&amp;"x GPU")</f>
        <v/>
      </c>
      <c r="G19" s="37">
        <f>(C19+D19)/Assumptions!$D$34</f>
        <v/>
      </c>
      <c r="H19" s="38">
        <f>1000/G19</f>
        <v/>
      </c>
      <c r="I19" s="19">
        <f>IF(D19&gt;C19,"KV-cache","Weights")</f>
        <v/>
      </c>
    </row>
    <row r="20">
      <c r="B20" s="20">
        <f>Models!$B$17</f>
        <v/>
      </c>
      <c r="C20" s="26">
        <f>'Weights Memory'!D17</f>
        <v/>
      </c>
      <c r="D20" s="39">
        <f>'KV Cache Scaling'!$C18*1024*'Decode Economics'!$F$5*Assumptions!$D$16/1000000000</f>
        <v/>
      </c>
      <c r="E20" s="27">
        <f>(C20+D20)*Assumptions!$D$18</f>
        <v/>
      </c>
      <c r="F20" s="23">
        <f>IF(E20&lt;=Assumptions!$D$33,"Yes","No — "&amp;CEILING(E20/Assumptions!$D$33,1)&amp;"x GPU")</f>
        <v/>
      </c>
      <c r="G20" s="40">
        <f>(C20+D20)/Assumptions!$D$34</f>
        <v/>
      </c>
      <c r="H20" s="41">
        <f>1000/G20</f>
        <v/>
      </c>
      <c r="I20" s="23">
        <f>IF(D20&gt;C20,"KV-cache","Weights")</f>
        <v/>
      </c>
    </row>
    <row r="21">
      <c r="B21" s="16">
        <f>Models!$B$18</f>
        <v/>
      </c>
      <c r="C21" s="24">
        <f>'Weights Memory'!D18</f>
        <v/>
      </c>
      <c r="D21" s="29">
        <f>'KV Cache Scaling'!$C19*1024*'Decode Economics'!$F$5*Assumptions!$D$16/1000000000</f>
        <v/>
      </c>
      <c r="E21" s="25">
        <f>(C21+D21)*Assumptions!$D$18</f>
        <v/>
      </c>
      <c r="F21" s="19">
        <f>IF(E21&lt;=Assumptions!$D$33,"Yes","No — "&amp;CEILING(E21/Assumptions!$D$33,1)&amp;"x GPU")</f>
        <v/>
      </c>
      <c r="G21" s="37">
        <f>(C21+D21)/Assumptions!$D$34</f>
        <v/>
      </c>
      <c r="H21" s="38">
        <f>1000/G21</f>
        <v/>
      </c>
      <c r="I21" s="19">
        <f>IF(D21&gt;C21,"KV-cache","Weights")</f>
        <v/>
      </c>
    </row>
    <row r="23">
      <c r="B23" s="32" t="inlineStr">
        <is>
          <t>Single-stream, memory-bandwidth-bound estimate (ignores compute, kernel efficiency, and batching amortization of weights). Real throughput is lower; batching raises aggregate tok/s by amortizing weight reads across sequences.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2">
      <c r="B2" s="1" t="inlineStr">
        <is>
          <t>Parametric Memory Scaling Curve</t>
        </is>
      </c>
    </row>
    <row r="3">
      <c r="B3" s="4" t="inlineStr">
        <is>
          <t>Weights memory grows linearly with parameter count; the multiplier is set purely by precision (bytes/elem).</t>
        </is>
      </c>
    </row>
    <row r="5">
      <c r="B5" s="6" t="inlineStr">
        <is>
          <t>Params (B)</t>
        </is>
      </c>
      <c r="C5" s="6" t="inlineStr">
        <is>
          <t>FP32 (GB)</t>
        </is>
      </c>
      <c r="D5" s="6" t="inlineStr">
        <is>
          <t>FP16 (GB)</t>
        </is>
      </c>
      <c r="E5" s="6" t="inlineStr">
        <is>
          <t>FP8 (GB)</t>
        </is>
      </c>
      <c r="F5" s="6" t="inlineStr">
        <is>
          <t>INT4 (GB)</t>
        </is>
      </c>
      <c r="G5" s="6" t="inlineStr">
        <is>
          <t># H100 (80GB) FP16</t>
        </is>
      </c>
      <c r="H5" s="6" t="inlineStr">
        <is>
          <t># B200 (192GB) FP16</t>
        </is>
      </c>
    </row>
    <row r="6">
      <c r="B6" s="17" t="n">
        <v>0.5</v>
      </c>
      <c r="C6" s="18">
        <f>B6*Assumptions!$C$7</f>
        <v/>
      </c>
      <c r="D6" s="18">
        <f>B6*Assumptions!$C$8</f>
        <v/>
      </c>
      <c r="E6" s="18">
        <f>B6*Assumptions!$C$9</f>
        <v/>
      </c>
      <c r="F6" s="18">
        <f>B6*Assumptions!$C$10</f>
        <v/>
      </c>
      <c r="G6" s="18">
        <f>CEILING(D6*Assumptions!$D$17/80,1)</f>
        <v/>
      </c>
      <c r="H6" s="18">
        <f>CEILING(D6*Assumptions!$D$17/192,1)</f>
        <v/>
      </c>
    </row>
    <row r="7">
      <c r="B7" s="21" t="n">
        <v>1</v>
      </c>
      <c r="C7" s="22">
        <f>B7*Assumptions!$C$7</f>
        <v/>
      </c>
      <c r="D7" s="22">
        <f>B7*Assumptions!$C$8</f>
        <v/>
      </c>
      <c r="E7" s="22">
        <f>B7*Assumptions!$C$9</f>
        <v/>
      </c>
      <c r="F7" s="22">
        <f>B7*Assumptions!$C$10</f>
        <v/>
      </c>
      <c r="G7" s="22">
        <f>CEILING(D7*Assumptions!$D$17/80,1)</f>
        <v/>
      </c>
      <c r="H7" s="22">
        <f>CEILING(D7*Assumptions!$D$17/192,1)</f>
        <v/>
      </c>
    </row>
    <row r="8">
      <c r="B8" s="17" t="n">
        <v>3</v>
      </c>
      <c r="C8" s="18">
        <f>B8*Assumptions!$C$7</f>
        <v/>
      </c>
      <c r="D8" s="18">
        <f>B8*Assumptions!$C$8</f>
        <v/>
      </c>
      <c r="E8" s="18">
        <f>B8*Assumptions!$C$9</f>
        <v/>
      </c>
      <c r="F8" s="18">
        <f>B8*Assumptions!$C$10</f>
        <v/>
      </c>
      <c r="G8" s="18">
        <f>CEILING(D8*Assumptions!$D$17/80,1)</f>
        <v/>
      </c>
      <c r="H8" s="18">
        <f>CEILING(D8*Assumptions!$D$17/192,1)</f>
        <v/>
      </c>
    </row>
    <row r="9">
      <c r="B9" s="21" t="n">
        <v>7</v>
      </c>
      <c r="C9" s="22">
        <f>B9*Assumptions!$C$7</f>
        <v/>
      </c>
      <c r="D9" s="22">
        <f>B9*Assumptions!$C$8</f>
        <v/>
      </c>
      <c r="E9" s="22">
        <f>B9*Assumptions!$C$9</f>
        <v/>
      </c>
      <c r="F9" s="22">
        <f>B9*Assumptions!$C$10</f>
        <v/>
      </c>
      <c r="G9" s="22">
        <f>CEILING(D9*Assumptions!$D$17/80,1)</f>
        <v/>
      </c>
      <c r="H9" s="22">
        <f>CEILING(D9*Assumptions!$D$17/192,1)</f>
        <v/>
      </c>
    </row>
    <row r="10">
      <c r="B10" s="17" t="n">
        <v>13</v>
      </c>
      <c r="C10" s="18">
        <f>B10*Assumptions!$C$7</f>
        <v/>
      </c>
      <c r="D10" s="18">
        <f>B10*Assumptions!$C$8</f>
        <v/>
      </c>
      <c r="E10" s="18">
        <f>B10*Assumptions!$C$9</f>
        <v/>
      </c>
      <c r="F10" s="18">
        <f>B10*Assumptions!$C$10</f>
        <v/>
      </c>
      <c r="G10" s="18">
        <f>CEILING(D10*Assumptions!$D$17/80,1)</f>
        <v/>
      </c>
      <c r="H10" s="18">
        <f>CEILING(D10*Assumptions!$D$17/192,1)</f>
        <v/>
      </c>
    </row>
    <row r="11">
      <c r="B11" s="21" t="n">
        <v>30</v>
      </c>
      <c r="C11" s="22">
        <f>B11*Assumptions!$C$7</f>
        <v/>
      </c>
      <c r="D11" s="22">
        <f>B11*Assumptions!$C$8</f>
        <v/>
      </c>
      <c r="E11" s="22">
        <f>B11*Assumptions!$C$9</f>
        <v/>
      </c>
      <c r="F11" s="22">
        <f>B11*Assumptions!$C$10</f>
        <v/>
      </c>
      <c r="G11" s="22">
        <f>CEILING(D11*Assumptions!$D$17/80,1)</f>
        <v/>
      </c>
      <c r="H11" s="22">
        <f>CEILING(D11*Assumptions!$D$17/192,1)</f>
        <v/>
      </c>
    </row>
    <row r="12">
      <c r="B12" s="17" t="n">
        <v>70</v>
      </c>
      <c r="C12" s="18">
        <f>B12*Assumptions!$C$7</f>
        <v/>
      </c>
      <c r="D12" s="18">
        <f>B12*Assumptions!$C$8</f>
        <v/>
      </c>
      <c r="E12" s="18">
        <f>B12*Assumptions!$C$9</f>
        <v/>
      </c>
      <c r="F12" s="18">
        <f>B12*Assumptions!$C$10</f>
        <v/>
      </c>
      <c r="G12" s="18">
        <f>CEILING(D12*Assumptions!$D$17/80,1)</f>
        <v/>
      </c>
      <c r="H12" s="18">
        <f>CEILING(D12*Assumptions!$D$17/192,1)</f>
        <v/>
      </c>
    </row>
    <row r="13">
      <c r="B13" s="21" t="n">
        <v>130</v>
      </c>
      <c r="C13" s="22">
        <f>B13*Assumptions!$C$7</f>
        <v/>
      </c>
      <c r="D13" s="22">
        <f>B13*Assumptions!$C$8</f>
        <v/>
      </c>
      <c r="E13" s="22">
        <f>B13*Assumptions!$C$9</f>
        <v/>
      </c>
      <c r="F13" s="22">
        <f>B13*Assumptions!$C$10</f>
        <v/>
      </c>
      <c r="G13" s="22">
        <f>CEILING(D13*Assumptions!$D$17/80,1)</f>
        <v/>
      </c>
      <c r="H13" s="22">
        <f>CEILING(D13*Assumptions!$D$17/192,1)</f>
        <v/>
      </c>
    </row>
    <row r="14">
      <c r="B14" s="17" t="n">
        <v>175</v>
      </c>
      <c r="C14" s="18">
        <f>B14*Assumptions!$C$7</f>
        <v/>
      </c>
      <c r="D14" s="18">
        <f>B14*Assumptions!$C$8</f>
        <v/>
      </c>
      <c r="E14" s="18">
        <f>B14*Assumptions!$C$9</f>
        <v/>
      </c>
      <c r="F14" s="18">
        <f>B14*Assumptions!$C$10</f>
        <v/>
      </c>
      <c r="G14" s="18">
        <f>CEILING(D14*Assumptions!$D$17/80,1)</f>
        <v/>
      </c>
      <c r="H14" s="18">
        <f>CEILING(D14*Assumptions!$D$17/192,1)</f>
        <v/>
      </c>
    </row>
    <row r="15">
      <c r="B15" s="21" t="n">
        <v>405</v>
      </c>
      <c r="C15" s="22">
        <f>B15*Assumptions!$C$7</f>
        <v/>
      </c>
      <c r="D15" s="22">
        <f>B15*Assumptions!$C$8</f>
        <v/>
      </c>
      <c r="E15" s="22">
        <f>B15*Assumptions!$C$9</f>
        <v/>
      </c>
      <c r="F15" s="22">
        <f>B15*Assumptions!$C$10</f>
        <v/>
      </c>
      <c r="G15" s="22">
        <f>CEILING(D15*Assumptions!$D$17/80,1)</f>
        <v/>
      </c>
      <c r="H15" s="22">
        <f>CEILING(D15*Assumptions!$D$17/192,1)</f>
        <v/>
      </c>
    </row>
    <row r="16">
      <c r="B16" s="17" t="n">
        <v>671</v>
      </c>
      <c r="C16" s="18">
        <f>B16*Assumptions!$C$7</f>
        <v/>
      </c>
      <c r="D16" s="18">
        <f>B16*Assumptions!$C$8</f>
        <v/>
      </c>
      <c r="E16" s="18">
        <f>B16*Assumptions!$C$9</f>
        <v/>
      </c>
      <c r="F16" s="18">
        <f>B16*Assumptions!$C$10</f>
        <v/>
      </c>
      <c r="G16" s="18">
        <f>CEILING(D16*Assumptions!$D$17/80,1)</f>
        <v/>
      </c>
      <c r="H16" s="18">
        <f>CEILING(D16*Assumptions!$D$17/192,1)</f>
        <v/>
      </c>
    </row>
    <row r="17">
      <c r="B17" s="21" t="n">
        <v>1000</v>
      </c>
      <c r="C17" s="22">
        <f>B17*Assumptions!$C$7</f>
        <v/>
      </c>
      <c r="D17" s="22">
        <f>B17*Assumptions!$C$8</f>
        <v/>
      </c>
      <c r="E17" s="22">
        <f>B17*Assumptions!$C$9</f>
        <v/>
      </c>
      <c r="F17" s="22">
        <f>B17*Assumptions!$C$10</f>
        <v/>
      </c>
      <c r="G17" s="22">
        <f>CEILING(D17*Assumptions!$D$17/80,1)</f>
        <v/>
      </c>
      <c r="H17" s="22">
        <f>CEILING(D17*Assumptions!$D$17/192,1)</f>
        <v/>
      </c>
    </row>
    <row r="18">
      <c r="B18" s="17" t="n">
        <v>2000</v>
      </c>
      <c r="C18" s="18">
        <f>B18*Assumptions!$C$7</f>
        <v/>
      </c>
      <c r="D18" s="18">
        <f>B18*Assumptions!$C$8</f>
        <v/>
      </c>
      <c r="E18" s="18">
        <f>B18*Assumptions!$C$9</f>
        <v/>
      </c>
      <c r="F18" s="18">
        <f>B18*Assumptions!$C$10</f>
        <v/>
      </c>
      <c r="G18" s="18">
        <f>CEILING(D18*Assumptions!$D$17/80,1)</f>
        <v/>
      </c>
      <c r="H18" s="18">
        <f>CEILING(D18*Assumptions!$D$17/192,1)</f>
        <v/>
      </c>
    </row>
    <row r="26">
      <c r="J26" s="42" t="inlineStr">
        <is>
          <t>KV cache by context (GB) — helper for chart</t>
        </is>
      </c>
    </row>
    <row r="27">
      <c r="J27" s="28" t="inlineStr">
        <is>
          <t>Context</t>
        </is>
      </c>
      <c r="K27" s="28" t="inlineStr">
        <is>
          <t>Llama-3.1-8B</t>
        </is>
      </c>
      <c r="L27" s="28" t="inlineStr">
        <is>
          <t>Llama-3.1-70B</t>
        </is>
      </c>
      <c r="M27" s="28" t="inlineStr">
        <is>
          <t>Llama-3.1-405B</t>
        </is>
      </c>
      <c r="N27" s="28" t="inlineStr">
        <is>
          <t>GPT-3 175B (MHA)</t>
        </is>
      </c>
      <c r="O27" s="28" t="inlineStr">
        <is>
          <t>Llama-2-7B (MHA)</t>
        </is>
      </c>
    </row>
    <row r="28">
      <c r="J28" s="43" t="inlineStr">
        <is>
          <t>1K</t>
        </is>
      </c>
      <c r="K28" s="44">
        <f>'KV Cache Scaling'!D8</f>
        <v/>
      </c>
      <c r="L28" s="44">
        <f>'KV Cache Scaling'!D16</f>
        <v/>
      </c>
      <c r="M28" s="44">
        <f>'KV Cache Scaling'!D18</f>
        <v/>
      </c>
      <c r="N28" s="44">
        <f>'KV Cache Scaling'!D17</f>
        <v/>
      </c>
      <c r="O28" s="44">
        <f>'KV Cache Scaling'!D9</f>
        <v/>
      </c>
    </row>
    <row r="29">
      <c r="J29" s="43" t="inlineStr">
        <is>
          <t>2K</t>
        </is>
      </c>
      <c r="K29" s="44">
        <f>'KV Cache Scaling'!E8</f>
        <v/>
      </c>
      <c r="L29" s="44">
        <f>'KV Cache Scaling'!E16</f>
        <v/>
      </c>
      <c r="M29" s="44">
        <f>'KV Cache Scaling'!E18</f>
        <v/>
      </c>
      <c r="N29" s="44">
        <f>'KV Cache Scaling'!E17</f>
        <v/>
      </c>
      <c r="O29" s="44">
        <f>'KV Cache Scaling'!E9</f>
        <v/>
      </c>
    </row>
    <row r="30">
      <c r="J30" s="43" t="inlineStr">
        <is>
          <t>4K</t>
        </is>
      </c>
      <c r="K30" s="44">
        <f>'KV Cache Scaling'!F8</f>
        <v/>
      </c>
      <c r="L30" s="44">
        <f>'KV Cache Scaling'!F16</f>
        <v/>
      </c>
      <c r="M30" s="44">
        <f>'KV Cache Scaling'!F18</f>
        <v/>
      </c>
      <c r="N30" s="44">
        <f>'KV Cache Scaling'!F17</f>
        <v/>
      </c>
      <c r="O30" s="44">
        <f>'KV Cache Scaling'!F9</f>
        <v/>
      </c>
    </row>
    <row r="31">
      <c r="J31" s="43" t="inlineStr">
        <is>
          <t>8K</t>
        </is>
      </c>
      <c r="K31" s="44">
        <f>'KV Cache Scaling'!G8</f>
        <v/>
      </c>
      <c r="L31" s="44">
        <f>'KV Cache Scaling'!G16</f>
        <v/>
      </c>
      <c r="M31" s="44">
        <f>'KV Cache Scaling'!G18</f>
        <v/>
      </c>
      <c r="N31" s="44">
        <f>'KV Cache Scaling'!G17</f>
        <v/>
      </c>
      <c r="O31" s="44">
        <f>'KV Cache Scaling'!G9</f>
        <v/>
      </c>
    </row>
    <row r="32">
      <c r="J32" s="43" t="inlineStr">
        <is>
          <t>16K</t>
        </is>
      </c>
      <c r="K32" s="44">
        <f>'KV Cache Scaling'!H8</f>
        <v/>
      </c>
      <c r="L32" s="44">
        <f>'KV Cache Scaling'!H16</f>
        <v/>
      </c>
      <c r="M32" s="44">
        <f>'KV Cache Scaling'!H18</f>
        <v/>
      </c>
      <c r="N32" s="44">
        <f>'KV Cache Scaling'!H17</f>
        <v/>
      </c>
      <c r="O32" s="44">
        <f>'KV Cache Scaling'!H9</f>
        <v/>
      </c>
    </row>
    <row r="33">
      <c r="J33" s="43" t="inlineStr">
        <is>
          <t>32K</t>
        </is>
      </c>
      <c r="K33" s="44">
        <f>'KV Cache Scaling'!I8</f>
        <v/>
      </c>
      <c r="L33" s="44">
        <f>'KV Cache Scaling'!I16</f>
        <v/>
      </c>
      <c r="M33" s="44">
        <f>'KV Cache Scaling'!I18</f>
        <v/>
      </c>
      <c r="N33" s="44">
        <f>'KV Cache Scaling'!I17</f>
        <v/>
      </c>
      <c r="O33" s="44">
        <f>'KV Cache Scaling'!I9</f>
        <v/>
      </c>
    </row>
    <row r="34">
      <c r="J34" s="43" t="inlineStr">
        <is>
          <t>64K</t>
        </is>
      </c>
      <c r="K34" s="44">
        <f>'KV Cache Scaling'!J8</f>
        <v/>
      </c>
      <c r="L34" s="44">
        <f>'KV Cache Scaling'!J16</f>
        <v/>
      </c>
      <c r="M34" s="44">
        <f>'KV Cache Scaling'!J18</f>
        <v/>
      </c>
      <c r="N34" s="44">
        <f>'KV Cache Scaling'!J17</f>
        <v/>
      </c>
      <c r="O34" s="44">
        <f>'KV Cache Scaling'!J9</f>
        <v/>
      </c>
    </row>
    <row r="35">
      <c r="J35" s="43" t="inlineStr">
        <is>
          <t>128K</t>
        </is>
      </c>
      <c r="K35" s="44">
        <f>'KV Cache Scaling'!K8</f>
        <v/>
      </c>
      <c r="L35" s="44">
        <f>'KV Cache Scaling'!K16</f>
        <v/>
      </c>
      <c r="M35" s="44">
        <f>'KV Cache Scaling'!K18</f>
        <v/>
      </c>
      <c r="N35" s="44">
        <f>'KV Cache Scaling'!K17</f>
        <v/>
      </c>
      <c r="O35" s="44">
        <f>'KV Cache Scaling'!K9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2026-07-06T16:56:50Z</dcterms:created>
  <dcterms:modified xsi:type="dcterms:W3CDTF">2026-07-06T16:56:50Z</dcterms:modified>
</cp:coreProperties>
</file>