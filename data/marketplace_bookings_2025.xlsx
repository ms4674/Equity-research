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ata" sheetId="2" state="visible" r:id="rId2"/>
  </sheets>
  <definedNames>
    <definedName name="_xlnm._FilterDatabase" localSheetId="1" hidden="1">'Data'!$A$1:$K$45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#,##0.0"/>
  </numFmts>
  <fonts count="9">
    <font>
      <name val="Calibri"/>
      <family val="2"/>
      <color theme="1"/>
      <sz val="11"/>
      <scheme val="minor"/>
    </font>
    <font>
      <b val="1"/>
      <color rgb="00FFFFFF"/>
    </font>
    <font>
      <color rgb="000563C1"/>
      <u val="single"/>
    </font>
    <font>
      <i val="1"/>
      <color rgb="00808080"/>
    </font>
    <font>
      <i val="1"/>
      <color rgb="000563C1"/>
      <u val="single"/>
    </font>
    <font>
      <b val="1"/>
      <sz val="14"/>
    </font>
    <font>
      <i val="1"/>
      <color rgb="00595959"/>
    </font>
    <font>
      <b val="1"/>
    </font>
    <font>
      <color rgb="00595959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pivotButton="0" quotePrefix="0" xfId="0"/>
    <xf numFmtId="165" fontId="0" fillId="0" borderId="0" pivotButton="0" quotePrefix="0" xfId="0"/>
    <xf numFmtId="0" fontId="7" fillId="3" borderId="0" pivotButton="0" quotePrefix="0" xfId="0"/>
    <xf numFmtId="165" fontId="7" fillId="3" borderId="0" pivotButton="0" quotePrefix="0" xfId="0"/>
    <xf numFmtId="0" fontId="7" fillId="0" borderId="0" pivotButton="0" quotePrefix="0" xfId="0"/>
    <xf numFmtId="165" fontId="7" fillId="0" borderId="0" pivotButton="0" quotePrefix="0" xfId="0"/>
    <xf numFmtId="0" fontId="7" fillId="0" borderId="0" applyAlignment="1" pivotButton="0" quotePrefix="0" xfId="0">
      <alignment/>
    </xf>
    <xf numFmtId="0" fontId="8" fillId="0" borderId="0" applyAlignment="1" pivotButton="0" quotePrefix="0" xfId="0">
      <alignment/>
    </xf>
    <xf numFmtId="0" fontId="1" fillId="2" borderId="0" applyAlignment="1" pivotButton="0" quotePrefix="0" xfId="0">
      <alignment vertical="center" wrapText="1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3" fillId="0" borderId="1" applyAlignment="1" pivotButton="0" quotePrefix="0" xfId="0">
      <alignment vertical="top"/>
    </xf>
    <xf numFmtId="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/>
    </xf>
    <xf numFmtId="0" fontId="4" fillId="0" borderId="1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ir.doordash.com/news/news-details/2026/DoorDash-Releases-Fourth-Quarter-and-Full-Year-2025-Financial-Results/default.aspx" TargetMode="External" Id="rId1" /><Relationship Type="http://schemas.openxmlformats.org/officeDocument/2006/relationships/hyperlink" Target="https://investor.uber.com/news-events/news/press-release-details/2026/Uber-Announces-Results-for-Fourth-Quarter-and-Full-Year-2025/" TargetMode="External" Id="rId2" /><Relationship Type="http://schemas.openxmlformats.org/officeDocument/2006/relationships/hyperlink" Target="https://www.hkexnews.hk/listedco/listconews/sehk/2026/0326/2026032600964.pdf" TargetMode="External" Id="rId3" /><Relationship Type="http://schemas.openxmlformats.org/officeDocument/2006/relationships/hyperlink" Target="https://technode.com/2025/07/09/taobao-instant-commerce-and-ele-me-orders-top-80-million-a-day-tea-stocks-rally-while-platform-shares-slip/" TargetMode="External" Id="rId4" /><Relationship Type="http://schemas.openxmlformats.org/officeDocument/2006/relationships/hyperlink" Target="https://ir.deliveryhero.com/news/delivery-hero-reports-adj-ebitda-up-30percent-in-2025-as-quick-commerce-and-key-markets/cec0ca16-2bc0-400d-bd1e-b98d1874ca06" TargetMode="External" Id="rId5" /><Relationship Type="http://schemas.openxmlformats.org/officeDocument/2006/relationships/hyperlink" Target="https://www.sec.gov/Archives/edgar/data/1579091/000157909126000006/cartfourthquarter2025sha.htm" TargetMode="External" Id="rId6" /><Relationship Type="http://schemas.openxmlformats.org/officeDocument/2006/relationships/hyperlink" Target="https://newsroom.justeattakeaway.com/en-WW/252645-half-year-2025-results/" TargetMode="External" Id="rId7" /><Relationship Type="http://schemas.openxmlformats.org/officeDocument/2006/relationships/hyperlink" Target="https://www.grab.com/sg/press/others/grab-reports-fourth-quarter-and-2025-results-with-first-full-year-net-profit/" TargetMode="External" Id="rId8" /><Relationship Type="http://schemas.openxmlformats.org/officeDocument/2006/relationships/hyperlink" Target="https://b.zmtcdn.com/investor-relations/Eternal_Annual_Report_2025-26.pdf" TargetMode="External" Id="rId9" /><Relationship Type="http://schemas.openxmlformats.org/officeDocument/2006/relationships/hyperlink" Target="https://neofeed.com.br/negocios/uma-entrega-de-r-7-bilhoes-em-receita-para-o-ifood-em-2025/" TargetMode="External" Id="rId10" /><Relationship Type="http://schemas.openxmlformats.org/officeDocument/2006/relationships/hyperlink" Target="https://kr-asia.com/meituan-scrambles-on-super-saturday-as-taobao-shangou-tops-80-million-daily-orders" TargetMode="External" Id="rId11" /><Relationship Type="http://schemas.openxmlformats.org/officeDocument/2006/relationships/hyperlink" Target="https://www.businesskorea.co.kr/news/articleView.html?idxno=261794" TargetMode="External" Id="rId12" /><Relationship Type="http://schemas.openxmlformats.org/officeDocument/2006/relationships/hyperlink" Target="https://sacra.com/c/rappi/" TargetMode="External" Id="rId13" /><Relationship Type="http://schemas.openxmlformats.org/officeDocument/2006/relationships/hyperlink" Target="https://www.swiggy.com/corporate/wp-content/uploads/2026/07/annual-report-2025-26.pdf" TargetMode="External" Id="rId14" /><Relationship Type="http://schemas.openxmlformats.org/officeDocument/2006/relationships/hyperlink" Target="https://ir.doordash.com/news/news-details/2025/DoorDash-Completes-Acquisition-of-Deliveroo/default.aspx" TargetMode="External" Id="rId15" /><Relationship Type="http://schemas.openxmlformats.org/officeDocument/2006/relationships/hyperlink" Target="https://ir.talabat.com/wp-content/uploads/2026/02/20260213_talabat-Q425-Results-Press-Release-En.pdf" TargetMode="External" Id="rId16" /><Relationship Type="http://schemas.openxmlformats.org/officeDocument/2006/relationships/hyperlink" Target="https://investor.uber.com/news-events/news/press-release-details/2026/Uber-Announces-Results-for-Fourth-Quarter-and-Full-Year-2025/" TargetMode="External" Id="rId17" /><Relationship Type="http://schemas.openxmlformats.org/officeDocument/2006/relationships/hyperlink" Target="https://ir.didiglobal.com/static-files/893cd576-17a8-4e80-b158-0f2b44e131a2" TargetMode="External" Id="rId18" /><Relationship Type="http://schemas.openxmlformats.org/officeDocument/2006/relationships/hyperlink" Target="https://yandex.ru/company/news/17-02-2026" TargetMode="External" Id="rId19" /><Relationship Type="http://schemas.openxmlformats.org/officeDocument/2006/relationships/hyperlink" Target="https://investor.lyft.com/news-events-presentations/press-releases/detail/191/lyft-reports-record-q4-and-full-year-2025-results" TargetMode="External" Id="rId20" /><Relationship Type="http://schemas.openxmlformats.org/officeDocument/2006/relationships/hyperlink" Target="https://news.err.ee/1610065420/estonian-mobility-unicorn-bolt-reaches-profit-for-the-first-time" TargetMode="External" Id="rId21" /><Relationship Type="http://schemas.openxmlformats.org/officeDocument/2006/relationships/hyperlink" Target="https://www.grab.com/sg/press/others/grab-reports-fourth-quarter-and-2025-results-with-first-full-year-net-profit/" TargetMode="External" Id="rId22" /><Relationship Type="http://schemas.openxmlformats.org/officeDocument/2006/relationships/hyperlink" Target="https://www.reuters.com/world/asia-pacific/ride-hailing-app-indrive-says-revenue-up-31-2025-eyes-delivery-expansion-2026-03-16/" TargetMode="External" Id="rId23" /><Relationship Type="http://schemas.openxmlformats.org/officeDocument/2006/relationships/hyperlink" Target="https://www.hkexnews.hk/listedco/listconews/sehk/2026/0327/2026032701788_c.pdf" TargetMode="External" Id="rId24" /><Relationship Type="http://schemas.openxmlformats.org/officeDocument/2006/relationships/hyperlink" Target="https://entrackr.com/fintrackr/ola-cabs-revenue-plunges-42-to-rs-1171-cr-in-fy25-losses-double-11810114" TargetMode="External" Id="rId25" /><Relationship Type="http://schemas.openxmlformats.org/officeDocument/2006/relationships/hyperlink" Target="https://www.kakaocorp.com/page/detail/11936?lang=ENG" TargetMode="External" Id="rId26" /><Relationship Type="http://schemas.openxmlformats.org/officeDocument/2006/relationships/hyperlink" Target="https://www.sec.gov/Archives/edgar/data/1075531/000107553126000008/q4-25bkngearningsrelease.htm" TargetMode="External" Id="rId27" /><Relationship Type="http://schemas.openxmlformats.org/officeDocument/2006/relationships/hyperlink" Target="https://www.alphaspread.com/security/hkex/9961/investor-relations/earnings-call/q4-2025" TargetMode="External" Id="rId28" /><Relationship Type="http://schemas.openxmlformats.org/officeDocument/2006/relationships/hyperlink" Target="https://www.sec.gov/Archives/edgar/data/1324424/000132442426000005/earningsrelease-q42025.htm" TargetMode="External" Id="rId29" /><Relationship Type="http://schemas.openxmlformats.org/officeDocument/2006/relationships/hyperlink" Target="https://www.sec.gov/Archives/edgar/data/1559720/000119312526048670/d58192dex991.htm" TargetMode="External" Id="rId30" /><Relationship Type="http://schemas.openxmlformats.org/officeDocument/2006/relationships/hyperlink" Target="https://www.tongchengir.com/media/xjynmv0b/2024-annual-report.pdf" TargetMode="External" Id="rId31" /><Relationship Type="http://schemas.openxmlformats.org/officeDocument/2006/relationships/hyperlink" Target="https://www.sec.gov/Archives/edgar/data/1495153/000119312526229605/mmyt-ex99_1.htm" TargetMode="External" Id="rId32" /><Relationship Type="http://schemas.openxmlformats.org/officeDocument/2006/relationships/hyperlink" Target="https://www.prnewswire.com/news-releases/hbx-group-announces-full-year-2025-financial-results-302626557.html" TargetMode="External" Id="rId33" /><Relationship Type="http://schemas.openxmlformats.org/officeDocument/2006/relationships/hyperlink" Target="https://www.trainlinegroup.com/media/v4hefbo4/trainline_plc_fy26_earnings_release_-_final_0505.pdf" TargetMode="External" Id="rId34" /><Relationship Type="http://schemas.openxmlformats.org/officeDocument/2006/relationships/hyperlink" Target="https://www.businessofapps.com/data/hopper-statistics/" TargetMode="External" Id="rId35" /><Relationship Type="http://schemas.openxmlformats.org/officeDocument/2006/relationships/hyperlink" Target="https://www.businesswire.com/news/home/20250425424437/en/Despegar.com-Announces-4Q24-and-FY24-Financial-Results" TargetMode="External" Id="rId36" /><Relationship Type="http://schemas.openxmlformats.org/officeDocument/2006/relationships/hyperlink" Target="https://s202.q4cdn.com/903232390/files/doc_financials/2026/q4/IAR_FY26_EN.pdf" TargetMode="External" Id="rId37" /><Relationship Type="http://schemas.openxmlformats.org/officeDocument/2006/relationships/hyperlink" Target="https://www.getyourguide.press/blog/top-of-mind-all-eyes-on-us" TargetMode="External" Id="rId38" /><Relationship Type="http://schemas.openxmlformats.org/officeDocument/2006/relationships/hyperlink" Target="https://www.sec.gov/Archives/edgar/data/1526520/000119312526047622/trip-ex99_1.htm" TargetMode="External" Id="rId39" /><Relationship Type="http://schemas.openxmlformats.org/officeDocument/2006/relationships/hyperlink" Target="https://announcements.asx.com.au/asxpdf/20260527/pdf/06zzxyrd063r2s.pdf" TargetMode="External" Id="rId40" /><Relationship Type="http://schemas.openxmlformats.org/officeDocument/2006/relationships/hyperlink" Target="https://res.cloudinary.com/lastminute-contenthub/image/upload/v1770840777/DAM/Artwork/lastminute.com/reports_presentations/2026/20260212_Q4%20and%20Preliminary%20FY%202025%20Report.pdf" TargetMode="External" Id="rId41" /><Relationship Type="http://schemas.openxmlformats.org/officeDocument/2006/relationships/hyperlink" Target="https://www.sec.gov/Archives/edgar/data/2071502/000121390025108023/ea0248324-08.htm" TargetMode="External" Id="rId42" /><Relationship Type="http://schemas.openxmlformats.org/officeDocument/2006/relationships/hyperlink" Target="https://www.marketscreener.com/news/hometogo-annual-financial-report-2025-hometogo-annual-report-2025-ce7e51dbdc89f027" TargetMode="External" Id="rId43" /><Relationship Type="http://schemas.openxmlformats.org/officeDocument/2006/relationships/hyperlink" Target="https://investors-site-api.ixigo.workers.dev/files/1779366622944-regulation-30-earningsrelease-21052026.pdf" TargetMode="External" Id="rId44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cols>
    <col width="44" customWidth="1" min="1" max="1"/>
    <col width="15" customWidth="1" min="2" max="2"/>
    <col width="15" customWidth="1" min="3" max="3"/>
    <col width="15" customWidth="1" min="4" max="4"/>
  </cols>
  <sheetData>
    <row r="1">
      <c r="A1" s="1" t="inlineStr">
        <is>
          <t>Global Marketplace Bookings: Delivery, Ridesharing &amp; Online Travel (2025)</t>
        </is>
      </c>
    </row>
    <row r="2">
      <c r="A2" s="2" t="inlineStr">
        <is>
          <t>Gross transaction value (GOV / GMV / GTV / gross bookings / GBV), USD billions, latest completed fiscal year. Compiled September 2026.</t>
        </is>
      </c>
    </row>
    <row r="4">
      <c r="A4" s="3" t="inlineStr">
        <is>
          <t>Sector</t>
        </is>
      </c>
      <c r="B4" s="3" t="inlineStr">
        <is>
          <t>Disclosed</t>
        </is>
      </c>
      <c r="C4" s="3" t="inlineStr">
        <is>
          <t>Estimated</t>
        </is>
      </c>
      <c r="D4" s="3" t="inlineStr">
        <is>
          <t>Subtotal</t>
        </is>
      </c>
    </row>
    <row r="5">
      <c r="A5" t="inlineStr">
        <is>
          <t>Food &amp; grocery delivery</t>
        </is>
      </c>
      <c r="B5" s="4">
        <f>SUMIFS(Data!$F:$F,Data!$A:$A,"Delivery",Data!$H:$H,"Disclosed",Data!$I:$I,"yes")</f>
        <v/>
      </c>
      <c r="C5" s="4">
        <f>SUMIFS(Data!$F:$F,Data!$A:$A,"Delivery",Data!$H:$H,"Estimate",Data!$I:$I,"yes")</f>
        <v/>
      </c>
      <c r="D5" s="4">
        <f>B5+C5</f>
        <v/>
      </c>
    </row>
    <row r="6">
      <c r="A6" t="inlineStr">
        <is>
          <t>Ridesharing / ride-hailing</t>
        </is>
      </c>
      <c r="B6" s="4">
        <f>SUMIFS(Data!$F:$F,Data!$A:$A,"Ridesharing",Data!$H:$H,"Disclosed",Data!$I:$I,"yes")</f>
        <v/>
      </c>
      <c r="C6" s="4">
        <f>SUMIFS(Data!$F:$F,Data!$A:$A,"Ridesharing",Data!$H:$H,"Estimate",Data!$I:$I,"yes")</f>
        <v/>
      </c>
      <c r="D6" s="4">
        <f>B6+C6</f>
        <v/>
      </c>
    </row>
    <row r="7">
      <c r="A7" t="inlineStr">
        <is>
          <t>Online travel</t>
        </is>
      </c>
      <c r="B7" s="4">
        <f>SUMIFS(Data!$F:$F,Data!$A:$A,"Online travel",Data!$H:$H,"Disclosed",Data!$I:$I,"yes")</f>
        <v/>
      </c>
      <c r="C7" s="4">
        <f>SUMIFS(Data!$F:$F,Data!$A:$A,"Online travel",Data!$H:$H,"Estimate",Data!$I:$I,"yes")</f>
        <v/>
      </c>
      <c r="D7" s="4">
        <f>B7+C7</f>
        <v/>
      </c>
    </row>
    <row r="8">
      <c r="A8" s="5" t="inlineStr">
        <is>
          <t>Grand total</t>
        </is>
      </c>
      <c r="B8" s="6">
        <f>B5+B6+B7</f>
        <v/>
      </c>
      <c r="C8" s="6">
        <f>C5+C6+C7</f>
        <v/>
      </c>
      <c r="D8" s="6">
        <f>D5+D6+D7</f>
        <v/>
      </c>
    </row>
    <row r="9">
      <c r="B9" s="4" t="n"/>
      <c r="C9" s="4" t="n"/>
      <c r="D9" s="4" t="n"/>
    </row>
    <row r="10">
      <c r="A10" t="inlineStr">
        <is>
          <t>Less: B2B bed banks (HBX, WebBeds)</t>
        </is>
      </c>
      <c r="B10" s="4" t="n"/>
      <c r="C10" s="4" t="n"/>
      <c r="D10" s="4">
        <f>-(SUMIFS(Data!$F:$F,Data!$B:$B,"HBX Group (Hotelbeds)")+SUMIFS(Data!$F:$F,Data!$B:$B,"WEB Travel Group (WebBeds)"))</f>
        <v/>
      </c>
    </row>
    <row r="11">
      <c r="A11" s="7" t="inlineStr">
        <is>
          <t>Consumer-facing total (ex-bed banks)</t>
        </is>
      </c>
      <c r="B11" s="4" t="n"/>
      <c r="C11" s="4" t="n"/>
      <c r="D11" s="8">
        <f>D8+D10</f>
        <v/>
      </c>
    </row>
    <row r="13">
      <c r="A13" s="9" t="inlineStr">
        <is>
          <t>Notes:</t>
        </is>
      </c>
    </row>
    <row r="14">
      <c r="A14" s="10" t="inlineStr">
        <is>
          <t>- Subtotals are live SUMIFS over the Data sheet; edit values or the 'In total' flag there to update.</t>
        </is>
      </c>
    </row>
    <row r="15">
      <c r="A15" s="10" t="inlineStr">
        <is>
          <t>- 'Disclosed' includes company-reported figures plus management-stated (Trip.com) and company-announced (GetYourGuide) values; 'Estimate' covers analyst/third-party triangulations.</t>
        </is>
      </c>
    </row>
    <row r="16">
      <c r="A16" s="10" t="inlineStr">
        <is>
          <t>- Memo rows (talabat inside Delivery Hero; Careem, FreeNow, Wolt, Kakao Mobility) are excluded from totals to avoid double counting.</t>
        </is>
      </c>
    </row>
    <row r="17">
      <c r="A17" s="10" t="inlineStr">
        <is>
          <t>- China delivery (Meituan, Ele.me/Taobao, JD) does not disclose absolute transaction value; ~$275B of the delivery subtotal is estimated, with a roughly +/-$50B plausible range.</t>
        </is>
      </c>
    </row>
    <row r="18">
      <c r="A18" s="10" t="inlineStr">
        <is>
          <t>- Stale entries: Tongcheng and Despegar are FY2024; Hopper is a CY2024 third-party estimate.</t>
        </is>
      </c>
    </row>
    <row r="19">
      <c r="A19" s="10" t="inlineStr">
        <is>
          <t>- Full methodology and caveats: reports/global-marketplace-bookings-2025.md.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42" customWidth="1" min="2" max="2"/>
    <col width="26" customWidth="1" min="3" max="3"/>
    <col width="36" customWidth="1" min="4" max="4"/>
    <col width="22" customWidth="1" min="5" max="5"/>
    <col width="14" customWidth="1" min="6" max="6"/>
    <col width="24" customWidth="1" min="7" max="7"/>
    <col width="13" customWidth="1" min="8" max="8"/>
    <col width="9" customWidth="1" min="9" max="9"/>
    <col width="80" customWidth="1" min="10" max="10"/>
    <col width="40" customWidth="1" min="11" max="11"/>
  </cols>
  <sheetData>
    <row r="1">
      <c r="A1" s="11" t="inlineStr">
        <is>
          <t>Sector</t>
        </is>
      </c>
      <c r="B1" s="11" t="inlineStr">
        <is>
          <t>Company</t>
        </is>
      </c>
      <c r="C1" s="11" t="inlineStr">
        <is>
          <t>Ticker</t>
        </is>
      </c>
      <c r="D1" s="11" t="inlineStr">
        <is>
          <t>Metric</t>
        </is>
      </c>
      <c r="E1" s="11" t="inlineStr">
        <is>
          <t>Period</t>
        </is>
      </c>
      <c r="F1" s="11" t="inlineStr">
        <is>
          <t>Value (USD bn)</t>
        </is>
      </c>
      <c r="G1" s="11" t="inlineStr">
        <is>
          <t>Basis</t>
        </is>
      </c>
      <c r="H1" s="11" t="inlineStr">
        <is>
          <t>Basis bucket</t>
        </is>
      </c>
      <c r="I1" s="11" t="inlineStr">
        <is>
          <t>In total</t>
        </is>
      </c>
      <c r="J1" s="11" t="inlineStr">
        <is>
          <t>Notes</t>
        </is>
      </c>
      <c r="K1" s="11" t="inlineStr">
        <is>
          <t>Source</t>
        </is>
      </c>
    </row>
    <row r="2">
      <c r="A2" s="12" t="inlineStr">
        <is>
          <t>Delivery</t>
        </is>
      </c>
      <c r="B2" s="12" t="inlineStr">
        <is>
          <t>DoorDash</t>
        </is>
      </c>
      <c r="C2" s="12" t="inlineStr">
        <is>
          <t>NASDAQ: DASH</t>
        </is>
      </c>
      <c r="D2" s="13" t="inlineStr">
        <is>
          <t>Marketplace GOV</t>
        </is>
      </c>
      <c r="E2" s="12" t="inlineStr">
        <is>
          <t>CY2025</t>
        </is>
      </c>
      <c r="F2" s="14" t="n">
        <v>102</v>
      </c>
      <c r="G2" s="12" t="inlineStr">
        <is>
          <t>disclosed</t>
        </is>
      </c>
      <c r="H2" s="12" t="inlineStr">
        <is>
          <t>Disclosed</t>
        </is>
      </c>
      <c r="I2" s="12" t="inlineStr">
        <is>
          <t>yes</t>
        </is>
      </c>
      <c r="J2" s="13" t="inlineStr">
        <is>
          <t>Includes Wolt; includes Deliveroo from Oct 2 2025 (stub ~$3.3B)</t>
        </is>
      </c>
      <c r="K2" s="15" t="inlineStr">
        <is>
          <t>ir.doordash.com</t>
        </is>
      </c>
    </row>
    <row r="3">
      <c r="A3" s="12" t="inlineStr">
        <is>
          <t>Delivery</t>
        </is>
      </c>
      <c r="B3" s="12" t="inlineStr">
        <is>
          <t>Uber Delivery segment</t>
        </is>
      </c>
      <c r="C3" s="12" t="inlineStr">
        <is>
          <t>NYSE: UBER</t>
        </is>
      </c>
      <c r="D3" s="13" t="inlineStr">
        <is>
          <t>Gross Bookings</t>
        </is>
      </c>
      <c r="E3" s="12" t="inlineStr">
        <is>
          <t>CY2025</t>
        </is>
      </c>
      <c r="F3" s="14" t="n">
        <v>90.90000000000001</v>
      </c>
      <c r="G3" s="12" t="inlineStr">
        <is>
          <t>disclosed</t>
        </is>
      </c>
      <c r="H3" s="12" t="inlineStr">
        <is>
          <t>Disclosed</t>
        </is>
      </c>
      <c r="I3" s="12" t="inlineStr">
        <is>
          <t>yes</t>
        </is>
      </c>
      <c r="J3" s="13" t="inlineStr">
        <is>
          <t>Sum of reported quarters; includes grocery/retail and Trendyol Go from ~Aug 2025; excludes tips</t>
        </is>
      </c>
      <c r="K3" s="15" t="inlineStr">
        <is>
          <t>investor.uber.com</t>
        </is>
      </c>
    </row>
    <row r="4">
      <c r="A4" s="12" t="inlineStr">
        <is>
          <t>Delivery</t>
        </is>
      </c>
      <c r="B4" s="12" t="inlineStr">
        <is>
          <t>Meituan (food delivery + Instashopping)</t>
        </is>
      </c>
      <c r="C4" s="12" t="inlineStr">
        <is>
          <t>HKEX: 3690</t>
        </is>
      </c>
      <c r="D4" s="13" t="inlineStr">
        <is>
          <t>GTV (not disclosed in absolute terms)</t>
        </is>
      </c>
      <c r="E4" s="12" t="inlineStr">
        <is>
          <t>CY2025</t>
        </is>
      </c>
      <c r="F4" s="14" t="n">
        <v>182.5</v>
      </c>
      <c r="G4" s="12" t="inlineStr">
        <is>
          <t>estimate</t>
        </is>
      </c>
      <c r="H4" s="12" t="inlineStr">
        <is>
          <t>Estimate</t>
        </is>
      </c>
      <c r="I4" s="12" t="inlineStr">
        <is>
          <t>yes</t>
        </is>
      </c>
      <c r="J4" s="13" t="inlineStr">
        <is>
          <t>Est. RMB ~1.3T combined (range $175-190B); company disclosed only qualitative growth; excludes Keeta</t>
        </is>
      </c>
      <c r="K4" s="15" t="inlineStr">
        <is>
          <t>www.hkexnews.hk</t>
        </is>
      </c>
    </row>
    <row r="5">
      <c r="A5" s="12" t="inlineStr">
        <is>
          <t>Delivery</t>
        </is>
      </c>
      <c r="B5" s="12" t="inlineStr">
        <is>
          <t>Ele.me / Taobao Instant Commerce</t>
        </is>
      </c>
      <c r="C5" s="12" t="inlineStr">
        <is>
          <t>NYSE: BABA</t>
        </is>
      </c>
      <c r="D5" s="13" t="inlineStr">
        <is>
          <t>GMV (not disclosed)</t>
        </is>
      </c>
      <c r="E5" s="12" t="inlineStr">
        <is>
          <t>CY2025</t>
        </is>
      </c>
      <c r="F5" s="14" t="n">
        <v>82.5</v>
      </c>
      <c r="G5" s="12" t="inlineStr">
        <is>
          <t>rough estimate</t>
        </is>
      </c>
      <c r="H5" s="12" t="inlineStr">
        <is>
          <t>Estimate</t>
        </is>
      </c>
      <c r="I5" s="12" t="inlineStr">
        <is>
          <t>yes</t>
        </is>
      </c>
      <c r="J5" s="13" t="inlineStr">
        <is>
          <t>Est. RMB 500-700B (range $70-95B) from order run-rates x AOV; scaled up from May 2025 subsidy push</t>
        </is>
      </c>
      <c r="K5" s="15" t="inlineStr">
        <is>
          <t>technode.com</t>
        </is>
      </c>
    </row>
    <row r="6">
      <c r="A6" s="12" t="inlineStr">
        <is>
          <t>Delivery</t>
        </is>
      </c>
      <c r="B6" s="12" t="inlineStr">
        <is>
          <t>Delivery Hero</t>
        </is>
      </c>
      <c r="C6" s="12" t="inlineStr">
        <is>
          <t>ETR: DHER</t>
        </is>
      </c>
      <c r="D6" s="13" t="inlineStr">
        <is>
          <t>GMV</t>
        </is>
      </c>
      <c r="E6" s="12" t="inlineStr">
        <is>
          <t>CY2025</t>
        </is>
      </c>
      <c r="F6" s="14" t="n">
        <v>55.6</v>
      </c>
      <c r="G6" s="12" t="inlineStr">
        <is>
          <t>disclosed</t>
        </is>
      </c>
      <c r="H6" s="12" t="inlineStr">
        <is>
          <t>Disclosed</t>
        </is>
      </c>
      <c r="I6" s="12" t="inlineStr">
        <is>
          <t>yes</t>
        </is>
      </c>
      <c r="J6" s="13" t="inlineStr">
        <is>
          <t>EUR 49.2B at ~1.13 EUR/USD; +9.0% LFL cc; includes talabat (do not add separately)</t>
        </is>
      </c>
      <c r="K6" s="15" t="inlineStr">
        <is>
          <t>ir.deliveryhero.com</t>
        </is>
      </c>
    </row>
    <row r="7">
      <c r="A7" s="12" t="inlineStr">
        <is>
          <t>Delivery</t>
        </is>
      </c>
      <c r="B7" s="12" t="inlineStr">
        <is>
          <t>Instacart (Maplebear)</t>
        </is>
      </c>
      <c r="C7" s="12" t="inlineStr">
        <is>
          <t>NASDAQ: CART</t>
        </is>
      </c>
      <c r="D7" s="13" t="inlineStr">
        <is>
          <t>GTV</t>
        </is>
      </c>
      <c r="E7" s="12" t="inlineStr">
        <is>
          <t>CY2025</t>
        </is>
      </c>
      <c r="F7" s="14" t="n">
        <v>37.2</v>
      </c>
      <c r="G7" s="12" t="inlineStr">
        <is>
          <t>disclosed</t>
        </is>
      </c>
      <c r="H7" s="12" t="inlineStr">
        <is>
          <t>Disclosed</t>
        </is>
      </c>
      <c r="I7" s="12" t="inlineStr">
        <is>
          <t>yes</t>
        </is>
      </c>
      <c r="J7" s="13" t="inlineStr">
        <is>
          <t>+11% YoY</t>
        </is>
      </c>
      <c r="K7" s="15" t="inlineStr">
        <is>
          <t>www.sec.gov</t>
        </is>
      </c>
    </row>
    <row r="8">
      <c r="A8" s="12" t="inlineStr">
        <is>
          <t>Delivery</t>
        </is>
      </c>
      <c r="B8" s="12" t="inlineStr">
        <is>
          <t>Just Eat Takeaway.com</t>
        </is>
      </c>
      <c r="C8" s="12" t="inlineStr">
        <is>
          <t>private (Prosus; was AMS: TKWY)</t>
        </is>
      </c>
      <c r="D8" s="13" t="inlineStr">
        <is>
          <t>GTV</t>
        </is>
      </c>
      <c r="E8" s="12" t="inlineStr">
        <is>
          <t>CY2025</t>
        </is>
      </c>
      <c r="F8" s="14" t="n">
        <v>21</v>
      </c>
      <c r="G8" s="12" t="inlineStr">
        <is>
          <t>estimate</t>
        </is>
      </c>
      <c r="H8" s="12" t="inlineStr">
        <is>
          <t>Estimate</t>
        </is>
      </c>
      <c r="I8" s="12" t="inlineStr">
        <is>
          <t>yes</t>
        </is>
      </c>
      <c r="J8" s="13" t="inlineStr">
        <is>
          <t>Est. EUR 18-19B; no FY2025 GTV published after Prosus take-private (Oct 2025); FY2024 was EUR 18.9B ex-Grubhub</t>
        </is>
      </c>
      <c r="K8" s="15" t="inlineStr">
        <is>
          <t>newsroom.justeattakeaway.com</t>
        </is>
      </c>
    </row>
    <row r="9">
      <c r="A9" s="12" t="inlineStr">
        <is>
          <t>Delivery</t>
        </is>
      </c>
      <c r="B9" s="12" t="inlineStr">
        <is>
          <t>Grab Deliveries segment</t>
        </is>
      </c>
      <c r="C9" s="12" t="inlineStr">
        <is>
          <t>NASDAQ: GRAB</t>
        </is>
      </c>
      <c r="D9" s="13" t="inlineStr">
        <is>
          <t>GMV</t>
        </is>
      </c>
      <c r="E9" s="12" t="inlineStr">
        <is>
          <t>CY2025</t>
        </is>
      </c>
      <c r="F9" s="14" t="n">
        <v>14.2</v>
      </c>
      <c r="G9" s="12" t="inlineStr">
        <is>
          <t>disclosed</t>
        </is>
      </c>
      <c r="H9" s="12" t="inlineStr">
        <is>
          <t>Disclosed</t>
        </is>
      </c>
      <c r="I9" s="12" t="inlineStr">
        <is>
          <t>yes</t>
        </is>
      </c>
      <c r="J9" s="13" t="inlineStr">
        <is>
          <t>+21% YoY (+20% cc)</t>
        </is>
      </c>
      <c r="K9" s="15" t="inlineStr">
        <is>
          <t>www.grab.com</t>
        </is>
      </c>
    </row>
    <row r="10">
      <c r="A10" s="12" t="inlineStr">
        <is>
          <t>Delivery</t>
        </is>
      </c>
      <c r="B10" s="12" t="inlineStr">
        <is>
          <t>Eternal (Zomato food delivery + Blinkit)</t>
        </is>
      </c>
      <c r="C10" s="12" t="inlineStr">
        <is>
          <t>NSE: ETERNAL</t>
        </is>
      </c>
      <c r="D10" s="13" t="inlineStr">
        <is>
          <t>GOV (estimated from disclosed NOV)</t>
        </is>
      </c>
      <c r="E10" s="12" t="inlineStr">
        <is>
          <t>FY Apr 2025 - Mar 2026</t>
        </is>
      </c>
      <c r="F10" s="14" t="n">
        <v>12.2</v>
      </c>
      <c r="G10" s="12" t="inlineStr">
        <is>
          <t>estimate</t>
        </is>
      </c>
      <c r="H10" s="12" t="inlineStr">
        <is>
          <t>Estimate</t>
        </is>
      </c>
      <c r="I10" s="12" t="inlineStr">
        <is>
          <t>yes</t>
        </is>
      </c>
      <c r="J10" s="13" t="inlineStr">
        <is>
          <t>Disclosed B2C NOV ~$11.0B; GOV est. applying FY25 GOV/NOV ratios (food ~$5.2B + Blinkit ~$7.0B); Blinkit NOV +117%</t>
        </is>
      </c>
      <c r="K10" s="15" t="inlineStr">
        <is>
          <t>b.zmtcdn.com</t>
        </is>
      </c>
    </row>
    <row r="11">
      <c r="A11" s="12" t="inlineStr">
        <is>
          <t>Delivery</t>
        </is>
      </c>
      <c r="B11" s="12" t="inlineStr">
        <is>
          <t>iFood (core food delivery)</t>
        </is>
      </c>
      <c r="C11" s="12" t="inlineStr">
        <is>
          <t>private (Prosus)</t>
        </is>
      </c>
      <c r="D11" s="13" t="inlineStr">
        <is>
          <t>GMV (growth-only disclosure)</t>
        </is>
      </c>
      <c r="E11" s="12" t="inlineStr">
        <is>
          <t>FY Apr 2025 - Mar 2026</t>
        </is>
      </c>
      <c r="F11" s="14" t="n">
        <v>11.5</v>
      </c>
      <c r="G11" s="12" t="inlineStr">
        <is>
          <t>estimate</t>
        </is>
      </c>
      <c r="H11" s="12" t="inlineStr">
        <is>
          <t>Estimate</t>
        </is>
      </c>
      <c r="I11" s="12" t="inlineStr">
        <is>
          <t>yes</t>
        </is>
      </c>
      <c r="J11" s="13" t="inlineStr">
        <is>
          <t>Core food delivery est. BRL 60-65B/yr; Prosus discloses growth only (+17%); full ecosystem GMV est. $23-25B (broader scope; not used)</t>
        </is>
      </c>
      <c r="K11" s="15" t="inlineStr">
        <is>
          <t>neofeed.com.br</t>
        </is>
      </c>
    </row>
    <row r="12">
      <c r="A12" s="12" t="inlineStr">
        <is>
          <t>Delivery</t>
        </is>
      </c>
      <c r="B12" s="12" t="inlineStr">
        <is>
          <t>JD.com food delivery</t>
        </is>
      </c>
      <c r="C12" s="12" t="inlineStr">
        <is>
          <t>NASDAQ: JD</t>
        </is>
      </c>
      <c r="D12" s="13" t="inlineStr">
        <is>
          <t>GMV (not disclosed)</t>
        </is>
      </c>
      <c r="E12" s="12" t="inlineStr">
        <is>
          <t>CY2025</t>
        </is>
      </c>
      <c r="F12" s="14" t="n">
        <v>9.5</v>
      </c>
      <c r="G12" s="12" t="inlineStr">
        <is>
          <t>rough estimate</t>
        </is>
      </c>
      <c r="H12" s="12" t="inlineStr">
        <is>
          <t>Estimate</t>
        </is>
      </c>
      <c r="I12" s="12" t="inlineStr">
        <is>
          <t>yes</t>
        </is>
      </c>
      <c r="J12" s="13" t="inlineStr">
        <is>
          <t>Launched Feb 2025; est. RMB 60-80B from ~8-10M orders/day x RMB 25-30 AOV</t>
        </is>
      </c>
      <c r="K12" s="15" t="inlineStr">
        <is>
          <t>kr-asia.com</t>
        </is>
      </c>
    </row>
    <row r="13">
      <c r="A13" s="12" t="inlineStr">
        <is>
          <t>Delivery</t>
        </is>
      </c>
      <c r="B13" s="12" t="inlineStr">
        <is>
          <t>Coupang Eats</t>
        </is>
      </c>
      <c r="C13" s="12" t="inlineStr">
        <is>
          <t>NYSE: CPNG (segment)</t>
        </is>
      </c>
      <c r="D13" s="13" t="inlineStr">
        <is>
          <t>GMV (not disclosed)</t>
        </is>
      </c>
      <c r="E13" s="12" t="inlineStr">
        <is>
          <t>CY2025</t>
        </is>
      </c>
      <c r="F13" s="14" t="n">
        <v>9</v>
      </c>
      <c r="G13" s="12" t="inlineStr">
        <is>
          <t>estimate</t>
        </is>
      </c>
      <c r="H13" s="12" t="inlineStr">
        <is>
          <t>Estimate</t>
        </is>
      </c>
      <c r="I13" s="12" t="inlineStr">
        <is>
          <t>yes</t>
        </is>
      </c>
      <c r="J13" s="13" t="inlineStr">
        <is>
          <t>Est. $8-10B; KRW 11.36T card-payment estimate (WiseApp +58% YoY); ~35% share of ~$28B Korea market</t>
        </is>
      </c>
      <c r="K13" s="15" t="inlineStr">
        <is>
          <t>www.businesskorea.co.kr</t>
        </is>
      </c>
    </row>
    <row r="14">
      <c r="A14" s="12" t="inlineStr">
        <is>
          <t>Delivery</t>
        </is>
      </c>
      <c r="B14" s="12" t="inlineStr">
        <is>
          <t>Rappi</t>
        </is>
      </c>
      <c r="C14" s="12" t="inlineStr">
        <is>
          <t>private</t>
        </is>
      </c>
      <c r="D14" s="13" t="inlineStr">
        <is>
          <t>GMV (not disclosed)</t>
        </is>
      </c>
      <c r="E14" s="12" t="inlineStr">
        <is>
          <t>CY2025</t>
        </is>
      </c>
      <c r="F14" s="14" t="n">
        <v>8</v>
      </c>
      <c r="G14" s="12" t="inlineStr">
        <is>
          <t>low-confidence estimate</t>
        </is>
      </c>
      <c r="H14" s="12" t="inlineStr">
        <is>
          <t>Estimate</t>
        </is>
      </c>
      <c r="I14" s="12" t="inlineStr">
        <is>
          <t>yes</t>
        </is>
      </c>
      <c r="J14" s="13" t="inlineStr">
        <is>
          <t>Analyst estimates &gt;$8B GMV; profitable 2 consecutive years; eyeing late-2026 IPO</t>
        </is>
      </c>
      <c r="K14" s="15" t="inlineStr">
        <is>
          <t>sacra.com</t>
        </is>
      </c>
    </row>
    <row r="15">
      <c r="A15" s="12" t="inlineStr">
        <is>
          <t>Delivery</t>
        </is>
      </c>
      <c r="B15" s="12" t="inlineStr">
        <is>
          <t>Swiggy (food delivery + Instamart)</t>
        </is>
      </c>
      <c r="C15" s="12" t="inlineStr">
        <is>
          <t>NSE: SWIGGY</t>
        </is>
      </c>
      <c r="D15" s="13" t="inlineStr">
        <is>
          <t>GOV</t>
        </is>
      </c>
      <c r="E15" s="12" t="inlineStr">
        <is>
          <t>FY Apr 2025 - Mar 2026</t>
        </is>
      </c>
      <c r="F15" s="14" t="n">
        <v>7.8</v>
      </c>
      <c r="G15" s="12" t="inlineStr">
        <is>
          <t>disclosed</t>
        </is>
      </c>
      <c r="H15" s="12" t="inlineStr">
        <is>
          <t>Disclosed</t>
        </is>
      </c>
      <c r="I15" s="12" t="inlineStr">
        <is>
          <t>yes</t>
        </is>
      </c>
      <c r="J15" s="13" t="inlineStr">
        <is>
          <t>B2C GOV INR 67734 cr (+45.5%); food delivery $4.0B + Instamart $3.3B</t>
        </is>
      </c>
      <c r="K15" s="15" t="inlineStr">
        <is>
          <t>www.swiggy.com</t>
        </is>
      </c>
    </row>
    <row r="16">
      <c r="A16" s="12" t="inlineStr">
        <is>
          <t>Delivery</t>
        </is>
      </c>
      <c r="B16" s="12" t="inlineStr">
        <is>
          <t>Deliveroo (Jan-Sep 2025 pre-acquisition stub)</t>
        </is>
      </c>
      <c r="C16" s="12" t="inlineStr">
        <is>
          <t>delisted (was LSE: ROO)</t>
        </is>
      </c>
      <c r="D16" s="13" t="inlineStr">
        <is>
          <t>GTV</t>
        </is>
      </c>
      <c r="E16" s="12" t="inlineStr">
        <is>
          <t>Jan-Sep 2025</t>
        </is>
      </c>
      <c r="F16" s="14" t="n">
        <v>6.7</v>
      </c>
      <c r="G16" s="12" t="inlineStr">
        <is>
          <t>estimate</t>
        </is>
      </c>
      <c r="H16" s="12" t="inlineStr">
        <is>
          <t>Estimate</t>
        </is>
      </c>
      <c r="I16" s="12" t="inlineStr">
        <is>
          <t>yes</t>
        </is>
      </c>
      <c r="J16" s="13" t="inlineStr">
        <is>
          <t>Standalone-equivalent year ~GBP 7.9B (~$10B); ~$3.3B Oct-Dec stub already inside DoorDash GOV; this row adds only the pre-acquisition period</t>
        </is>
      </c>
      <c r="K16" s="15" t="inlineStr">
        <is>
          <t>ir.doordash.com</t>
        </is>
      </c>
    </row>
    <row r="17">
      <c r="A17" s="16" t="inlineStr">
        <is>
          <t>Delivery</t>
        </is>
      </c>
      <c r="B17" s="16" t="inlineStr">
        <is>
          <t>talabat</t>
        </is>
      </c>
      <c r="C17" s="16" t="inlineStr">
        <is>
          <t>DFM: TALABAT</t>
        </is>
      </c>
      <c r="D17" s="17" t="inlineStr">
        <is>
          <t>GMV</t>
        </is>
      </c>
      <c r="E17" s="16" t="inlineStr">
        <is>
          <t>CY2025</t>
        </is>
      </c>
      <c r="F17" s="18" t="n">
        <v>9.4</v>
      </c>
      <c r="G17" s="16" t="inlineStr">
        <is>
          <t>disclosed</t>
        </is>
      </c>
      <c r="H17" s="16" t="inlineStr">
        <is>
          <t>Disclosed</t>
        </is>
      </c>
      <c r="I17" s="16" t="inlineStr">
        <is>
          <t>memo</t>
        </is>
      </c>
      <c r="J17" s="17" t="inlineStr">
        <is>
          <t>Consolidated inside Delivery Hero GMV - not added to totals</t>
        </is>
      </c>
      <c r="K17" s="19" t="inlineStr">
        <is>
          <t>ir.talabat.com</t>
        </is>
      </c>
    </row>
    <row r="18">
      <c r="A18" s="12" t="inlineStr">
        <is>
          <t>Ridesharing</t>
        </is>
      </c>
      <c r="B18" s="12" t="inlineStr">
        <is>
          <t>Uber Mobility segment</t>
        </is>
      </c>
      <c r="C18" s="12" t="inlineStr">
        <is>
          <t>NYSE: UBER</t>
        </is>
      </c>
      <c r="D18" s="13" t="inlineStr">
        <is>
          <t>Gross Bookings</t>
        </is>
      </c>
      <c r="E18" s="12" t="inlineStr">
        <is>
          <t>CY2025</t>
        </is>
      </c>
      <c r="F18" s="14" t="n">
        <v>97.5</v>
      </c>
      <c r="G18" s="12" t="inlineStr">
        <is>
          <t>disclosed</t>
        </is>
      </c>
      <c r="H18" s="12" t="inlineStr">
        <is>
          <t>Disclosed</t>
        </is>
      </c>
      <c r="I18" s="12" t="inlineStr">
        <is>
          <t>yes</t>
        </is>
      </c>
      <c r="J18" s="13" t="inlineStr">
        <is>
          <t>Sum of reported quarters (+17.5% YoY); includes taxi partnerships and Careem rides; excludes tips</t>
        </is>
      </c>
      <c r="K18" s="15" t="inlineStr">
        <is>
          <t>investor.uber.com</t>
        </is>
      </c>
    </row>
    <row r="19">
      <c r="A19" s="12" t="inlineStr">
        <is>
          <t>Ridesharing</t>
        </is>
      </c>
      <c r="B19" s="12" t="inlineStr">
        <is>
          <t>Didi Global (Core Platform)</t>
        </is>
      </c>
      <c r="C19" s="12" t="inlineStr">
        <is>
          <t>OTC: DIDIY</t>
        </is>
      </c>
      <c r="D19" s="13" t="inlineStr">
        <is>
          <t>GTV</t>
        </is>
      </c>
      <c r="E19" s="12" t="inlineStr">
        <is>
          <t>CY2025</t>
        </is>
      </c>
      <c r="F19" s="14" t="n">
        <v>62.7</v>
      </c>
      <c r="G19" s="12" t="inlineStr">
        <is>
          <t>disclosed</t>
        </is>
      </c>
      <c r="H19" s="12" t="inlineStr">
        <is>
          <t>Disclosed</t>
        </is>
      </c>
      <c r="I19" s="12" t="inlineStr">
        <is>
          <t>yes</t>
        </is>
      </c>
      <c r="J19" s="13" t="inlineStr">
        <is>
          <t>RMB 450.8B at 7.19 CNY/USD (+14.8%); China Mobility $46.4B + International $16.3B; International includes 99Food delivery</t>
        </is>
      </c>
      <c r="K19" s="15" t="inlineStr">
        <is>
          <t>ir.didiglobal.com</t>
        </is>
      </c>
    </row>
    <row r="20">
      <c r="A20" s="12" t="inlineStr">
        <is>
          <t>Ridesharing</t>
        </is>
      </c>
      <c r="B20" s="12" t="inlineStr">
        <is>
          <t>Yandex Ride-tech (Yandex Go)</t>
        </is>
      </c>
      <c r="C20" s="12" t="inlineStr">
        <is>
          <t>MOEX: YDEX</t>
        </is>
      </c>
      <c r="D20" s="13" t="inlineStr">
        <is>
          <t>GTV</t>
        </is>
      </c>
      <c r="E20" s="12" t="inlineStr">
        <is>
          <t>CY2025</t>
        </is>
      </c>
      <c r="F20" s="14" t="n">
        <v>19.5</v>
      </c>
      <c r="G20" s="12" t="inlineStr">
        <is>
          <t>disclosed</t>
        </is>
      </c>
      <c r="H20" s="12" t="inlineStr">
        <is>
          <t>Disclosed</t>
        </is>
      </c>
      <c r="I20" s="12" t="inlineStr">
        <is>
          <t>yes</t>
        </is>
      </c>
      <c r="J20" s="13" t="inlineStr">
        <is>
          <t>RUB 1633B at 83.78 RUB/USD (+11% in RUB); includes carsharing and scooters; taxi is large majority</t>
        </is>
      </c>
      <c r="K20" s="15" t="inlineStr">
        <is>
          <t>yandex.ru</t>
        </is>
      </c>
    </row>
    <row r="21">
      <c r="A21" s="12" t="inlineStr">
        <is>
          <t>Ridesharing</t>
        </is>
      </c>
      <c r="B21" s="12" t="inlineStr">
        <is>
          <t>Lyft</t>
        </is>
      </c>
      <c r="C21" s="12" t="inlineStr">
        <is>
          <t>NASDAQ: LYFT</t>
        </is>
      </c>
      <c r="D21" s="13" t="inlineStr">
        <is>
          <t>Gross Bookings</t>
        </is>
      </c>
      <c r="E21" s="12" t="inlineStr">
        <is>
          <t>CY2025</t>
        </is>
      </c>
      <c r="F21" s="14" t="n">
        <v>18.5</v>
      </c>
      <c r="G21" s="12" t="inlineStr">
        <is>
          <t>disclosed</t>
        </is>
      </c>
      <c r="H21" s="12" t="inlineStr">
        <is>
          <t>Disclosed</t>
        </is>
      </c>
      <c r="I21" s="12" t="inlineStr">
        <is>
          <t>yes</t>
        </is>
      </c>
      <c r="J21" s="13" t="inlineStr">
        <is>
          <t>+15% YoY; includes FreeNow from Jul 31 2025 close; definition simplified in Q4 2025</t>
        </is>
      </c>
      <c r="K21" s="15" t="inlineStr">
        <is>
          <t>investor.lyft.com</t>
        </is>
      </c>
    </row>
    <row r="22">
      <c r="A22" s="12" t="inlineStr">
        <is>
          <t>Ridesharing</t>
        </is>
      </c>
      <c r="B22" s="12" t="inlineStr">
        <is>
          <t>Bolt (ride-hailing portion)</t>
        </is>
      </c>
      <c r="C22" s="12" t="inlineStr">
        <is>
          <t>private</t>
        </is>
      </c>
      <c r="D22" s="13" t="inlineStr">
        <is>
          <t>GMV</t>
        </is>
      </c>
      <c r="E22" s="12" t="inlineStr">
        <is>
          <t>CY2025</t>
        </is>
      </c>
      <c r="F22" s="14" t="n">
        <v>11</v>
      </c>
      <c r="G22" s="12" t="inlineStr">
        <is>
          <t>estimate</t>
        </is>
      </c>
      <c r="H22" s="12" t="inlineStr">
        <is>
          <t>Estimate</t>
        </is>
      </c>
      <c r="I22" s="12" t="inlineStr">
        <is>
          <t>yes</t>
        </is>
      </c>
      <c r="J22" s="13" t="inlineStr">
        <is>
          <t>CEO-stated $14B all-vertical run-rate; ride-hailing est. ~$10-11.5B (rides ~81% of EUR 2.27B revenue); delivery/rentals excluded here</t>
        </is>
      </c>
      <c r="K22" s="15" t="inlineStr">
        <is>
          <t>news.err.ee</t>
        </is>
      </c>
    </row>
    <row r="23">
      <c r="A23" s="12" t="inlineStr">
        <is>
          <t>Ridesharing</t>
        </is>
      </c>
      <c r="B23" s="12" t="inlineStr">
        <is>
          <t>Grab Mobility segment</t>
        </is>
      </c>
      <c r="C23" s="12" t="inlineStr">
        <is>
          <t>NASDAQ: GRAB</t>
        </is>
      </c>
      <c r="D23" s="13" t="inlineStr">
        <is>
          <t>GMV</t>
        </is>
      </c>
      <c r="E23" s="12" t="inlineStr">
        <is>
          <t>CY2025</t>
        </is>
      </c>
      <c r="F23" s="14" t="n">
        <v>7.9</v>
      </c>
      <c r="G23" s="12" t="inlineStr">
        <is>
          <t>disclosed</t>
        </is>
      </c>
      <c r="H23" s="12" t="inlineStr">
        <is>
          <t>Disclosed</t>
        </is>
      </c>
      <c r="I23" s="12" t="inlineStr">
        <is>
          <t>yes</t>
        </is>
      </c>
      <c r="J23" s="13" t="inlineStr">
        <is>
          <t>+19% YoY (+17% cc)</t>
        </is>
      </c>
      <c r="K23" s="15" t="inlineStr">
        <is>
          <t>www.grab.com</t>
        </is>
      </c>
    </row>
    <row r="24">
      <c r="A24" s="12" t="inlineStr">
        <is>
          <t>Ridesharing</t>
        </is>
      </c>
      <c r="B24" s="12" t="inlineStr">
        <is>
          <t>inDrive</t>
        </is>
      </c>
      <c r="C24" s="12" t="inlineStr">
        <is>
          <t>private</t>
        </is>
      </c>
      <c r="D24" s="13" t="inlineStr">
        <is>
          <t>Gross Bookings</t>
        </is>
      </c>
      <c r="E24" s="12" t="inlineStr">
        <is>
          <t>CY2025</t>
        </is>
      </c>
      <c r="F24" s="14" t="n">
        <v>6.4</v>
      </c>
      <c r="G24" s="12" t="inlineStr">
        <is>
          <t>disclosed</t>
        </is>
      </c>
      <c r="H24" s="12" t="inlineStr">
        <is>
          <t>Disclosed</t>
        </is>
      </c>
      <c r="I24" s="12" t="inlineStr">
        <is>
          <t>yes</t>
        </is>
      </c>
      <c r="J24" s="13" t="inlineStr">
        <is>
          <t>Company-disclosed preliminary/unaudited (+30%); includes some deliveries</t>
        </is>
      </c>
      <c r="K24" s="15" t="inlineStr">
        <is>
          <t>www.reuters.com</t>
        </is>
      </c>
    </row>
    <row r="25">
      <c r="A25" s="12" t="inlineStr">
        <is>
          <t>Ridesharing</t>
        </is>
      </c>
      <c r="B25" s="12" t="inlineStr">
        <is>
          <t>Cao Cao Mobility</t>
        </is>
      </c>
      <c r="C25" s="12" t="inlineStr">
        <is>
          <t>HKEX: 2643</t>
        </is>
      </c>
      <c r="D25" s="13" t="inlineStr">
        <is>
          <t>GTV</t>
        </is>
      </c>
      <c r="E25" s="12" t="inlineStr">
        <is>
          <t>CY2025</t>
        </is>
      </c>
      <c r="F25" s="14" t="n">
        <v>3.3</v>
      </c>
      <c r="G25" s="12" t="inlineStr">
        <is>
          <t>disclosed</t>
        </is>
      </c>
      <c r="H25" s="12" t="inlineStr">
        <is>
          <t>Disclosed</t>
        </is>
      </c>
      <c r="I25" s="12" t="inlineStr">
        <is>
          <t>yes</t>
        </is>
      </c>
      <c r="J25" s="13" t="inlineStr">
        <is>
          <t>RMB 23.43B (+38.2%); Geely-backed; large share of orders via aggregators (no Didi overlap)</t>
        </is>
      </c>
      <c r="K25" s="15" t="inlineStr">
        <is>
          <t>www.hkexnews.hk</t>
        </is>
      </c>
    </row>
    <row r="26">
      <c r="A26" s="12" t="inlineStr">
        <is>
          <t>Ridesharing</t>
        </is>
      </c>
      <c r="B26" s="12" t="inlineStr">
        <is>
          <t>Ola (ANI Technologies)</t>
        </is>
      </c>
      <c r="C26" s="12" t="inlineStr">
        <is>
          <t>private</t>
        </is>
      </c>
      <c r="D26" s="13" t="inlineStr">
        <is>
          <t>GOV (not disclosed)</t>
        </is>
      </c>
      <c r="E26" s="12" t="inlineStr">
        <is>
          <t>FY Apr 2024 - Mar 2025</t>
        </is>
      </c>
      <c r="F26" s="14" t="n">
        <v>1.3</v>
      </c>
      <c r="G26" s="12" t="inlineStr">
        <is>
          <t>estimate</t>
        </is>
      </c>
      <c r="H26" s="12" t="inlineStr">
        <is>
          <t>Estimate</t>
        </is>
      </c>
      <c r="I26" s="12" t="inlineStr">
        <is>
          <t>yes</t>
        </is>
      </c>
      <c r="J26" s="13" t="inlineStr">
        <is>
          <t>Est. INR 10-12k cr from leaked Q1 FY25 GOV; revenue -42% YoY; losing share to Rapido/Uber</t>
        </is>
      </c>
      <c r="K26" s="15" t="inlineStr">
        <is>
          <t>entrackr.com</t>
        </is>
      </c>
    </row>
    <row r="27">
      <c r="A27" s="16" t="inlineStr">
        <is>
          <t>Ridesharing</t>
        </is>
      </c>
      <c r="B27" s="16" t="inlineStr">
        <is>
          <t>Kakao Mobility</t>
        </is>
      </c>
      <c r="C27" s="16" t="inlineStr">
        <is>
          <t>private (parent: 035720.KS)</t>
        </is>
      </c>
      <c r="D27" s="17" t="inlineStr">
        <is>
          <t>GTV (not disclosed)</t>
        </is>
      </c>
      <c r="E27" s="16" t="inlineStr">
        <is>
          <t>CY2025</t>
        </is>
      </c>
      <c r="F27" s="18" t="n"/>
      <c r="G27" s="16" t="inlineStr">
        <is>
          <t>not available</t>
        </is>
      </c>
      <c r="H27" s="16" t="inlineStr"/>
      <c r="I27" s="16" t="inlineStr">
        <is>
          <t>memo</t>
        </is>
      </c>
      <c r="J27" s="17" t="inlineStr">
        <is>
          <t>Revenue KRW 739.3B (~$0.5B) on net basis; underlying taxi GTV not published - excluded from totals</t>
        </is>
      </c>
      <c r="K27" s="19" t="inlineStr">
        <is>
          <t>www.kakaocorp.com</t>
        </is>
      </c>
    </row>
    <row r="28">
      <c r="A28" s="12" t="inlineStr">
        <is>
          <t>Online travel</t>
        </is>
      </c>
      <c r="B28" s="12" t="inlineStr">
        <is>
          <t>Booking Holdings</t>
        </is>
      </c>
      <c r="C28" s="12" t="inlineStr">
        <is>
          <t>NASDAQ: BKNG</t>
        </is>
      </c>
      <c r="D28" s="13" t="inlineStr">
        <is>
          <t>Gross bookings</t>
        </is>
      </c>
      <c r="E28" s="12" t="inlineStr">
        <is>
          <t>CY2025</t>
        </is>
      </c>
      <c r="F28" s="14" t="n">
        <v>186.1</v>
      </c>
      <c r="G28" s="12" t="inlineStr">
        <is>
          <t>disclosed</t>
        </is>
      </c>
      <c r="H28" s="12" t="inlineStr">
        <is>
          <t>Disclosed</t>
        </is>
      </c>
      <c r="I28" s="12" t="inlineStr">
        <is>
          <t>yes</t>
        </is>
      </c>
      <c r="J28" s="13" t="inlineStr">
        <is>
          <t>+12.4% YoY; includes Booking.com Agoda Priceline OpenTable</t>
        </is>
      </c>
      <c r="K28" s="15" t="inlineStr">
        <is>
          <t>www.sec.gov</t>
        </is>
      </c>
    </row>
    <row r="29">
      <c r="A29" s="12" t="inlineStr">
        <is>
          <t>Online travel</t>
        </is>
      </c>
      <c r="B29" s="12" t="inlineStr">
        <is>
          <t>Trip.com Group (core OTA)</t>
        </is>
      </c>
      <c r="C29" s="12" t="inlineStr">
        <is>
          <t>NASDAQ: TCOM</t>
        </is>
      </c>
      <c r="D29" s="13" t="inlineStr">
        <is>
          <t>Gross bookings (management-stated)</t>
        </is>
      </c>
      <c r="E29" s="12" t="inlineStr">
        <is>
          <t>CY2025</t>
        </is>
      </c>
      <c r="F29" s="14" t="n">
        <v>157</v>
      </c>
      <c r="G29" s="12" t="inlineStr">
        <is>
          <t>management-stated approx</t>
        </is>
      </c>
      <c r="H29" s="12" t="inlineStr">
        <is>
          <t>Disclosed</t>
        </is>
      </c>
      <c r="I29" s="12" t="inlineStr">
        <is>
          <t>yes</t>
        </is>
      </c>
      <c r="J29" s="13" t="inlineStr">
        <is>
          <t>~RMB 1.1T core OTA per Q4 2025 earnings call (accommodation ~RMB 280B; air ~RMB 550B); not a regular KPI</t>
        </is>
      </c>
      <c r="K29" s="15" t="inlineStr">
        <is>
          <t>www.alphaspread.com</t>
        </is>
      </c>
    </row>
    <row r="30">
      <c r="A30" s="12" t="inlineStr">
        <is>
          <t>Online travel</t>
        </is>
      </c>
      <c r="B30" s="12" t="inlineStr">
        <is>
          <t>Expedia Group</t>
        </is>
      </c>
      <c r="C30" s="12" t="inlineStr">
        <is>
          <t>NASDAQ: EXPE</t>
        </is>
      </c>
      <c r="D30" s="13" t="inlineStr">
        <is>
          <t>Gross bookings</t>
        </is>
      </c>
      <c r="E30" s="12" t="inlineStr">
        <is>
          <t>CY2025</t>
        </is>
      </c>
      <c r="F30" s="14" t="n">
        <v>119.6</v>
      </c>
      <c r="G30" s="12" t="inlineStr">
        <is>
          <t>disclosed</t>
        </is>
      </c>
      <c r="H30" s="12" t="inlineStr">
        <is>
          <t>Disclosed</t>
        </is>
      </c>
      <c r="I30" s="12" t="inlineStr">
        <is>
          <t>yes</t>
        </is>
      </c>
      <c r="J30" s="13" t="inlineStr">
        <is>
          <t>+7.8% YoY; B2C $83.9B + B2B $35.7B (B2B powers other sellers - overlap risk)</t>
        </is>
      </c>
      <c r="K30" s="15" t="inlineStr">
        <is>
          <t>www.sec.gov</t>
        </is>
      </c>
    </row>
    <row r="31">
      <c r="A31" s="12" t="inlineStr">
        <is>
          <t>Online travel</t>
        </is>
      </c>
      <c r="B31" s="12" t="inlineStr">
        <is>
          <t>Airbnb</t>
        </is>
      </c>
      <c r="C31" s="12" t="inlineStr">
        <is>
          <t>NASDAQ: ABNB</t>
        </is>
      </c>
      <c r="D31" s="13" t="inlineStr">
        <is>
          <t>Gross Booking Value</t>
        </is>
      </c>
      <c r="E31" s="12" t="inlineStr">
        <is>
          <t>CY2025</t>
        </is>
      </c>
      <c r="F31" s="14" t="n">
        <v>91.3</v>
      </c>
      <c r="G31" s="12" t="inlineStr">
        <is>
          <t>disclosed</t>
        </is>
      </c>
      <c r="H31" s="12" t="inlineStr">
        <is>
          <t>Disclosed</t>
        </is>
      </c>
      <c r="I31" s="12" t="inlineStr">
        <is>
          <t>yes</t>
        </is>
      </c>
      <c r="J31" s="13" t="inlineStr">
        <is>
          <t>+12% YoY (+10% ex-FX)</t>
        </is>
      </c>
      <c r="K31" s="15" t="inlineStr">
        <is>
          <t>www.sec.gov</t>
        </is>
      </c>
    </row>
    <row r="32">
      <c r="A32" s="12" t="inlineStr">
        <is>
          <t>Online travel</t>
        </is>
      </c>
      <c r="B32" s="12" t="inlineStr">
        <is>
          <t>Tongcheng Travel</t>
        </is>
      </c>
      <c r="C32" s="12" t="inlineStr">
        <is>
          <t>HKEX: 0780</t>
        </is>
      </c>
      <c r="D32" s="13" t="inlineStr">
        <is>
          <t>GMV</t>
        </is>
      </c>
      <c r="E32" s="12" t="inlineStr">
        <is>
          <t>CY2024 (last disclosed)</t>
        </is>
      </c>
      <c r="F32" s="14" t="n">
        <v>36</v>
      </c>
      <c r="G32" s="12" t="inlineStr">
        <is>
          <t>disclosed (stale)</t>
        </is>
      </c>
      <c r="H32" s="12" t="inlineStr">
        <is>
          <t>Disclosed</t>
        </is>
      </c>
      <c r="I32" s="12" t="inlineStr">
        <is>
          <t>yes</t>
        </is>
      </c>
      <c r="J32" s="13" t="inlineStr">
        <is>
          <t>RMB 255.7B (+5.9%) in 2024; GMV dropped from FY2025 results disclosure</t>
        </is>
      </c>
      <c r="K32" s="15" t="inlineStr">
        <is>
          <t>www.tongchengir.com</t>
        </is>
      </c>
    </row>
    <row r="33">
      <c r="A33" s="12" t="inlineStr">
        <is>
          <t>Online travel</t>
        </is>
      </c>
      <c r="B33" s="12" t="inlineStr">
        <is>
          <t>MakeMyTrip</t>
        </is>
      </c>
      <c r="C33" s="12" t="inlineStr">
        <is>
          <t>NASDAQ: MMYT</t>
        </is>
      </c>
      <c r="D33" s="13" t="inlineStr">
        <is>
          <t>Gross Bookings</t>
        </is>
      </c>
      <c r="E33" s="12" t="inlineStr">
        <is>
          <t>FY Apr 2025 - Mar 2026</t>
        </is>
      </c>
      <c r="F33" s="14" t="n">
        <v>10.4</v>
      </c>
      <c r="G33" s="12" t="inlineStr">
        <is>
          <t>disclosed</t>
        </is>
      </c>
      <c r="H33" s="12" t="inlineStr">
        <is>
          <t>Disclosed</t>
        </is>
      </c>
      <c r="I33" s="12" t="inlineStr">
        <is>
          <t>yes</t>
        </is>
      </c>
      <c r="J33" s="13" t="inlineStr">
        <is>
          <t>+6.0% reported / +10.4% cc; reports in USD</t>
        </is>
      </c>
      <c r="K33" s="15" t="inlineStr">
        <is>
          <t>www.sec.gov</t>
        </is>
      </c>
    </row>
    <row r="34">
      <c r="A34" s="12" t="inlineStr">
        <is>
          <t>Online travel</t>
        </is>
      </c>
      <c r="B34" s="12" t="inlineStr">
        <is>
          <t>HBX Group (Hotelbeds)</t>
        </is>
      </c>
      <c r="C34" s="12" t="inlineStr">
        <is>
          <t>BME: HBX</t>
        </is>
      </c>
      <c r="D34" s="13" t="inlineStr">
        <is>
          <t>Total Transaction Value</t>
        </is>
      </c>
      <c r="E34" s="12" t="inlineStr">
        <is>
          <t>FY Oct 2024 - Sep 2025</t>
        </is>
      </c>
      <c r="F34" s="14" t="n">
        <v>9</v>
      </c>
      <c r="G34" s="12" t="inlineStr">
        <is>
          <t>disclosed</t>
        </is>
      </c>
      <c r="H34" s="12" t="inlineStr">
        <is>
          <t>Disclosed</t>
        </is>
      </c>
      <c r="I34" s="12" t="inlineStr">
        <is>
          <t>yes</t>
        </is>
      </c>
      <c r="J34" s="13" t="inlineStr">
        <is>
          <t>EUR 8.18B (+7%); B2B bed bank - largely resold through retail OTAs (double-count risk; excluded from adjusted total)</t>
        </is>
      </c>
      <c r="K34" s="15" t="inlineStr">
        <is>
          <t>www.prnewswire.com</t>
        </is>
      </c>
    </row>
    <row r="35">
      <c r="A35" s="12" t="inlineStr">
        <is>
          <t>Online travel</t>
        </is>
      </c>
      <c r="B35" s="12" t="inlineStr">
        <is>
          <t>Trainline</t>
        </is>
      </c>
      <c r="C35" s="12" t="inlineStr">
        <is>
          <t>LSE: TRN</t>
        </is>
      </c>
      <c r="D35" s="13" t="inlineStr">
        <is>
          <t>Net ticket sales</t>
        </is>
      </c>
      <c r="E35" s="12" t="inlineStr">
        <is>
          <t>FY Mar 2025 - Feb 2026</t>
        </is>
      </c>
      <c r="F35" s="14" t="n">
        <v>8.199999999999999</v>
      </c>
      <c r="G35" s="12" t="inlineStr">
        <is>
          <t>disclosed</t>
        </is>
      </c>
      <c r="H35" s="12" t="inlineStr">
        <is>
          <t>Disclosed</t>
        </is>
      </c>
      <c r="I35" s="12" t="inlineStr">
        <is>
          <t>yes</t>
        </is>
      </c>
      <c r="J35" s="13" t="inlineStr">
        <is>
          <t>GBP 6.32B (+7%); rail/coach ticketing marketplace</t>
        </is>
      </c>
      <c r="K35" s="15" t="inlineStr">
        <is>
          <t>www.trainlinegroup.com</t>
        </is>
      </c>
    </row>
    <row r="36">
      <c r="A36" s="12" t="inlineStr">
        <is>
          <t>Online travel</t>
        </is>
      </c>
      <c r="B36" s="12" t="inlineStr">
        <is>
          <t>Hopper</t>
        </is>
      </c>
      <c r="C36" s="12" t="inlineStr">
        <is>
          <t>private</t>
        </is>
      </c>
      <c r="D36" s="13" t="inlineStr">
        <is>
          <t>Total bookings</t>
        </is>
      </c>
      <c r="E36" s="12" t="inlineStr">
        <is>
          <t>CY2024 (latest available)</t>
        </is>
      </c>
      <c r="F36" s="14" t="n">
        <v>7.5</v>
      </c>
      <c r="G36" s="12" t="inlineStr">
        <is>
          <t>third-party estimate</t>
        </is>
      </c>
      <c r="H36" s="12" t="inlineStr">
        <is>
          <t>Estimate</t>
        </is>
      </c>
      <c r="I36" s="12" t="inlineStr">
        <is>
          <t>yes</t>
        </is>
      </c>
      <c r="J36" s="13" t="inlineStr">
        <is>
          <t>~40% from fintech attach volume (not pure travel value); +27% vs 2023; no 2025 figure published</t>
        </is>
      </c>
      <c r="K36" s="15" t="inlineStr">
        <is>
          <t>www.businessofapps.com</t>
        </is>
      </c>
    </row>
    <row r="37">
      <c r="A37" s="12" t="inlineStr">
        <is>
          <t>Online travel</t>
        </is>
      </c>
      <c r="B37" s="12" t="inlineStr">
        <is>
          <t>Despegar</t>
        </is>
      </c>
      <c r="C37" s="12" t="inlineStr">
        <is>
          <t>private (Prosus; was NYSE: DESP)</t>
        </is>
      </c>
      <c r="D37" s="13" t="inlineStr">
        <is>
          <t>Gross Bookings</t>
        </is>
      </c>
      <c r="E37" s="12" t="inlineStr">
        <is>
          <t>CY2024 (last public year)</t>
        </is>
      </c>
      <c r="F37" s="14" t="n">
        <v>5.5</v>
      </c>
      <c r="G37" s="12" t="inlineStr">
        <is>
          <t>disclosed (stale)</t>
        </is>
      </c>
      <c r="H37" s="12" t="inlineStr">
        <is>
          <t>Disclosed</t>
        </is>
      </c>
      <c r="I37" s="12" t="inlineStr">
        <is>
          <t>yes</t>
        </is>
      </c>
      <c r="J37" s="13" t="inlineStr">
        <is>
          <t>+2% reported (FX headwinds); acquired by Prosus May 15 2025 - no FY2025 disclosure</t>
        </is>
      </c>
      <c r="K37" s="15" t="inlineStr">
        <is>
          <t>www.businesswire.com</t>
        </is>
      </c>
    </row>
    <row r="38">
      <c r="A38" s="12" t="inlineStr">
        <is>
          <t>Online travel</t>
        </is>
      </c>
      <c r="B38" s="12" t="inlineStr">
        <is>
          <t>eDreams ODIGEO</t>
        </is>
      </c>
      <c r="C38" s="12" t="inlineStr">
        <is>
          <t>BME: EDR</t>
        </is>
      </c>
      <c r="D38" s="13" t="inlineStr">
        <is>
          <t>Gross Bookings</t>
        </is>
      </c>
      <c r="E38" s="12" t="inlineStr">
        <is>
          <t>FY Apr 2025 - Mar 2026</t>
        </is>
      </c>
      <c r="F38" s="14" t="n">
        <v>5.2</v>
      </c>
      <c r="G38" s="12" t="inlineStr">
        <is>
          <t>disclosed</t>
        </is>
      </c>
      <c r="H38" s="12" t="inlineStr">
        <is>
          <t>Disclosed</t>
        </is>
      </c>
      <c r="I38" s="12" t="inlineStr">
        <is>
          <t>yes</t>
        </is>
      </c>
      <c r="J38" s="13" t="inlineStr">
        <is>
          <t>EUR 4.74B (-8.7% YoY); company headline KPIs are Prime members/Cash EBITDA</t>
        </is>
      </c>
      <c r="K38" s="15" t="inlineStr">
        <is>
          <t>s202.q4cdn.com</t>
        </is>
      </c>
    </row>
    <row r="39">
      <c r="A39" s="12" t="inlineStr">
        <is>
          <t>Online travel</t>
        </is>
      </c>
      <c r="B39" s="12" t="inlineStr">
        <is>
          <t>GetYourGuide</t>
        </is>
      </c>
      <c r="C39" s="12" t="inlineStr">
        <is>
          <t>private</t>
        </is>
      </c>
      <c r="D39" s="13" t="inlineStr">
        <is>
          <t>GMV</t>
        </is>
      </c>
      <c r="E39" s="12" t="inlineStr">
        <is>
          <t>CY2025</t>
        </is>
      </c>
      <c r="F39" s="14" t="n">
        <v>4.8</v>
      </c>
      <c r="G39" s="12" t="inlineStr">
        <is>
          <t>company-announced</t>
        </is>
      </c>
      <c r="H39" s="12" t="inlineStr">
        <is>
          <t>Disclosed</t>
        </is>
      </c>
      <c r="I39" s="12" t="inlineStr">
        <is>
          <t>yes</t>
        </is>
      </c>
      <c r="J39" s="13" t="inlineStr">
        <is>
          <t>EUR 4B+ GMV; EUR 1B+ revenue; adj-EBITDA positive; unaudited</t>
        </is>
      </c>
      <c r="K39" s="15" t="inlineStr">
        <is>
          <t>www.getyourguide.press</t>
        </is>
      </c>
    </row>
    <row r="40">
      <c r="A40" s="12" t="inlineStr">
        <is>
          <t>Online travel</t>
        </is>
      </c>
      <c r="B40" s="12" t="inlineStr">
        <is>
          <t>Viator + Experiences (Tripadvisor)</t>
        </is>
      </c>
      <c r="C40" s="12" t="inlineStr">
        <is>
          <t>NASDAQ: TRIP</t>
        </is>
      </c>
      <c r="D40" s="13" t="inlineStr">
        <is>
          <t>Gross Booking Value</t>
        </is>
      </c>
      <c r="E40" s="12" t="inlineStr">
        <is>
          <t>CY2025</t>
        </is>
      </c>
      <c r="F40" s="14" t="n">
        <v>4.7</v>
      </c>
      <c r="G40" s="12" t="inlineStr">
        <is>
          <t>disclosed</t>
        </is>
      </c>
      <c r="H40" s="12" t="inlineStr">
        <is>
          <t>Disclosed</t>
        </is>
      </c>
      <c r="I40" s="12" t="inlineStr">
        <is>
          <t>yes</t>
        </is>
      </c>
      <c r="J40" s="13" t="inlineStr">
        <is>
          <t>+13% YoY; gross of cancellations</t>
        </is>
      </c>
      <c r="K40" s="15" t="inlineStr">
        <is>
          <t>www.sec.gov</t>
        </is>
      </c>
    </row>
    <row r="41">
      <c r="A41" s="12" t="inlineStr">
        <is>
          <t>Online travel</t>
        </is>
      </c>
      <c r="B41" s="12" t="inlineStr">
        <is>
          <t>WEB Travel Group (WebBeds)</t>
        </is>
      </c>
      <c r="C41" s="12" t="inlineStr">
        <is>
          <t>ASX: WEB</t>
        </is>
      </c>
      <c r="D41" s="13" t="inlineStr">
        <is>
          <t>Total Transaction Value</t>
        </is>
      </c>
      <c r="E41" s="12" t="inlineStr">
        <is>
          <t>FY Apr 2025 - Mar 2026</t>
        </is>
      </c>
      <c r="F41" s="14" t="n">
        <v>3.8</v>
      </c>
      <c r="G41" s="12" t="inlineStr">
        <is>
          <t>disclosed</t>
        </is>
      </c>
      <c r="H41" s="12" t="inlineStr">
        <is>
          <t>Disclosed</t>
        </is>
      </c>
      <c r="I41" s="12" t="inlineStr">
        <is>
          <t>yes</t>
        </is>
      </c>
      <c r="J41" s="13" t="inlineStr">
        <is>
          <t>AUD 5.82B (+20%); B2B bed bank (double-count risk; excluded from adjusted total)</t>
        </is>
      </c>
      <c r="K41" s="15" t="inlineStr">
        <is>
          <t>announcements.asx.com.au</t>
        </is>
      </c>
    </row>
    <row r="42">
      <c r="A42" s="12" t="inlineStr">
        <is>
          <t>Online travel</t>
        </is>
      </c>
      <c r="B42" s="12" t="inlineStr">
        <is>
          <t>lastminute.com group</t>
        </is>
      </c>
      <c r="C42" s="12" t="inlineStr">
        <is>
          <t>SIX: LMN</t>
        </is>
      </c>
      <c r="D42" s="13" t="inlineStr">
        <is>
          <t>Gross Travel Value</t>
        </is>
      </c>
      <c r="E42" s="12" t="inlineStr">
        <is>
          <t>CY2025</t>
        </is>
      </c>
      <c r="F42" s="14" t="n">
        <v>3.8</v>
      </c>
      <c r="G42" s="12" t="inlineStr">
        <is>
          <t>disclosed</t>
        </is>
      </c>
      <c r="H42" s="12" t="inlineStr">
        <is>
          <t>Disclosed</t>
        </is>
      </c>
      <c r="I42" s="12" t="inlineStr">
        <is>
          <t>yes</t>
        </is>
      </c>
      <c r="J42" s="13" t="inlineStr">
        <is>
          <t>EUR 3.46B (+19%)</t>
        </is>
      </c>
      <c r="K42" s="15" t="inlineStr">
        <is>
          <t>res.cloudinary.com</t>
        </is>
      </c>
    </row>
    <row r="43">
      <c r="A43" s="12" t="inlineStr">
        <is>
          <t>Online travel</t>
        </is>
      </c>
      <c r="B43" s="12" t="inlineStr">
        <is>
          <t>Klook</t>
        </is>
      </c>
      <c r="C43" s="12" t="inlineStr">
        <is>
          <t>private (F-1 filed as KLK)</t>
        </is>
      </c>
      <c r="D43" s="13" t="inlineStr">
        <is>
          <t>GTV</t>
        </is>
      </c>
      <c r="E43" s="12" t="inlineStr">
        <is>
          <t>CY2025 (annualized)</t>
        </is>
      </c>
      <c r="F43" s="14" t="n">
        <v>3.25</v>
      </c>
      <c r="G43" s="12" t="inlineStr">
        <is>
          <t>annualized estimate</t>
        </is>
      </c>
      <c r="H43" s="12" t="inlineStr">
        <is>
          <t>Estimate</t>
        </is>
      </c>
      <c r="I43" s="12" t="inlineStr">
        <is>
          <t>yes</t>
        </is>
      </c>
      <c r="J43" s="13" t="inlineStr">
        <is>
          <t>Disclosed: $2.5B (2024) and $2.3B 9M25 (+30.9%); CY2025 annualized from disclosed 9M growth</t>
        </is>
      </c>
      <c r="K43" s="15" t="inlineStr">
        <is>
          <t>www.sec.gov</t>
        </is>
      </c>
    </row>
    <row r="44">
      <c r="A44" s="12" t="inlineStr">
        <is>
          <t>Online travel</t>
        </is>
      </c>
      <c r="B44" s="12" t="inlineStr">
        <is>
          <t>HomeToGo</t>
        </is>
      </c>
      <c r="C44" s="12" t="inlineStr">
        <is>
          <t>FRA: HTG</t>
        </is>
      </c>
      <c r="D44" s="13" t="inlineStr">
        <is>
          <t>Gross Booking Value</t>
        </is>
      </c>
      <c r="E44" s="12" t="inlineStr">
        <is>
          <t>CY2025</t>
        </is>
      </c>
      <c r="F44" s="14" t="n">
        <v>2.5</v>
      </c>
      <c r="G44" s="12" t="inlineStr">
        <is>
          <t>disclosed</t>
        </is>
      </c>
      <c r="H44" s="12" t="inlineStr">
        <is>
          <t>Disclosed</t>
        </is>
      </c>
      <c r="I44" s="12" t="inlineStr">
        <is>
          <t>yes</t>
        </is>
      </c>
      <c r="J44" s="13" t="inlineStr">
        <is>
          <t>EUR 2.23B (+4.6%); partly estimated metric (advertising GBV); includes Interhome from Aug 2025</t>
        </is>
      </c>
      <c r="K44" s="15" t="inlineStr">
        <is>
          <t>www.marketscreener.com</t>
        </is>
      </c>
    </row>
    <row r="45">
      <c r="A45" s="12" t="inlineStr">
        <is>
          <t>Online travel</t>
        </is>
      </c>
      <c r="B45" s="12" t="inlineStr">
        <is>
          <t>Ixigo (Le Travenues)</t>
        </is>
      </c>
      <c r="C45" s="12" t="inlineStr">
        <is>
          <t>NSE: IXIGO</t>
        </is>
      </c>
      <c r="D45" s="13" t="inlineStr">
        <is>
          <t>GTV</t>
        </is>
      </c>
      <c r="E45" s="12" t="inlineStr">
        <is>
          <t>FY Apr 2025 - Mar 2026</t>
        </is>
      </c>
      <c r="F45" s="14" t="n">
        <v>2</v>
      </c>
      <c r="G45" s="12" t="inlineStr">
        <is>
          <t>disclosed</t>
        </is>
      </c>
      <c r="H45" s="12" t="inlineStr">
        <is>
          <t>Disclosed</t>
        </is>
      </c>
      <c r="I45" s="12" t="inlineStr">
        <is>
          <t>yes</t>
        </is>
      </c>
      <c r="J45" s="13" t="inlineStr">
        <is>
          <t>INR 18693 cr (+25%)</t>
        </is>
      </c>
      <c r="K45" s="15" t="inlineStr">
        <is>
          <t>investors-site-api.ixigo.workers.dev</t>
        </is>
      </c>
    </row>
  </sheetData>
  <autoFilter ref="A1:K4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2026-09-21T15:40:24Z</dcterms:created>
  <dcterms:modified xsi:type="dcterms:W3CDTF">2026-09-21T15:40:24Z</dcterms:modified>
</cp:coreProperties>
</file>