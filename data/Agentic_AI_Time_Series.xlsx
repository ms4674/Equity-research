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oken Consumption" sheetId="2" state="visible" r:id="rId2"/>
    <sheet name="Agents - Number &amp; Type" sheetId="3" state="visible" r:id="rId3"/>
    <sheet name="Token Loads" sheetId="4" state="visible" r:id="rId4"/>
    <sheet name="Actions per Agent" sheetId="5" state="visible" r:id="rId5"/>
    <sheet name="Sourc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4" fontId="4" fillId="0" borderId="1" pivotButton="0" quotePrefix="0" xfId="0"/>
    <xf numFmtId="164" fontId="4" fillId="0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  <xf numFmtId="3" fontId="4" fillId="0" borderId="1" pivotButton="0" quotePrefix="0" xfId="0"/>
    <xf numFmtId="165" fontId="4" fillId="0" borderId="1" pivotButton="0" quotePrefix="0" xfId="0"/>
    <xf numFmtId="3" fontId="4" fillId="3" borderId="1" pivotButton="0" quotePrefix="0" xfId="0"/>
    <xf numFmtId="165" fontId="4" fillId="3" borderId="1" pivotButton="0" quotePrefix="0" xfId="0"/>
    <xf numFmtId="2" fontId="4" fillId="0" borderId="1" pivotButton="0" quotePrefix="0" xfId="0"/>
    <xf numFmtId="2" fontId="4" fillId="3" borderId="1" pivotButton="0" quotePrefix="0" xfId="0"/>
    <xf numFmtId="0" fontId="4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Platform token volume (T tokens/month, 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'Token Consumption'!B4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Consumption'!$A$5:$A$40</f>
            </numRef>
          </cat>
          <val>
            <numRef>
              <f>'Token Consumption'!$B$5:$B$40</f>
            </numRef>
          </val>
        </ser>
        <ser>
          <idx val="1"/>
          <order val="1"/>
          <tx>
            <strRef>
              <f>'Token Consumption'!C4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Consumption'!$A$5:$A$40</f>
            </numRef>
          </cat>
          <val>
            <numRef>
              <f>'Token Consumption'!$C$5:$C$40</f>
            </numRef>
          </val>
        </ser>
        <ser>
          <idx val="2"/>
          <order val="2"/>
          <tx>
            <strRef>
              <f>'Token Consumption'!D4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Consumption'!$A$5:$A$40</f>
            </numRef>
          </cat>
          <val>
            <numRef>
              <f>'Token Consumption'!$D$5:$D$40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 tokens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Estimated agentic token consumption (T tokens/month)</a:t>
            </a:r>
          </a:p>
        </rich>
      </tx>
    </title>
    <plotArea>
      <lineChart>
        <grouping val="standard"/>
        <ser>
          <idx val="0"/>
          <order val="0"/>
          <tx>
            <strRef>
              <f>'Token Consumption'!H4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Consumption'!$A$5:$A$40</f>
            </numRef>
          </cat>
          <val>
            <numRef>
              <f>'Token Consumption'!$H$5:$H$40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 tokens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Deployed AI agents by type (millions)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'Agents - Number &amp; Type'!C4</f>
            </strRef>
          </tx>
          <spPr>
            <a:ln>
              <a:prstDash val="solid"/>
            </a:ln>
          </spPr>
          <cat>
            <numRef>
              <f>'Agents - Number &amp; Type'!$A$5:$A$10</f>
            </numRef>
          </cat>
          <val>
            <numRef>
              <f>'Agents - Number &amp; Type'!$C$5:$C$10</f>
            </numRef>
          </val>
        </ser>
        <ser>
          <idx val="1"/>
          <order val="1"/>
          <tx>
            <strRef>
              <f>'Agents - Number &amp; Type'!D4</f>
            </strRef>
          </tx>
          <spPr>
            <a:ln>
              <a:prstDash val="solid"/>
            </a:ln>
          </spPr>
          <cat>
            <numRef>
              <f>'Agents - Number &amp; Type'!$A$5:$A$10</f>
            </numRef>
          </cat>
          <val>
            <numRef>
              <f>'Agents - Number &amp; Type'!$D$5:$D$10</f>
            </numRef>
          </val>
        </ser>
        <ser>
          <idx val="2"/>
          <order val="2"/>
          <tx>
            <strRef>
              <f>'Agents - Number &amp; Type'!E4</f>
            </strRef>
          </tx>
          <spPr>
            <a:ln>
              <a:prstDash val="solid"/>
            </a:ln>
          </spPr>
          <cat>
            <numRef>
              <f>'Agents - Number &amp; Type'!$A$5:$A$10</f>
            </numRef>
          </cat>
          <val>
            <numRef>
              <f>'Agents - Number &amp; Type'!$E$5:$E$10</f>
            </numRef>
          </val>
        </ser>
        <ser>
          <idx val="3"/>
          <order val="3"/>
          <tx>
            <strRef>
              <f>'Agents - Number &amp; Type'!F4</f>
            </strRef>
          </tx>
          <spPr>
            <a:ln>
              <a:prstDash val="solid"/>
            </a:ln>
          </spPr>
          <cat>
            <numRef>
              <f>'Agents - Number &amp; Type'!$A$5:$A$10</f>
            </numRef>
          </cat>
          <val>
            <numRef>
              <f>'Agents - Number &amp; Type'!$F$5:$F$10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Agents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Tokens per task by archetype (log scale)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'Token Loads'!C5</f>
            </strRef>
          </tx>
          <spPr>
            <a:ln>
              <a:prstDash val="solid"/>
            </a:ln>
          </spPr>
          <cat>
            <numRef>
              <f>'Token Loads'!$A$6:$A$13</f>
            </numRef>
          </cat>
          <val>
            <numRef>
              <f>'Token Loads'!$C$6:$C$13</f>
            </numRef>
          </val>
        </ser>
        <ser>
          <idx val="1"/>
          <order val="1"/>
          <tx>
            <strRef>
              <f>'Token Loads'!D5</f>
            </strRef>
          </tx>
          <spPr>
            <a:ln>
              <a:prstDash val="solid"/>
            </a:ln>
          </spPr>
          <cat>
            <numRef>
              <f>'Token Loads'!$A$6:$A$13</f>
            </numRef>
          </cat>
          <val>
            <numRef>
              <f>'Token Loads'!$D$6:$D$13</f>
            </numRef>
          </val>
        </ser>
        <gapWidth val="150"/>
        <axId val="10"/>
        <axId val="100"/>
      </barChart>
      <catAx>
        <axId val="10"/>
        <scaling>
          <logBase val="10"/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Tokens per task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Derived agentic token load (T tokens/day, 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'Token Loads'!D28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Loads'!$A$29:$A$34</f>
            </numRef>
          </cat>
          <val>
            <numRef>
              <f>'Token Loads'!$D$29:$D$34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 tokens / 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Total daily agent actions (B, 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'Actions per Agent'!D15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'Actions per Agent'!$A$16:$A$21</f>
            </numRef>
          </cat>
          <val>
            <numRef>
              <f>'Actions per Agent'!$D$16:$D$21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Daily actions (B)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Actions per agent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'Actions per Agent'!C15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'Actions per Agent'!$A$16:$A$21</f>
            </numRef>
          </cat>
          <val>
            <numRef>
              <f>'Actions per Agent'!$C$16:$C$21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Actions / agent / 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27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Agentic AI — Time Series Databook</t>
        </is>
      </c>
    </row>
    <row r="2">
      <c r="A2" s="2" t="inlineStr">
        <is>
          <t>Compiled 2026-09-15 from public disclosures and industry research. All modeled values are labeled; see Sources &amp; Notes.</t>
        </is>
      </c>
    </row>
    <row r="4">
      <c r="A4" s="3" t="inlineStr">
        <is>
          <t>Sheet</t>
        </is>
      </c>
      <c r="B4" s="3" t="inlineStr">
        <is>
          <t>Contents</t>
        </is>
      </c>
    </row>
    <row r="5">
      <c r="A5" s="4" t="inlineStr">
        <is>
          <t>Token Consumption</t>
        </is>
      </c>
      <c r="B5" s="4" t="inlineStr">
        <is>
          <t>Monthly time series (Jan 2024 - Dec 2026) of disclosed platform token volumes (Google, Microsoft Foundry, OpenRouter) plus a modeled agentic share and estimated agentic token consumption.</t>
        </is>
      </c>
    </row>
    <row r="6">
      <c r="A6" s="5" t="inlineStr">
        <is>
          <t>Agents - Number &amp; Type</t>
        </is>
      </c>
      <c r="B6" s="5" t="inlineStr">
        <is>
          <t>Annual series (2025-2030) of deployed AI agents by type, calibrated to IDC's Agent Economics model (~30M in 2025 to 1.2B in 2029), plus enterprise-penetration context from Gartner.</t>
        </is>
      </c>
    </row>
    <row r="7">
      <c r="A7" s="4" t="inlineStr">
        <is>
          <t>Token Loads</t>
        </is>
      </c>
      <c r="B7" s="4" t="inlineStr">
        <is>
          <t>Per-task token-load benchmarks by workload archetype (chat vs RAG vs agentic coding), agentic-vs-chat multipliers, and a derived annual series of agentic token loads.</t>
        </is>
      </c>
    </row>
    <row r="8">
      <c r="A8" s="5" t="inlineStr">
        <is>
          <t>Actions per Agent</t>
        </is>
      </c>
      <c r="B8" s="5" t="inlineStr">
        <is>
          <t>Per-task turns / model calls / tool calls by archetype and a derived annual series of total daily agent actions and actions per agent per day (IDC anchor: 217B daily actions by 2029).</t>
        </is>
      </c>
    </row>
    <row r="9">
      <c r="A9" s="4" t="inlineStr">
        <is>
          <t>Sources &amp; Notes</t>
        </is>
      </c>
      <c r="B9" s="4" t="inlineStr">
        <is>
          <t>Every disclosed anchor figure with source, date and URL, plus methodology caveats.</t>
        </is>
      </c>
    </row>
    <row r="12">
      <c r="A12" s="6" t="inlineStr">
        <is>
          <t>How to read this workbook:</t>
        </is>
      </c>
    </row>
    <row r="13">
      <c r="A13" s="6" t="inlineStr">
        <is>
          <t>- 'Disclosed' figures come directly from company statements, earnings calls, or published research.</t>
        </is>
      </c>
    </row>
    <row r="14">
      <c r="A14" s="6" t="inlineStr">
        <is>
          <t>- 'Modeled' figures are geometric/linear interpolations between disclosed anchors, or extrapolations at disclosed growth rates. They are estimates, not reported data.</t>
        </is>
      </c>
    </row>
    <row r="15">
      <c r="A15" s="6" t="inlineStr">
        <is>
          <t>- Units: T = trillion tokens; Q = quadrillion; B = billion; M = million.</t>
        </is>
      </c>
    </row>
    <row r="16">
      <c r="A16" s="6" t="inlineStr">
        <is>
          <t>- Scopes differ across providers (Google counts all surfaces incl. consumer; Microsoft counts Foundry API only; OpenRouter counts routed third-party traffic; IDC counts enterprise agents). Series are complementary views, not additive to a clean industry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5" customWidth="1" min="4" max="4"/>
    <col width="16" customWidth="1" min="5" max="5"/>
    <col width="14" customWidth="1" min="6" max="6"/>
    <col width="18" customWidth="1" min="7" max="7"/>
    <col width="20" customWidth="1" min="8" max="8"/>
    <col width="24" customWidth="1" min="9" max="9"/>
  </cols>
  <sheetData>
    <row r="1">
      <c r="A1" s="1" t="inlineStr">
        <is>
          <t>Agentic Token Consumption — Monthly Time Series (Jan 2024 – Dec 2026)</t>
        </is>
      </c>
    </row>
    <row r="2">
      <c r="A2" s="2" t="inlineStr">
        <is>
          <t>Trillions of tokens per month. Disclosed anchors marked 'Disclosed'; all other values are modeled (geometric interpolation / extrapolation). Agentic share modeled from OpenRouter disclosures.</t>
        </is>
      </c>
    </row>
    <row r="4">
      <c r="A4" s="3" t="inlineStr">
        <is>
          <t>Month</t>
        </is>
      </c>
      <c r="B4" s="3" t="inlineStr">
        <is>
          <t>Google — all surfaces (T tokens/mo)</t>
        </is>
      </c>
      <c r="C4" s="3" t="inlineStr">
        <is>
          <t>Microsoft Foundry (T tokens/mo)</t>
        </is>
      </c>
      <c r="D4" s="3" t="inlineStr">
        <is>
          <t>OpenRouter (T tokens/mo)</t>
        </is>
      </c>
      <c r="E4" s="3" t="inlineStr">
        <is>
          <t>Observable total (T tokens/mo)</t>
        </is>
      </c>
      <c r="F4" s="3" t="inlineStr">
        <is>
          <t>Agentic share of tokens (%)</t>
        </is>
      </c>
      <c r="G4" s="3" t="inlineStr">
        <is>
          <t>Est. agentic tokens — OpenRouter (T/mo)</t>
        </is>
      </c>
      <c r="H4" s="3" t="inlineStr">
        <is>
          <t>Est. agentic tokens — observable total (T/mo)</t>
        </is>
      </c>
      <c r="I4" s="3" t="inlineStr">
        <is>
          <t>Data status</t>
        </is>
      </c>
    </row>
    <row r="5">
      <c r="A5" s="4" t="inlineStr">
        <is>
          <t>2024-01</t>
        </is>
      </c>
      <c r="B5" s="7" t="n">
        <v>2.64</v>
      </c>
      <c r="C5" s="7" t="n">
        <v>5.86</v>
      </c>
      <c r="D5" s="7" t="n">
        <v>0.32</v>
      </c>
      <c r="E5" s="7" t="n">
        <v>8.82</v>
      </c>
      <c r="F5" s="8" t="n">
        <v>1</v>
      </c>
      <c r="G5" s="7" t="n">
        <v>0</v>
      </c>
      <c r="H5" s="7" t="n">
        <v>0.09</v>
      </c>
      <c r="I5" s="4" t="inlineStr">
        <is>
          <t>Modeled</t>
        </is>
      </c>
    </row>
    <row r="6">
      <c r="A6" s="5" t="inlineStr">
        <is>
          <t>2024-02</t>
        </is>
      </c>
      <c r="B6" s="9" t="n">
        <v>3.66</v>
      </c>
      <c r="C6" s="9" t="n">
        <v>6.7</v>
      </c>
      <c r="D6" s="9" t="n">
        <v>0.39</v>
      </c>
      <c r="E6" s="9" t="n">
        <v>10.74</v>
      </c>
      <c r="F6" s="10" t="n">
        <v>1.3</v>
      </c>
      <c r="G6" s="9" t="n">
        <v>0.01</v>
      </c>
      <c r="H6" s="9" t="n">
        <v>0.14</v>
      </c>
      <c r="I6" s="5" t="inlineStr">
        <is>
          <t>Modeled</t>
        </is>
      </c>
    </row>
    <row r="7">
      <c r="A7" s="4" t="inlineStr">
        <is>
          <t>2024-03</t>
        </is>
      </c>
      <c r="B7" s="7" t="n">
        <v>5.06</v>
      </c>
      <c r="C7" s="7" t="n">
        <v>7.66</v>
      </c>
      <c r="D7" s="7" t="n">
        <v>0.47</v>
      </c>
      <c r="E7" s="7" t="n">
        <v>13.19</v>
      </c>
      <c r="F7" s="8" t="n">
        <v>1.7</v>
      </c>
      <c r="G7" s="7" t="n">
        <v>0.01</v>
      </c>
      <c r="H7" s="7" t="n">
        <v>0.22</v>
      </c>
      <c r="I7" s="4" t="inlineStr">
        <is>
          <t>Modeled</t>
        </is>
      </c>
    </row>
    <row r="8">
      <c r="A8" s="5" t="inlineStr">
        <is>
          <t>2024-04</t>
        </is>
      </c>
      <c r="B8" s="9" t="n">
        <v>7.01</v>
      </c>
      <c r="C8" s="9" t="n">
        <v>8.75</v>
      </c>
      <c r="D8" s="9" t="n">
        <v>0.57</v>
      </c>
      <c r="E8" s="9" t="n">
        <v>16.33</v>
      </c>
      <c r="F8" s="10" t="n">
        <v>2</v>
      </c>
      <c r="G8" s="9" t="n">
        <v>0.01</v>
      </c>
      <c r="H8" s="9" t="n">
        <v>0.33</v>
      </c>
      <c r="I8" s="5" t="inlineStr">
        <is>
          <t>Modeled</t>
        </is>
      </c>
    </row>
    <row r="9">
      <c r="A9" s="4" t="inlineStr">
        <is>
          <t>2024-05</t>
        </is>
      </c>
      <c r="B9" s="7" t="n">
        <v>9.699999999999999</v>
      </c>
      <c r="C9" s="7" t="n">
        <v>10</v>
      </c>
      <c r="D9" s="7" t="n">
        <v>0.6899999999999999</v>
      </c>
      <c r="E9" s="7" t="n">
        <v>20.39</v>
      </c>
      <c r="F9" s="8" t="n">
        <v>2.3</v>
      </c>
      <c r="G9" s="7" t="n">
        <v>0.02</v>
      </c>
      <c r="H9" s="7" t="n">
        <v>0.48</v>
      </c>
      <c r="I9" s="4" t="inlineStr">
        <is>
          <t>Disclosed: Google</t>
        </is>
      </c>
    </row>
    <row r="10">
      <c r="A10" s="5" t="inlineStr">
        <is>
          <t>2024-06</t>
        </is>
      </c>
      <c r="B10" s="9" t="n">
        <v>13.43</v>
      </c>
      <c r="C10" s="9" t="n">
        <v>11.43</v>
      </c>
      <c r="D10" s="9" t="n">
        <v>0.83</v>
      </c>
      <c r="E10" s="9" t="n">
        <v>25.69</v>
      </c>
      <c r="F10" s="10" t="n">
        <v>2.7</v>
      </c>
      <c r="G10" s="9" t="n">
        <v>0.02</v>
      </c>
      <c r="H10" s="9" t="n">
        <v>0.6899999999999999</v>
      </c>
      <c r="I10" s="5" t="inlineStr">
        <is>
          <t>Disclosed: OpenRouter</t>
        </is>
      </c>
    </row>
    <row r="11">
      <c r="A11" s="4" t="inlineStr">
        <is>
          <t>2024-07</t>
        </is>
      </c>
      <c r="B11" s="7" t="n">
        <v>18.59</v>
      </c>
      <c r="C11" s="7" t="n">
        <v>13.07</v>
      </c>
      <c r="D11" s="7" t="n">
        <v>1.01</v>
      </c>
      <c r="E11" s="7" t="n">
        <v>32.66</v>
      </c>
      <c r="F11" s="8" t="n">
        <v>3</v>
      </c>
      <c r="G11" s="7" t="n">
        <v>0.03</v>
      </c>
      <c r="H11" s="7" t="n">
        <v>0.98</v>
      </c>
      <c r="I11" s="4" t="inlineStr">
        <is>
          <t>Modeled</t>
        </is>
      </c>
    </row>
    <row r="12">
      <c r="A12" s="5" t="inlineStr">
        <is>
          <t>2024-08</t>
        </is>
      </c>
      <c r="B12" s="9" t="n">
        <v>25.73</v>
      </c>
      <c r="C12" s="9" t="n">
        <v>14.94</v>
      </c>
      <c r="D12" s="9" t="n">
        <v>1.22</v>
      </c>
      <c r="E12" s="9" t="n">
        <v>41.88</v>
      </c>
      <c r="F12" s="10" t="n">
        <v>3.3</v>
      </c>
      <c r="G12" s="9" t="n">
        <v>0.04</v>
      </c>
      <c r="H12" s="9" t="n">
        <v>1.4</v>
      </c>
      <c r="I12" s="5" t="inlineStr">
        <is>
          <t>Modeled</t>
        </is>
      </c>
    </row>
    <row r="13">
      <c r="A13" s="4" t="inlineStr">
        <is>
          <t>2024-09</t>
        </is>
      </c>
      <c r="B13" s="7" t="n">
        <v>35.61</v>
      </c>
      <c r="C13" s="7" t="n">
        <v>17.07</v>
      </c>
      <c r="D13" s="7" t="n">
        <v>1.48</v>
      </c>
      <c r="E13" s="7" t="n">
        <v>54.16</v>
      </c>
      <c r="F13" s="8" t="n">
        <v>3.7</v>
      </c>
      <c r="G13" s="7" t="n">
        <v>0.05</v>
      </c>
      <c r="H13" s="7" t="n">
        <v>1.99</v>
      </c>
      <c r="I13" s="4" t="inlineStr">
        <is>
          <t>Modeled</t>
        </is>
      </c>
    </row>
    <row r="14">
      <c r="A14" s="5" t="inlineStr">
        <is>
          <t>2024-10</t>
        </is>
      </c>
      <c r="B14" s="9" t="n">
        <v>49.29</v>
      </c>
      <c r="C14" s="9" t="n">
        <v>19.51</v>
      </c>
      <c r="D14" s="9" t="n">
        <v>1.79</v>
      </c>
      <c r="E14" s="9" t="n">
        <v>70.59999999999999</v>
      </c>
      <c r="F14" s="10" t="n">
        <v>4</v>
      </c>
      <c r="G14" s="9" t="n">
        <v>0.07000000000000001</v>
      </c>
      <c r="H14" s="9" t="n">
        <v>2.82</v>
      </c>
      <c r="I14" s="5" t="inlineStr">
        <is>
          <t>Modeled</t>
        </is>
      </c>
    </row>
    <row r="15">
      <c r="A15" s="4" t="inlineStr">
        <is>
          <t>2024-11</t>
        </is>
      </c>
      <c r="B15" s="7" t="n">
        <v>68.23</v>
      </c>
      <c r="C15" s="7" t="n">
        <v>22.3</v>
      </c>
      <c r="D15" s="7" t="n">
        <v>2.17</v>
      </c>
      <c r="E15" s="7" t="n">
        <v>92.7</v>
      </c>
      <c r="F15" s="8" t="n">
        <v>4.3</v>
      </c>
      <c r="G15" s="7" t="n">
        <v>0.09</v>
      </c>
      <c r="H15" s="7" t="n">
        <v>4.02</v>
      </c>
      <c r="I15" s="4" t="inlineStr">
        <is>
          <t>Modeled</t>
        </is>
      </c>
    </row>
    <row r="16">
      <c r="A16" s="5" t="inlineStr">
        <is>
          <t>2024-12</t>
        </is>
      </c>
      <c r="B16" s="9" t="n">
        <v>94.45</v>
      </c>
      <c r="C16" s="9" t="n">
        <v>25.49</v>
      </c>
      <c r="D16" s="9" t="n">
        <v>2.62</v>
      </c>
      <c r="E16" s="9" t="n">
        <v>122.57</v>
      </c>
      <c r="F16" s="10" t="n">
        <v>4.7</v>
      </c>
      <c r="G16" s="9" t="n">
        <v>0.12</v>
      </c>
      <c r="H16" s="9" t="n">
        <v>5.72</v>
      </c>
      <c r="I16" s="5" t="inlineStr">
        <is>
          <t>Modeled</t>
        </is>
      </c>
    </row>
    <row r="17">
      <c r="A17" s="4" t="inlineStr">
        <is>
          <t>2025-01</t>
        </is>
      </c>
      <c r="B17" s="7" t="n">
        <v>130.74</v>
      </c>
      <c r="C17" s="7" t="n">
        <v>29.13</v>
      </c>
      <c r="D17" s="7" t="n">
        <v>3.18</v>
      </c>
      <c r="E17" s="7" t="n">
        <v>163.06</v>
      </c>
      <c r="F17" s="8" t="n">
        <v>5</v>
      </c>
      <c r="G17" s="7" t="n">
        <v>0.16</v>
      </c>
      <c r="H17" s="7" t="n">
        <v>8.15</v>
      </c>
      <c r="I17" s="4" t="inlineStr">
        <is>
          <t>Modeled</t>
        </is>
      </c>
    </row>
    <row r="18">
      <c r="A18" s="5" t="inlineStr">
        <is>
          <t>2025-02</t>
        </is>
      </c>
      <c r="B18" s="9" t="n">
        <v>180.98</v>
      </c>
      <c r="C18" s="9" t="n">
        <v>33.3</v>
      </c>
      <c r="D18" s="9" t="n">
        <v>3.85</v>
      </c>
      <c r="E18" s="9" t="n">
        <v>218.13</v>
      </c>
      <c r="F18" s="10" t="n">
        <v>6.4</v>
      </c>
      <c r="G18" s="9" t="n">
        <v>0.25</v>
      </c>
      <c r="H18" s="9" t="n">
        <v>13.96</v>
      </c>
      <c r="I18" s="5" t="inlineStr">
        <is>
          <t>Disclosed: Microsoft</t>
        </is>
      </c>
    </row>
    <row r="19">
      <c r="A19" s="4" t="inlineStr">
        <is>
          <t>2025-03</t>
        </is>
      </c>
      <c r="B19" s="7" t="n">
        <v>250.51</v>
      </c>
      <c r="C19" s="7" t="n">
        <v>50</v>
      </c>
      <c r="D19" s="7" t="n">
        <v>4.67</v>
      </c>
      <c r="E19" s="7" t="n">
        <v>305.18</v>
      </c>
      <c r="F19" s="8" t="n">
        <v>7.8</v>
      </c>
      <c r="G19" s="7" t="n">
        <v>0.36</v>
      </c>
      <c r="H19" s="7" t="n">
        <v>23.8</v>
      </c>
      <c r="I19" s="4" t="inlineStr">
        <is>
          <t>Disclosed: Microsoft</t>
        </is>
      </c>
    </row>
    <row r="20">
      <c r="A20" s="5" t="inlineStr">
        <is>
          <t>2025-04</t>
        </is>
      </c>
      <c r="B20" s="9" t="n">
        <v>346.77</v>
      </c>
      <c r="C20" s="9" t="n">
        <v>57.18</v>
      </c>
      <c r="D20" s="9" t="n">
        <v>5.65</v>
      </c>
      <c r="E20" s="9" t="n">
        <v>409.6</v>
      </c>
      <c r="F20" s="10" t="n">
        <v>9.199999999999999</v>
      </c>
      <c r="G20" s="9" t="n">
        <v>0.52</v>
      </c>
      <c r="H20" s="9" t="n">
        <v>37.68</v>
      </c>
      <c r="I20" s="5" t="inlineStr">
        <is>
          <t>Modeled</t>
        </is>
      </c>
    </row>
    <row r="21">
      <c r="A21" s="4" t="inlineStr">
        <is>
          <t>2025-05</t>
        </is>
      </c>
      <c r="B21" s="7" t="n">
        <v>480</v>
      </c>
      <c r="C21" s="7" t="n">
        <v>65.38</v>
      </c>
      <c r="D21" s="7" t="n">
        <v>6.85</v>
      </c>
      <c r="E21" s="7" t="n">
        <v>552.23</v>
      </c>
      <c r="F21" s="8" t="n">
        <v>10.6</v>
      </c>
      <c r="G21" s="7" t="n">
        <v>0.73</v>
      </c>
      <c r="H21" s="7" t="n">
        <v>58.54</v>
      </c>
      <c r="I21" s="4" t="inlineStr">
        <is>
          <t>Disclosed: Google</t>
        </is>
      </c>
    </row>
    <row r="22">
      <c r="A22" s="5" t="inlineStr">
        <is>
          <t>2025-06</t>
        </is>
      </c>
      <c r="B22" s="9" t="n">
        <v>685.86</v>
      </c>
      <c r="C22" s="9" t="n">
        <v>74.77</v>
      </c>
      <c r="D22" s="9" t="n">
        <v>8.300000000000001</v>
      </c>
      <c r="E22" s="9" t="n">
        <v>768.92</v>
      </c>
      <c r="F22" s="10" t="n">
        <v>12</v>
      </c>
      <c r="G22" s="9" t="n">
        <v>1</v>
      </c>
      <c r="H22" s="9" t="n">
        <v>92.27</v>
      </c>
      <c r="I22" s="5" t="inlineStr">
        <is>
          <t>Disclosed: OpenRouter</t>
        </is>
      </c>
    </row>
    <row r="23">
      <c r="A23" s="4" t="inlineStr">
        <is>
          <t>2025-07</t>
        </is>
      </c>
      <c r="B23" s="7" t="n">
        <v>980</v>
      </c>
      <c r="C23" s="7" t="n">
        <v>85.5</v>
      </c>
      <c r="D23" s="7" t="n">
        <v>10.28</v>
      </c>
      <c r="E23" s="7" t="n">
        <v>1075.78</v>
      </c>
      <c r="F23" s="8" t="n">
        <v>15</v>
      </c>
      <c r="G23" s="7" t="n">
        <v>1.54</v>
      </c>
      <c r="H23" s="7" t="n">
        <v>161.37</v>
      </c>
      <c r="I23" s="4" t="inlineStr">
        <is>
          <t>Disclosed: Google</t>
        </is>
      </c>
    </row>
    <row r="24">
      <c r="A24" s="5" t="inlineStr">
        <is>
          <t>2025-08</t>
        </is>
      </c>
      <c r="B24" s="9" t="n">
        <v>1076.79</v>
      </c>
      <c r="C24" s="9" t="n">
        <v>97.77</v>
      </c>
      <c r="D24" s="9" t="n">
        <v>12.74</v>
      </c>
      <c r="E24" s="9" t="n">
        <v>1187.3</v>
      </c>
      <c r="F24" s="10" t="n">
        <v>18</v>
      </c>
      <c r="G24" s="9" t="n">
        <v>2.29</v>
      </c>
      <c r="H24" s="9" t="n">
        <v>213.71</v>
      </c>
      <c r="I24" s="5" t="inlineStr">
        <is>
          <t>Modeled</t>
        </is>
      </c>
    </row>
    <row r="25">
      <c r="A25" s="4" t="inlineStr">
        <is>
          <t>2025-09</t>
        </is>
      </c>
      <c r="B25" s="7" t="n">
        <v>1183.14</v>
      </c>
      <c r="C25" s="7" t="n">
        <v>111.8</v>
      </c>
      <c r="D25" s="7" t="n">
        <v>15.78</v>
      </c>
      <c r="E25" s="7" t="n">
        <v>1310.73</v>
      </c>
      <c r="F25" s="8" t="n">
        <v>21</v>
      </c>
      <c r="G25" s="7" t="n">
        <v>3.31</v>
      </c>
      <c r="H25" s="7" t="n">
        <v>275.25</v>
      </c>
      <c r="I25" s="4" t="inlineStr">
        <is>
          <t>Modeled</t>
        </is>
      </c>
    </row>
    <row r="26">
      <c r="A26" s="5" t="inlineStr">
        <is>
          <t>2025-10</t>
        </is>
      </c>
      <c r="B26" s="9" t="n">
        <v>1300</v>
      </c>
      <c r="C26" s="9" t="n">
        <v>127.85</v>
      </c>
      <c r="D26" s="9" t="n">
        <v>19.55</v>
      </c>
      <c r="E26" s="9" t="n">
        <v>1447.4</v>
      </c>
      <c r="F26" s="10" t="n">
        <v>24</v>
      </c>
      <c r="G26" s="9" t="n">
        <v>4.69</v>
      </c>
      <c r="H26" s="9" t="n">
        <v>347.38</v>
      </c>
      <c r="I26" s="5" t="inlineStr">
        <is>
          <t>Disclosed: Google</t>
        </is>
      </c>
    </row>
    <row r="27">
      <c r="A27" s="4" t="inlineStr">
        <is>
          <t>2025-11</t>
        </is>
      </c>
      <c r="B27" s="7" t="n">
        <v>1478.53</v>
      </c>
      <c r="C27" s="7" t="n">
        <v>146.2</v>
      </c>
      <c r="D27" s="7" t="n">
        <v>24.22</v>
      </c>
      <c r="E27" s="7" t="n">
        <v>1648.95</v>
      </c>
      <c r="F27" s="8" t="n">
        <v>27</v>
      </c>
      <c r="G27" s="7" t="n">
        <v>6.54</v>
      </c>
      <c r="H27" s="7" t="n">
        <v>445.22</v>
      </c>
      <c r="I27" s="4" t="inlineStr">
        <is>
          <t>Modeled</t>
        </is>
      </c>
    </row>
    <row r="28">
      <c r="A28" s="5" t="inlineStr">
        <is>
          <t>2025-12</t>
        </is>
      </c>
      <c r="B28" s="9" t="n">
        <v>1681.58</v>
      </c>
      <c r="C28" s="9" t="n">
        <v>167.19</v>
      </c>
      <c r="D28" s="9" t="n">
        <v>30</v>
      </c>
      <c r="E28" s="9" t="n">
        <v>1878.76</v>
      </c>
      <c r="F28" s="10" t="n">
        <v>30</v>
      </c>
      <c r="G28" s="9" t="n">
        <v>9</v>
      </c>
      <c r="H28" s="9" t="n">
        <v>563.63</v>
      </c>
      <c r="I28" s="5" t="inlineStr">
        <is>
          <t>Disclosed: OpenRouter</t>
        </is>
      </c>
    </row>
    <row r="29">
      <c r="A29" s="4" t="inlineStr">
        <is>
          <t>2026-01</t>
        </is>
      </c>
      <c r="B29" s="7" t="n">
        <v>1912.51</v>
      </c>
      <c r="C29" s="7" t="n">
        <v>191.18</v>
      </c>
      <c r="D29" s="7" t="n">
        <v>34.87</v>
      </c>
      <c r="E29" s="7" t="n">
        <v>2138.56</v>
      </c>
      <c r="F29" s="8" t="n">
        <v>40</v>
      </c>
      <c r="G29" s="7" t="n">
        <v>13.95</v>
      </c>
      <c r="H29" s="7" t="n">
        <v>855.42</v>
      </c>
      <c r="I29" s="4" t="inlineStr">
        <is>
          <t>Modeled</t>
        </is>
      </c>
    </row>
    <row r="30">
      <c r="A30" s="5" t="inlineStr">
        <is>
          <t>2026-02</t>
        </is>
      </c>
      <c r="B30" s="9" t="n">
        <v>2175.15</v>
      </c>
      <c r="C30" s="9" t="n">
        <v>218.62</v>
      </c>
      <c r="D30" s="9" t="n">
        <v>40.54</v>
      </c>
      <c r="E30" s="9" t="n">
        <v>2434.31</v>
      </c>
      <c r="F30" s="10" t="n">
        <v>50</v>
      </c>
      <c r="G30" s="9" t="n">
        <v>20.27</v>
      </c>
      <c r="H30" s="9" t="n">
        <v>1217.16</v>
      </c>
      <c r="I30" s="5" t="inlineStr">
        <is>
          <t>Modeled</t>
        </is>
      </c>
    </row>
    <row r="31">
      <c r="A31" s="4" t="inlineStr">
        <is>
          <t>2026-03</t>
        </is>
      </c>
      <c r="B31" s="7" t="n">
        <v>2473.87</v>
      </c>
      <c r="C31" s="7" t="n">
        <v>250</v>
      </c>
      <c r="D31" s="7" t="n">
        <v>47.12</v>
      </c>
      <c r="E31" s="7" t="n">
        <v>2770.99</v>
      </c>
      <c r="F31" s="8" t="n">
        <v>52</v>
      </c>
      <c r="G31" s="7" t="n">
        <v>24.5</v>
      </c>
      <c r="H31" s="7" t="n">
        <v>1440.91</v>
      </c>
      <c r="I31" s="4" t="inlineStr">
        <is>
          <t>Modeled</t>
        </is>
      </c>
    </row>
    <row r="32">
      <c r="A32" s="5" t="inlineStr">
        <is>
          <t>2026-04</t>
        </is>
      </c>
      <c r="B32" s="9" t="n">
        <v>2813.61</v>
      </c>
      <c r="C32" s="9" t="n">
        <v>285.88</v>
      </c>
      <c r="D32" s="9" t="n">
        <v>54.77</v>
      </c>
      <c r="E32" s="9" t="n">
        <v>3154.26</v>
      </c>
      <c r="F32" s="10" t="n">
        <v>54</v>
      </c>
      <c r="G32" s="9" t="n">
        <v>29.58</v>
      </c>
      <c r="H32" s="9" t="n">
        <v>1703.3</v>
      </c>
      <c r="I32" s="5" t="inlineStr">
        <is>
          <t>Modeled</t>
        </is>
      </c>
    </row>
    <row r="33">
      <c r="A33" s="4" t="inlineStr">
        <is>
          <t>2026-05</t>
        </is>
      </c>
      <c r="B33" s="7" t="n">
        <v>3200</v>
      </c>
      <c r="C33" s="7" t="n">
        <v>326.92</v>
      </c>
      <c r="D33" s="7" t="n">
        <v>63.67</v>
      </c>
      <c r="E33" s="7" t="n">
        <v>3590.58</v>
      </c>
      <c r="F33" s="8" t="n">
        <v>56</v>
      </c>
      <c r="G33" s="7" t="n">
        <v>35.65</v>
      </c>
      <c r="H33" s="7" t="n">
        <v>2010.73</v>
      </c>
      <c r="I33" s="4" t="inlineStr">
        <is>
          <t>Disclosed: Google</t>
        </is>
      </c>
    </row>
    <row r="34">
      <c r="A34" s="5" t="inlineStr">
        <is>
          <t>2026-06</t>
        </is>
      </c>
      <c r="B34" s="9" t="n">
        <v>3443.38</v>
      </c>
      <c r="C34" s="9" t="n">
        <v>373.84</v>
      </c>
      <c r="D34" s="9" t="n">
        <v>74.01000000000001</v>
      </c>
      <c r="E34" s="9" t="n">
        <v>3891.22</v>
      </c>
      <c r="F34" s="10" t="n">
        <v>58</v>
      </c>
      <c r="G34" s="9" t="n">
        <v>42.92</v>
      </c>
      <c r="H34" s="9" t="n">
        <v>2256.91</v>
      </c>
      <c r="I34" s="5" t="inlineStr">
        <is>
          <t>Modeled</t>
        </is>
      </c>
    </row>
    <row r="35">
      <c r="A35" s="4" t="inlineStr">
        <is>
          <t>2026-07</t>
        </is>
      </c>
      <c r="B35" s="7" t="n">
        <v>3705.26</v>
      </c>
      <c r="C35" s="7" t="n">
        <v>427.49</v>
      </c>
      <c r="D35" s="7" t="n">
        <v>86.03</v>
      </c>
      <c r="E35" s="7" t="n">
        <v>4218.79</v>
      </c>
      <c r="F35" s="8" t="n">
        <v>59.2</v>
      </c>
      <c r="G35" s="7" t="n">
        <v>50.9</v>
      </c>
      <c r="H35" s="7" t="n">
        <v>2496.11</v>
      </c>
      <c r="I35" s="4" t="inlineStr">
        <is>
          <t>Modeled</t>
        </is>
      </c>
    </row>
    <row r="36">
      <c r="A36" s="5" t="inlineStr">
        <is>
          <t>2026-08</t>
        </is>
      </c>
      <c r="B36" s="9" t="n">
        <v>3987.07</v>
      </c>
      <c r="C36" s="9" t="n">
        <v>488.85</v>
      </c>
      <c r="D36" s="9" t="n">
        <v>100</v>
      </c>
      <c r="E36" s="9" t="n">
        <v>4575.92</v>
      </c>
      <c r="F36" s="10" t="n">
        <v>60.3</v>
      </c>
      <c r="G36" s="9" t="n">
        <v>60.33</v>
      </c>
      <c r="H36" s="9" t="n">
        <v>2760.8</v>
      </c>
      <c r="I36" s="5" t="inlineStr">
        <is>
          <t>Disclosed: OpenRouter</t>
        </is>
      </c>
    </row>
    <row r="37">
      <c r="A37" s="4" t="inlineStr">
        <is>
          <t>2026-09</t>
        </is>
      </c>
      <c r="B37" s="7" t="n">
        <v>4290.3</v>
      </c>
      <c r="C37" s="7" t="n">
        <v>559.02</v>
      </c>
      <c r="D37" s="7" t="n">
        <v>116.24</v>
      </c>
      <c r="E37" s="7" t="n">
        <v>4965.56</v>
      </c>
      <c r="F37" s="8" t="n">
        <v>61.5</v>
      </c>
      <c r="G37" s="7" t="n">
        <v>71.48999999999999</v>
      </c>
      <c r="H37" s="7" t="n">
        <v>3053.82</v>
      </c>
      <c r="I37" s="4" t="inlineStr">
        <is>
          <t>Modeled</t>
        </is>
      </c>
    </row>
    <row r="38">
      <c r="A38" s="5" t="inlineStr">
        <is>
          <t>2026-10</t>
        </is>
      </c>
      <c r="B38" s="9" t="n">
        <v>4616.6</v>
      </c>
      <c r="C38" s="9" t="n">
        <v>639.25</v>
      </c>
      <c r="D38" s="9" t="n">
        <v>135.12</v>
      </c>
      <c r="E38" s="9" t="n">
        <v>5390.98</v>
      </c>
      <c r="F38" s="10" t="n">
        <v>62.7</v>
      </c>
      <c r="G38" s="9" t="n">
        <v>84.68000000000001</v>
      </c>
      <c r="H38" s="9" t="n">
        <v>3378.35</v>
      </c>
      <c r="I38" s="5" t="inlineStr">
        <is>
          <t>Modeled</t>
        </is>
      </c>
    </row>
    <row r="39">
      <c r="A39" s="4" t="inlineStr">
        <is>
          <t>2026-11</t>
        </is>
      </c>
      <c r="B39" s="7" t="n">
        <v>4967.72</v>
      </c>
      <c r="C39" s="7" t="n">
        <v>731</v>
      </c>
      <c r="D39" s="7" t="n">
        <v>157.07</v>
      </c>
      <c r="E39" s="7" t="n">
        <v>5855.79</v>
      </c>
      <c r="F39" s="8" t="n">
        <v>63.8</v>
      </c>
      <c r="G39" s="7" t="n">
        <v>100.26</v>
      </c>
      <c r="H39" s="7" t="n">
        <v>3737.95</v>
      </c>
      <c r="I39" s="4" t="inlineStr">
        <is>
          <t>Modeled</t>
        </is>
      </c>
    </row>
    <row r="40">
      <c r="A40" s="5" t="inlineStr">
        <is>
          <t>2026-12</t>
        </is>
      </c>
      <c r="B40" s="9" t="n">
        <v>5345.54</v>
      </c>
      <c r="C40" s="9" t="n">
        <v>835.9299999999999</v>
      </c>
      <c r="D40" s="9" t="n">
        <v>182.57</v>
      </c>
      <c r="E40" s="9" t="n">
        <v>6364.04</v>
      </c>
      <c r="F40" s="10" t="n">
        <v>65</v>
      </c>
      <c r="G40" s="9" t="n">
        <v>118.67</v>
      </c>
      <c r="H40" s="9" t="n">
        <v>4136.63</v>
      </c>
      <c r="I40" s="5" t="inlineStr">
        <is>
          <t>Modeled</t>
        </is>
      </c>
    </row>
    <row r="43">
      <c r="A43" s="11" t="inlineStr">
        <is>
          <t>Disclosed anchor data points</t>
        </is>
      </c>
    </row>
    <row r="44">
      <c r="A44" s="3" t="inlineStr">
        <is>
          <t>Date</t>
        </is>
      </c>
      <c r="B44" s="3" t="inlineStr">
        <is>
          <t>Provider / scope</t>
        </is>
      </c>
      <c r="C44" s="3" t="inlineStr">
        <is>
          <t>Disclosed figure</t>
        </is>
      </c>
      <c r="D44" s="3" t="inlineStr">
        <is>
          <t>Source</t>
        </is>
      </c>
    </row>
    <row r="45">
      <c r="A45" s="4" t="inlineStr">
        <is>
          <t>2024-05</t>
        </is>
      </c>
      <c r="B45" s="4" t="inlineStr">
        <is>
          <t>Google</t>
        </is>
      </c>
      <c r="C45" s="4" t="inlineStr">
        <is>
          <t>9.7T tokens/month across all surfaces</t>
        </is>
      </c>
      <c r="D45" s="4" t="inlineStr">
        <is>
          <t>Google I/O 2026 keynote (retrospective)</t>
        </is>
      </c>
    </row>
    <row r="46">
      <c r="A46" s="5" t="inlineStr">
        <is>
          <t>2025-03</t>
        </is>
      </c>
      <c r="B46" s="5" t="inlineStr">
        <is>
          <t>Microsoft</t>
        </is>
      </c>
      <c r="C46" s="5" t="inlineStr">
        <is>
          <t>50T tokens in March; &gt;100T in FY25 Q3 (5x YoY)</t>
        </is>
      </c>
      <c r="D46" s="5" t="inlineStr">
        <is>
          <t>Microsoft FY25 Q3 earnings call</t>
        </is>
      </c>
    </row>
    <row r="47">
      <c r="A47" s="4" t="inlineStr">
        <is>
          <t>2025-05</t>
        </is>
      </c>
      <c r="B47" s="4" t="inlineStr">
        <is>
          <t>Google</t>
        </is>
      </c>
      <c r="C47" s="4" t="inlineStr">
        <is>
          <t>~480T tokens/month</t>
        </is>
      </c>
      <c r="D47" s="4" t="inlineStr">
        <is>
          <t>Google I/O 2025</t>
        </is>
      </c>
    </row>
    <row r="48">
      <c r="A48" s="5" t="inlineStr">
        <is>
          <t>2025-06</t>
        </is>
      </c>
      <c r="B48" s="5" t="inlineStr">
        <is>
          <t>OpenRouter</t>
        </is>
      </c>
      <c r="C48" s="5" t="inlineStr">
        <is>
          <t>~100T tokens/year run rate (10x YoY)</t>
        </is>
      </c>
      <c r="D48" s="5" t="inlineStr">
        <is>
          <t>Menlo Ventures / a16z</t>
        </is>
      </c>
    </row>
    <row r="49">
      <c r="A49" s="4" t="inlineStr">
        <is>
          <t>2025-07</t>
        </is>
      </c>
      <c r="B49" s="4" t="inlineStr">
        <is>
          <t>Google</t>
        </is>
      </c>
      <c r="C49" s="4" t="inlineStr">
        <is>
          <t>980T tokens/month</t>
        </is>
      </c>
      <c r="D49" s="4" t="inlineStr">
        <is>
          <t>Alphabet Q2-2025 earnings call</t>
        </is>
      </c>
    </row>
    <row r="50">
      <c r="A50" s="5" t="inlineStr">
        <is>
          <t>2025-10</t>
        </is>
      </c>
      <c r="B50" s="5" t="inlineStr">
        <is>
          <t>Google</t>
        </is>
      </c>
      <c r="C50" s="5" t="inlineStr">
        <is>
          <t>1.3Q tokens/month</t>
        </is>
      </c>
      <c r="D50" s="5" t="inlineStr">
        <is>
          <t>Google blog, Oct 2025</t>
        </is>
      </c>
    </row>
    <row r="51">
      <c r="A51" s="4" t="inlineStr">
        <is>
          <t>2025-10</t>
        </is>
      </c>
      <c r="B51" s="4" t="inlineStr">
        <is>
          <t>OpenAI</t>
        </is>
      </c>
      <c r="C51" s="4" t="inlineStr">
        <is>
          <t>API averaged ~8.6T tokens/day (~260T/mo)</t>
        </is>
      </c>
      <c r="D51" s="4" t="inlineStr">
        <is>
          <t>a16z State of AI (Oct 2025)</t>
        </is>
      </c>
    </row>
    <row r="52">
      <c r="A52" s="5" t="inlineStr">
        <is>
          <t>2025-12</t>
        </is>
      </c>
      <c r="B52" s="5" t="inlineStr">
        <is>
          <t>OpenRouter</t>
        </is>
      </c>
      <c r="C52" s="5" t="inlineStr">
        <is>
          <t>&gt;1T tokens/day (~300T/yr annualized)</t>
        </is>
      </c>
      <c r="D52" s="5" t="inlineStr">
        <is>
          <t>a16z / Contrary Research</t>
        </is>
      </c>
    </row>
    <row r="53">
      <c r="A53" s="4" t="inlineStr">
        <is>
          <t>2026-02</t>
        </is>
      </c>
      <c r="B53" s="4" t="inlineStr">
        <is>
          <t>OpenRouter</t>
        </is>
      </c>
      <c r="C53" s="4" t="inlineStr">
        <is>
          <t>Agentic tokens surpassed human-driven tokens (~Feb 1)</t>
        </is>
      </c>
      <c r="D53" s="4" t="inlineStr">
        <is>
          <t>OpenRouter blog</t>
        </is>
      </c>
    </row>
    <row r="54">
      <c r="A54" s="5" t="inlineStr">
        <is>
          <t>2026-05</t>
        </is>
      </c>
      <c r="B54" s="5" t="inlineStr">
        <is>
          <t>Google</t>
        </is>
      </c>
      <c r="C54" s="5" t="inlineStr">
        <is>
          <t>&gt;3.2Q tokens/month; Gemini API ~19B tokens/min</t>
        </is>
      </c>
      <c r="D54" s="5" t="inlineStr">
        <is>
          <t>Google I/O 2026</t>
        </is>
      </c>
    </row>
    <row r="55">
      <c r="A55" s="4" t="inlineStr">
        <is>
          <t>2026-07</t>
        </is>
      </c>
      <c r="B55" s="4" t="inlineStr">
        <is>
          <t>Google</t>
        </is>
      </c>
      <c r="C55" s="4" t="inlineStr">
        <is>
          <t>Gemini API ~22B tokens/min</t>
        </is>
      </c>
      <c r="D55" s="4" t="inlineStr">
        <is>
          <t>Alphabet Q2-2026 earnings release</t>
        </is>
      </c>
    </row>
    <row r="56">
      <c r="A56" s="5" t="inlineStr">
        <is>
          <t>2026-08</t>
        </is>
      </c>
      <c r="B56" s="5" t="inlineStr">
        <is>
          <t>OpenRouter</t>
        </is>
      </c>
      <c r="C56" s="5" t="inlineStr">
        <is>
          <t>&gt;100T tokens/month (&gt;1Q/yr annualized)</t>
        </is>
      </c>
      <c r="D56" s="5" t="inlineStr">
        <is>
          <t>Contrary Research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</cols>
  <sheetData>
    <row r="1">
      <c r="A1" s="1" t="inlineStr">
        <is>
          <t>Number and Type of Deployed AI Agents — Annual Series (2025 – 2030)</t>
        </is>
      </c>
    </row>
    <row r="2">
      <c r="A2" s="2" t="inlineStr">
        <is>
          <t>Millions of actively deployed agents worldwide. Totals for 2025 and 2029 are IDC Agent Economics anchors; other totals and the type mix are modeled.</t>
        </is>
      </c>
    </row>
    <row r="4">
      <c r="A4" s="3" t="inlineStr">
        <is>
          <t>Year</t>
        </is>
      </c>
      <c r="B4" s="3" t="inlineStr">
        <is>
          <t>Total agents (M)</t>
        </is>
      </c>
      <c r="C4" s="3" t="inlineStr">
        <is>
          <t>In-application agents (M)</t>
        </is>
      </c>
      <c r="D4" s="3" t="inlineStr">
        <is>
          <t>Custom-configured (no/low-code) agents (M)</t>
        </is>
      </c>
      <c r="E4" s="3" t="inlineStr">
        <is>
          <t>Standalone agents (M)</t>
        </is>
      </c>
      <c r="F4" s="3" t="inlineStr">
        <is>
          <t>Bespoke / custom-built agents (M)</t>
        </is>
      </c>
      <c r="G4" s="3" t="inlineStr">
        <is>
          <t>In-application agents share (%)</t>
        </is>
      </c>
      <c r="H4" s="3" t="inlineStr">
        <is>
          <t>Custom-configured (no/low-code) agents share (%)</t>
        </is>
      </c>
      <c r="I4" s="3" t="inlineStr">
        <is>
          <t>Standalone agents share (%)</t>
        </is>
      </c>
      <c r="J4" s="3" t="inlineStr">
        <is>
          <t>Bespoke / custom-built agents share (%)</t>
        </is>
      </c>
      <c r="K4" s="3" t="inlineStr">
        <is>
          <t>Data status</t>
        </is>
      </c>
    </row>
    <row r="5">
      <c r="A5" s="4" t="n">
        <v>2025</v>
      </c>
      <c r="B5" s="12" t="n">
        <v>30</v>
      </c>
      <c r="C5" s="13" t="n">
        <v>16.5</v>
      </c>
      <c r="D5" s="13" t="n">
        <v>6</v>
      </c>
      <c r="E5" s="13" t="n">
        <v>4.5</v>
      </c>
      <c r="F5" s="13" t="n">
        <v>3</v>
      </c>
      <c r="G5" s="4" t="n">
        <v>55</v>
      </c>
      <c r="H5" s="4" t="n">
        <v>20</v>
      </c>
      <c r="I5" s="4" t="n">
        <v>15</v>
      </c>
      <c r="J5" s="4" t="n">
        <v>10</v>
      </c>
      <c r="K5" s="4" t="inlineStr">
        <is>
          <t>IDC anchor (total); mix modeled</t>
        </is>
      </c>
    </row>
    <row r="6">
      <c r="A6" s="5" t="n">
        <v>2026</v>
      </c>
      <c r="B6" s="14" t="n">
        <v>95</v>
      </c>
      <c r="C6" s="15" t="n">
        <v>46.5</v>
      </c>
      <c r="D6" s="15" t="n">
        <v>21.9</v>
      </c>
      <c r="E6" s="15" t="n">
        <v>17.1</v>
      </c>
      <c r="F6" s="15" t="n">
        <v>9.5</v>
      </c>
      <c r="G6" s="5" t="n">
        <v>49</v>
      </c>
      <c r="H6" s="5" t="n">
        <v>23</v>
      </c>
      <c r="I6" s="5" t="n">
        <v>18</v>
      </c>
      <c r="J6" s="5" t="n">
        <v>10</v>
      </c>
      <c r="K6" s="5" t="inlineStr">
        <is>
          <t>Modeled</t>
        </is>
      </c>
    </row>
    <row r="7">
      <c r="A7" s="4" t="n">
        <v>2027</v>
      </c>
      <c r="B7" s="12" t="n">
        <v>280</v>
      </c>
      <c r="C7" s="13" t="n">
        <v>120.4</v>
      </c>
      <c r="D7" s="13" t="n">
        <v>72.8</v>
      </c>
      <c r="E7" s="13" t="n">
        <v>58.8</v>
      </c>
      <c r="F7" s="13" t="n">
        <v>28</v>
      </c>
      <c r="G7" s="4" t="n">
        <v>43</v>
      </c>
      <c r="H7" s="4" t="n">
        <v>26</v>
      </c>
      <c r="I7" s="4" t="n">
        <v>21</v>
      </c>
      <c r="J7" s="4" t="n">
        <v>10</v>
      </c>
      <c r="K7" s="4" t="inlineStr">
        <is>
          <t>Modeled</t>
        </is>
      </c>
    </row>
    <row r="8">
      <c r="A8" s="5" t="n">
        <v>2028</v>
      </c>
      <c r="B8" s="14" t="n">
        <v>650</v>
      </c>
      <c r="C8" s="15" t="n">
        <v>240.5</v>
      </c>
      <c r="D8" s="15" t="n">
        <v>188.5</v>
      </c>
      <c r="E8" s="15" t="n">
        <v>156</v>
      </c>
      <c r="F8" s="15" t="n">
        <v>65</v>
      </c>
      <c r="G8" s="5" t="n">
        <v>37</v>
      </c>
      <c r="H8" s="5" t="n">
        <v>29</v>
      </c>
      <c r="I8" s="5" t="n">
        <v>24</v>
      </c>
      <c r="J8" s="5" t="n">
        <v>10</v>
      </c>
      <c r="K8" s="5" t="inlineStr">
        <is>
          <t>Modeled</t>
        </is>
      </c>
    </row>
    <row r="9">
      <c r="A9" s="4" t="n">
        <v>2029</v>
      </c>
      <c r="B9" s="12" t="n">
        <v>1200</v>
      </c>
      <c r="C9" s="13" t="n">
        <v>372</v>
      </c>
      <c r="D9" s="13" t="n">
        <v>384</v>
      </c>
      <c r="E9" s="13" t="n">
        <v>324</v>
      </c>
      <c r="F9" s="13" t="n">
        <v>120</v>
      </c>
      <c r="G9" s="4" t="n">
        <v>31</v>
      </c>
      <c r="H9" s="4" t="n">
        <v>32</v>
      </c>
      <c r="I9" s="4" t="n">
        <v>27</v>
      </c>
      <c r="J9" s="4" t="n">
        <v>10</v>
      </c>
      <c r="K9" s="4" t="inlineStr">
        <is>
          <t>IDC anchor (total); mix modeled</t>
        </is>
      </c>
    </row>
    <row r="10">
      <c r="A10" s="5" t="n">
        <v>2030</v>
      </c>
      <c r="B10" s="14" t="n">
        <v>1900</v>
      </c>
      <c r="C10" s="15" t="n">
        <v>475</v>
      </c>
      <c r="D10" s="15" t="n">
        <v>665</v>
      </c>
      <c r="E10" s="15" t="n">
        <v>570</v>
      </c>
      <c r="F10" s="15" t="n">
        <v>190</v>
      </c>
      <c r="G10" s="5" t="n">
        <v>25</v>
      </c>
      <c r="H10" s="5" t="n">
        <v>35</v>
      </c>
      <c r="I10" s="5" t="n">
        <v>30</v>
      </c>
      <c r="J10" s="5" t="n">
        <v>10</v>
      </c>
      <c r="K10" s="5" t="inlineStr">
        <is>
          <t>Modeled</t>
        </is>
      </c>
    </row>
    <row r="27">
      <c r="A27" s="11" t="inlineStr">
        <is>
          <t>Adoption context (disclosed forecasts &amp; surveys)</t>
        </is>
      </c>
    </row>
    <row r="28">
      <c r="A28" s="3" t="inlineStr">
        <is>
          <t>Metric</t>
        </is>
      </c>
      <c r="B28" s="3" t="inlineStr">
        <is>
          <t>Value / trajectory</t>
        </is>
      </c>
      <c r="C28" s="3" t="inlineStr">
        <is>
          <t>Source</t>
        </is>
      </c>
      <c r="D28" s="3" t="inlineStr">
        <is>
          <t>Status</t>
        </is>
      </c>
    </row>
    <row r="29">
      <c r="A29" s="4" t="inlineStr">
        <is>
          <t>Enterprise apps with task-specific agents (%)</t>
        </is>
      </c>
      <c r="B29" s="4" t="inlineStr">
        <is>
          <t>&lt;5% (2025) -&gt; 40% (end-2026)</t>
        </is>
      </c>
      <c r="C29" s="4" t="inlineStr">
        <is>
          <t>Gartner, Aug 2025</t>
        </is>
      </c>
      <c r="D29" s="4" t="inlineStr">
        <is>
          <t>Disclosed forecast</t>
        </is>
      </c>
    </row>
    <row r="30">
      <c r="A30" s="5" t="inlineStr">
        <is>
          <t>Enterprise apps enhanced by agentic automation (%)</t>
        </is>
      </c>
      <c r="B30" s="5" t="inlineStr">
        <is>
          <t>&gt;40% by 2027</t>
        </is>
      </c>
      <c r="C30" s="5" t="inlineStr">
        <is>
          <t>IDC FutureScape 2026</t>
        </is>
      </c>
      <c r="D30" s="5" t="inlineStr">
        <is>
          <t>Disclosed forecast</t>
        </is>
      </c>
    </row>
    <row r="31">
      <c r="A31" s="4" t="inlineStr">
        <is>
          <t>Agents per organization in production</t>
        </is>
      </c>
      <c r="B31" s="4" t="inlineStr">
        <is>
          <t>~40 -&gt; 50</t>
        </is>
      </c>
      <c r="C31" s="4" t="inlineStr">
        <is>
          <t>IDC, 2026</t>
        </is>
      </c>
      <c r="D31" s="4" t="inlineStr">
        <is>
          <t>Disclosed survey</t>
        </is>
      </c>
    </row>
    <row r="32">
      <c r="A32" s="5" t="inlineStr">
        <is>
          <t>G2000 agent use by 2027</t>
        </is>
      </c>
      <c r="B32" s="5" t="inlineStr">
        <is>
          <t>10x increase; token &amp; API call loads up ~1,000x</t>
        </is>
      </c>
      <c r="C32" s="5" t="inlineStr">
        <is>
          <t>IDC FutureScape 2026</t>
        </is>
      </c>
      <c r="D32" s="5" t="inlineStr">
        <is>
          <t>Disclosed forecast</t>
        </is>
      </c>
    </row>
    <row r="33">
      <c r="A33" s="4" t="inlineStr">
        <is>
          <t>Enterprises using gen-AI agents in production (late 2025)</t>
        </is>
      </c>
      <c r="B33" s="4" t="inlineStr">
        <is>
          <t>11% in production; 38% piloting</t>
        </is>
      </c>
      <c r="C33" s="4" t="inlineStr">
        <is>
          <t>Deloitte, late 2025</t>
        </is>
      </c>
      <c r="D33" s="4" t="inlineStr">
        <is>
          <t>Disclosed survey</t>
        </is>
      </c>
    </row>
    <row r="34">
      <c r="A34" s="5" t="inlineStr">
        <is>
          <t>Multi-agent implementations</t>
        </is>
      </c>
      <c r="B34" s="5" t="inlineStr">
        <is>
          <t>1/3 of agentic AI implementations combine multiple agents by 2027</t>
        </is>
      </c>
      <c r="C34" s="5" t="inlineStr">
        <is>
          <t>Gartner, Aug 2025</t>
        </is>
      </c>
      <c r="D34" s="5" t="inlineStr">
        <is>
          <t>Disclosed forecast</t>
        </is>
      </c>
    </row>
    <row r="35">
      <c r="A35" s="4" t="inlineStr">
        <is>
          <t>Agent delivery cost by 2029</t>
        </is>
      </c>
      <c r="B35" s="4" t="inlineStr">
        <is>
          <t>&gt;$68B worldwide</t>
        </is>
      </c>
      <c r="C35" s="4" t="inlineStr">
        <is>
          <t>IDC Agent Economics model, Dec 2025</t>
        </is>
      </c>
      <c r="D35" s="4" t="inlineStr">
        <is>
          <t>Disclosed forecast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20" customWidth="1" min="3" max="3"/>
    <col width="20" customWidth="1" min="4" max="4"/>
    <col width="42" customWidth="1" min="5" max="5"/>
  </cols>
  <sheetData>
    <row r="1">
      <c r="A1" s="1" t="inlineStr">
        <is>
          <t>Token Loads — Per-Task Benchmarks and Derived Annual Series</t>
        </is>
      </c>
    </row>
    <row r="2">
      <c r="A2" s="2" t="inlineStr">
        <is>
          <t>Part A: tokens consumed per task by workload archetype (published benchmarks). Part B: agentic-vs-chat multipliers. Part C: derived annual agentic token loads (IDC-calibrated).</t>
        </is>
      </c>
    </row>
    <row r="4">
      <c r="A4" s="11" t="inlineStr">
        <is>
          <t>A. Tokens per task by workload archetype</t>
        </is>
      </c>
    </row>
    <row r="5">
      <c r="A5" s="3" t="inlineStr">
        <is>
          <t>Workload archetype</t>
        </is>
      </c>
      <c r="B5" s="3" t="inlineStr">
        <is>
          <t>Typical turns</t>
        </is>
      </c>
      <c r="C5" s="3" t="inlineStr">
        <is>
          <t>Tokens per task (low)</t>
        </is>
      </c>
      <c r="D5" s="3" t="inlineStr">
        <is>
          <t>Tokens per task (high)</t>
        </is>
      </c>
      <c r="E5" s="3" t="inlineStr">
        <is>
          <t>Source</t>
        </is>
      </c>
    </row>
    <row r="6">
      <c r="A6" s="4" t="inlineStr">
        <is>
          <t>Inline code completion</t>
        </is>
      </c>
      <c r="B6" s="4" t="inlineStr">
        <is>
          <t>1</t>
        </is>
      </c>
      <c r="C6" s="12" t="n">
        <v>550</v>
      </c>
      <c r="D6" s="12" t="n">
        <v>2500</v>
      </c>
      <c r="E6" s="4" t="inlineStr">
        <is>
          <t>Tokenade benchmark compilation</t>
        </is>
      </c>
    </row>
    <row r="7">
      <c r="A7" s="5" t="inlineStr">
        <is>
          <t>Simple chat / RAG turn</t>
        </is>
      </c>
      <c r="B7" s="5" t="inlineStr">
        <is>
          <t>1</t>
        </is>
      </c>
      <c r="C7" s="14" t="n">
        <v>2000</v>
      </c>
      <c r="D7" s="14" t="n">
        <v>10000</v>
      </c>
      <c r="E7" s="5" t="inlineStr">
        <is>
          <t>Splunk tokenomics analysis</t>
        </is>
      </c>
    </row>
    <row r="8">
      <c r="A8" s="4" t="inlineStr">
        <is>
          <t>Voice / contact-center agent</t>
        </is>
      </c>
      <c r="B8" s="4" t="inlineStr">
        <is>
          <t>3-8</t>
        </is>
      </c>
      <c r="C8" s="12" t="n">
        <v>5000</v>
      </c>
      <c r="D8" s="12" t="n">
        <v>15000</v>
      </c>
      <c r="E8" s="4" t="inlineStr">
        <is>
          <t>Splunk tokenomics analysis</t>
        </is>
      </c>
    </row>
    <row r="9">
      <c r="A9" s="5" t="inlineStr">
        <is>
          <t>Tool-using ReAct agent</t>
        </is>
      </c>
      <c r="B9" s="5" t="inlineStr">
        <is>
          <t>10-30</t>
        </is>
      </c>
      <c r="C9" s="14" t="n">
        <v>20000</v>
      </c>
      <c r="D9" s="14" t="n">
        <v>60000</v>
      </c>
      <c r="E9" s="5" t="inlineStr">
        <is>
          <t>Splunk tokenomics analysis</t>
        </is>
      </c>
    </row>
    <row r="10">
      <c r="A10" s="4" t="inlineStr">
        <is>
          <t>Research agent (GAIA-class)</t>
        </is>
      </c>
      <c r="B10" s="4" t="inlineStr">
        <is>
          <t>10-30</t>
        </is>
      </c>
      <c r="C10" s="12" t="n">
        <v>30000</v>
      </c>
      <c r="D10" s="12" t="n">
        <v>100000</v>
      </c>
      <c r="E10" s="4" t="inlineStr">
        <is>
          <t>Splunk tokenomics analysis</t>
        </is>
      </c>
    </row>
    <row r="11">
      <c r="A11" s="5" t="inlineStr">
        <is>
          <t>Claude Code — SWE-bench task</t>
        </is>
      </c>
      <c r="B11" s="5" t="inlineStr">
        <is>
          <t>10-30</t>
        </is>
      </c>
      <c r="C11" s="14" t="n">
        <v>33000</v>
      </c>
      <c r="D11" s="14" t="n">
        <v>33000</v>
      </c>
      <c r="E11" s="5" t="inlineStr">
        <is>
          <t>Splunk tokenomics analysis</t>
        </is>
      </c>
    </row>
    <row r="12">
      <c r="A12" s="4" t="inlineStr">
        <is>
          <t>Cursor — SWE-bench task</t>
        </is>
      </c>
      <c r="B12" s="4" t="inlineStr">
        <is>
          <t>20-50</t>
        </is>
      </c>
      <c r="C12" s="12" t="n">
        <v>188000</v>
      </c>
      <c r="D12" s="12" t="n">
        <v>188000</v>
      </c>
      <c r="E12" s="4" t="inlineStr">
        <is>
          <t>Splunk tokenomics analysis</t>
        </is>
      </c>
    </row>
    <row r="13">
      <c r="A13" s="5" t="inlineStr">
        <is>
          <t>Agentic coding session (SWE-bench class, incl. retries)</t>
        </is>
      </c>
      <c r="B13" s="5" t="inlineStr">
        <is>
          <t>20-50+</t>
        </is>
      </c>
      <c r="C13" s="14" t="n">
        <v>1000000</v>
      </c>
      <c r="D13" s="14" t="n">
        <v>3500000</v>
      </c>
      <c r="E13" s="5" t="inlineStr">
        <is>
          <t>Zylos Research / Bai et al. (arXiv:2604.22750)</t>
        </is>
      </c>
    </row>
    <row r="16">
      <c r="A16" s="11" t="inlineStr">
        <is>
          <t>B. Agentic vs chat token multipliers (disclosed)</t>
        </is>
      </c>
    </row>
    <row r="17">
      <c r="A17" s="3" t="inlineStr">
        <is>
          <t>Metric</t>
        </is>
      </c>
      <c r="B17" s="3" t="inlineStr">
        <is>
          <t>Multiplier / value</t>
        </is>
      </c>
      <c r="C17" s="3" t="inlineStr">
        <is>
          <t>Source</t>
        </is>
      </c>
    </row>
    <row r="18">
      <c r="A18" s="4" t="inlineStr">
        <is>
          <t>Agentic workflow vs standard chatbot, per equivalent task</t>
        </is>
      </c>
      <c r="B18" s="4" t="inlineStr">
        <is>
          <t>5x - 30x</t>
        </is>
      </c>
      <c r="C18" s="4" t="inlineStr">
        <is>
          <t>Gartner (Mar 2026 analysis)</t>
        </is>
      </c>
    </row>
    <row r="19">
      <c r="A19" s="5" t="inlineStr">
        <is>
          <t>Agentic request vs human-driven request, per request</t>
        </is>
      </c>
      <c r="B19" s="5" t="inlineStr">
        <is>
          <t>~15x</t>
        </is>
      </c>
      <c r="C19" s="5" t="inlineStr">
        <is>
          <t>OpenRouter platform data (2026)</t>
        </is>
      </c>
    </row>
    <row r="20">
      <c r="A20" s="4" t="inlineStr">
        <is>
          <t>Agentic coding vs code chat, SWE-bench Verified</t>
        </is>
      </c>
      <c r="B20" s="4" t="inlineStr">
        <is>
          <t>~1,000x</t>
        </is>
      </c>
      <c r="C20" s="4" t="inlineStr">
        <is>
          <t>Bai et al., 8 frontier LLMs (2026)</t>
        </is>
      </c>
    </row>
    <row r="21">
      <c r="A21" s="5" t="inlineStr">
        <is>
          <t>Run-to-run variance on identical agentic task</t>
        </is>
      </c>
      <c r="B21" s="5" t="inlineStr">
        <is>
          <t>up to 30x</t>
        </is>
      </c>
      <c r="C21" s="5" t="inlineStr">
        <is>
          <t>Bai et al. (2026)</t>
        </is>
      </c>
    </row>
    <row r="22">
      <c r="A22" s="4" t="inlineStr">
        <is>
          <t>Model calls per agentic task</t>
        </is>
      </c>
      <c r="B22" s="4" t="inlineStr">
        <is>
          <t>10-20 calls</t>
        </is>
      </c>
      <c r="C22" s="4" t="inlineStr">
        <is>
          <t>Gartner via Cockroach Labs (2026)</t>
        </is>
      </c>
    </row>
    <row r="23">
      <c r="A23" s="5" t="inlineStr">
        <is>
          <t>Inference cost per agentic workflow, 2026-2028</t>
        </is>
      </c>
      <c r="B23" s="5" t="inlineStr">
        <is>
          <t>+5x (while token prices fall ~95% by 2030)</t>
        </is>
      </c>
      <c r="C23" s="5" t="inlineStr">
        <is>
          <t>Gartner 'inference paradox' (2025)</t>
        </is>
      </c>
    </row>
    <row r="24">
      <c r="A24" s="4" t="inlineStr">
        <is>
          <t>OpenAI top customer token consumption</t>
        </is>
      </c>
      <c r="B24" s="4" t="inlineStr">
        <is>
          <t>100K tokens/mo (2019) -&gt; ~100B tokens/mo (2026), ~1,000,000x</t>
        </is>
      </c>
      <c r="C24" s="4" t="inlineStr">
        <is>
          <t>Sam Altman via Cockroach Labs (2026)</t>
        </is>
      </c>
    </row>
    <row r="27">
      <c r="A27" s="11" t="inlineStr">
        <is>
          <t>C. Derived annual agentic token loads (modeled; calibrated to IDC 2029 anchors)</t>
        </is>
      </c>
    </row>
    <row r="28">
      <c r="A28" s="3" t="inlineStr">
        <is>
          <t>Year</t>
        </is>
      </c>
      <c r="B28" s="3" t="inlineStr">
        <is>
          <t>Tokens per action (K)</t>
        </is>
      </c>
      <c r="C28" s="3" t="inlineStr">
        <is>
          <t>Tokens per agent per day (M)</t>
        </is>
      </c>
      <c r="D28" s="3" t="inlineStr">
        <is>
          <t>Agentic tokens per day (T)</t>
        </is>
      </c>
      <c r="E28" s="3" t="inlineStr">
        <is>
          <t>Agentic tokens per month (T)</t>
        </is>
      </c>
      <c r="F28" s="3" t="inlineStr">
        <is>
          <t>Data status</t>
        </is>
      </c>
    </row>
    <row r="29">
      <c r="A29" s="4" t="n">
        <v>2025</v>
      </c>
      <c r="B29" s="8" t="n">
        <v>8</v>
      </c>
      <c r="C29" s="16" t="n">
        <v>0.4</v>
      </c>
      <c r="D29" s="13" t="n">
        <v>12</v>
      </c>
      <c r="E29" s="12" t="n">
        <v>365</v>
      </c>
      <c r="F29" s="4" t="inlineStr">
        <is>
          <t>Modeled</t>
        </is>
      </c>
    </row>
    <row r="30">
      <c r="A30" s="5" t="n">
        <v>2026</v>
      </c>
      <c r="B30" s="10" t="n">
        <v>10</v>
      </c>
      <c r="C30" s="17" t="n">
        <v>0.65</v>
      </c>
      <c r="D30" s="15" t="n">
        <v>61.8</v>
      </c>
      <c r="E30" s="14" t="n">
        <v>1877</v>
      </c>
      <c r="F30" s="5" t="inlineStr">
        <is>
          <t>Modeled</t>
        </is>
      </c>
    </row>
    <row r="31">
      <c r="A31" s="4" t="n">
        <v>2027</v>
      </c>
      <c r="B31" s="8" t="n">
        <v>12</v>
      </c>
      <c r="C31" s="16" t="n">
        <v>1.08</v>
      </c>
      <c r="D31" s="13" t="n">
        <v>302.4</v>
      </c>
      <c r="E31" s="12" t="n">
        <v>9193</v>
      </c>
      <c r="F31" s="4" t="inlineStr">
        <is>
          <t>Modeled</t>
        </is>
      </c>
    </row>
    <row r="32">
      <c r="A32" s="5" t="n">
        <v>2028</v>
      </c>
      <c r="B32" s="10" t="n">
        <v>15</v>
      </c>
      <c r="C32" s="17" t="n">
        <v>1.95</v>
      </c>
      <c r="D32" s="15" t="n">
        <v>1267.5</v>
      </c>
      <c r="E32" s="14" t="n">
        <v>38532</v>
      </c>
      <c r="F32" s="5" t="inlineStr">
        <is>
          <t>Modeled</t>
        </is>
      </c>
    </row>
    <row r="33">
      <c r="A33" s="4" t="n">
        <v>2029</v>
      </c>
      <c r="B33" s="8" t="n">
        <v>17</v>
      </c>
      <c r="C33" s="16" t="n">
        <v>3.08</v>
      </c>
      <c r="D33" s="13" t="n">
        <v>3692.4</v>
      </c>
      <c r="E33" s="12" t="n">
        <v>112249</v>
      </c>
      <c r="F33" s="4" t="inlineStr">
        <is>
          <t>IDC-calibrated</t>
        </is>
      </c>
    </row>
    <row r="34">
      <c r="A34" s="5" t="n">
        <v>2030</v>
      </c>
      <c r="B34" s="10" t="n">
        <v>19</v>
      </c>
      <c r="C34" s="17" t="n">
        <v>3.99</v>
      </c>
      <c r="D34" s="15" t="n">
        <v>7581</v>
      </c>
      <c r="E34" s="14" t="n">
        <v>230462</v>
      </c>
      <c r="F34" s="5" t="inlineStr">
        <is>
          <t>Modeled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38" customWidth="1" min="4" max="4"/>
  </cols>
  <sheetData>
    <row r="1">
      <c r="A1" s="1" t="inlineStr">
        <is>
          <t>Actions per Agent — Per-Task Benchmarks and Derived Annual Series</t>
        </is>
      </c>
    </row>
    <row r="2">
      <c r="A2" s="2" t="inlineStr">
        <is>
          <t>Part A: turns / model calls per task by archetype. Part B: derived annual series of total daily actions and actions per agent per day (IDC anchor: 217B daily actions across 1.2B agents by 2029).</t>
        </is>
      </c>
    </row>
    <row r="4">
      <c r="A4" s="11" t="inlineStr">
        <is>
          <t>A. Actions per task by workload archetype</t>
        </is>
      </c>
    </row>
    <row r="5">
      <c r="A5" s="3" t="inlineStr">
        <is>
          <t>Workload archetype</t>
        </is>
      </c>
      <c r="B5" s="3" t="inlineStr">
        <is>
          <t>Turns per task</t>
        </is>
      </c>
      <c r="C5" s="3" t="inlineStr">
        <is>
          <t>Model / tool calls per task</t>
        </is>
      </c>
      <c r="D5" s="3" t="inlineStr">
        <is>
          <t>Source</t>
        </is>
      </c>
    </row>
    <row r="6">
      <c r="A6" s="4" t="inlineStr">
        <is>
          <t>Simple chat / RAG turn</t>
        </is>
      </c>
      <c r="B6" s="4" t="inlineStr">
        <is>
          <t>1</t>
        </is>
      </c>
      <c r="C6" s="4" t="inlineStr">
        <is>
          <t>1-2</t>
        </is>
      </c>
      <c r="D6" s="4" t="inlineStr">
        <is>
          <t>Splunk tokenomics analysis</t>
        </is>
      </c>
    </row>
    <row r="7">
      <c r="A7" s="5" t="inlineStr">
        <is>
          <t>Voice / contact-center agent</t>
        </is>
      </c>
      <c r="B7" s="5" t="inlineStr">
        <is>
          <t>3-8</t>
        </is>
      </c>
      <c r="C7" s="5" t="inlineStr">
        <is>
          <t>3-10</t>
        </is>
      </c>
      <c r="D7" s="5" t="inlineStr">
        <is>
          <t>Splunk tokenomics analysis</t>
        </is>
      </c>
    </row>
    <row r="8">
      <c r="A8" s="4" t="inlineStr">
        <is>
          <t>Tool-using ReAct agent</t>
        </is>
      </c>
      <c r="B8" s="4" t="inlineStr">
        <is>
          <t>10-30</t>
        </is>
      </c>
      <c r="C8" s="4" t="inlineStr">
        <is>
          <t>10-20</t>
        </is>
      </c>
      <c r="D8" s="4" t="inlineStr">
        <is>
          <t>Splunk / Gartner via Cockroach Labs</t>
        </is>
      </c>
    </row>
    <row r="9">
      <c r="A9" s="5" t="inlineStr">
        <is>
          <t>Research agent (GAIA-class)</t>
        </is>
      </c>
      <c r="B9" s="5" t="inlineStr">
        <is>
          <t>10-30</t>
        </is>
      </c>
      <c r="C9" s="5" t="inlineStr">
        <is>
          <t>10-30</t>
        </is>
      </c>
      <c r="D9" s="5" t="inlineStr">
        <is>
          <t>Splunk tokenomics analysis</t>
        </is>
      </c>
    </row>
    <row r="10">
      <c r="A10" s="4" t="inlineStr">
        <is>
          <t>Coding agent (Cursor, SWE-bench)</t>
        </is>
      </c>
      <c r="B10" s="4" t="inlineStr">
        <is>
          <t>20-50</t>
        </is>
      </c>
      <c r="C10" s="4" t="inlineStr">
        <is>
          <t>15-50+</t>
        </is>
      </c>
      <c r="D10" s="4" t="inlineStr">
        <is>
          <t>Splunk tokenomics analysis</t>
        </is>
      </c>
    </row>
    <row r="11">
      <c r="A11" s="5" t="inlineStr">
        <is>
          <t>Typical enterprise agentic workflow</t>
        </is>
      </c>
      <c r="B11" s="5" t="inlineStr">
        <is>
          <t>n/a</t>
        </is>
      </c>
      <c r="C11" s="5" t="inlineStr">
        <is>
          <t>~15 model calls per user task</t>
        </is>
      </c>
      <c r="D11" s="5" t="inlineStr">
        <is>
          <t>Cockroach Labs (2026)</t>
        </is>
      </c>
    </row>
    <row r="14">
      <c r="A14" s="11" t="inlineStr">
        <is>
          <t>B. Derived annual series (modeled; 2029 calibrated to IDC)</t>
        </is>
      </c>
    </row>
    <row r="15">
      <c r="A15" s="3" t="inlineStr">
        <is>
          <t>Year</t>
        </is>
      </c>
      <c r="B15" s="3" t="inlineStr">
        <is>
          <t>Deployed agents (M)</t>
        </is>
      </c>
      <c r="C15" s="3" t="inlineStr">
        <is>
          <t>Actions per agent per day</t>
        </is>
      </c>
      <c r="D15" s="3" t="inlineStr">
        <is>
          <t>Total daily actions (B)</t>
        </is>
      </c>
      <c r="E15" s="3" t="inlineStr">
        <is>
          <t>Total annual actions (B)</t>
        </is>
      </c>
      <c r="F15" s="3" t="inlineStr">
        <is>
          <t>Data status</t>
        </is>
      </c>
    </row>
    <row r="16">
      <c r="A16" s="4" t="n">
        <v>2025</v>
      </c>
      <c r="B16" s="12" t="n">
        <v>30</v>
      </c>
      <c r="C16" s="12" t="n">
        <v>50</v>
      </c>
      <c r="D16" s="13" t="n">
        <v>1.5</v>
      </c>
      <c r="E16" s="12" t="n">
        <v>548</v>
      </c>
      <c r="F16" s="4" t="inlineStr">
        <is>
          <t>IDC anchor (agents)</t>
        </is>
      </c>
    </row>
    <row r="17">
      <c r="A17" s="5" t="n">
        <v>2026</v>
      </c>
      <c r="B17" s="14" t="n">
        <v>95</v>
      </c>
      <c r="C17" s="14" t="n">
        <v>65</v>
      </c>
      <c r="D17" s="15" t="n">
        <v>6.2</v>
      </c>
      <c r="E17" s="14" t="n">
        <v>2254</v>
      </c>
      <c r="F17" s="5" t="inlineStr">
        <is>
          <t>Modeled</t>
        </is>
      </c>
    </row>
    <row r="18">
      <c r="A18" s="4" t="n">
        <v>2027</v>
      </c>
      <c r="B18" s="12" t="n">
        <v>280</v>
      </c>
      <c r="C18" s="12" t="n">
        <v>90</v>
      </c>
      <c r="D18" s="13" t="n">
        <v>25.2</v>
      </c>
      <c r="E18" s="12" t="n">
        <v>9198</v>
      </c>
      <c r="F18" s="4" t="inlineStr">
        <is>
          <t>Modeled</t>
        </is>
      </c>
    </row>
    <row r="19">
      <c r="A19" s="5" t="n">
        <v>2028</v>
      </c>
      <c r="B19" s="14" t="n">
        <v>650</v>
      </c>
      <c r="C19" s="14" t="n">
        <v>130</v>
      </c>
      <c r="D19" s="15" t="n">
        <v>84.5</v>
      </c>
      <c r="E19" s="14" t="n">
        <v>30842</v>
      </c>
      <c r="F19" s="5" t="inlineStr">
        <is>
          <t>Modeled</t>
        </is>
      </c>
    </row>
    <row r="20">
      <c r="A20" s="4" t="n">
        <v>2029</v>
      </c>
      <c r="B20" s="12" t="n">
        <v>1200</v>
      </c>
      <c r="C20" s="12" t="n">
        <v>181</v>
      </c>
      <c r="D20" s="13" t="n">
        <v>217.2</v>
      </c>
      <c r="E20" s="12" t="n">
        <v>79278</v>
      </c>
      <c r="F20" s="4" t="inlineStr">
        <is>
          <t>IDC anchor</t>
        </is>
      </c>
    </row>
    <row r="21">
      <c r="A21" s="5" t="n">
        <v>2030</v>
      </c>
      <c r="B21" s="14" t="n">
        <v>1900</v>
      </c>
      <c r="C21" s="14" t="n">
        <v>210</v>
      </c>
      <c r="D21" s="15" t="n">
        <v>399</v>
      </c>
      <c r="E21" s="14" t="n">
        <v>145635</v>
      </c>
      <c r="F21" s="5" t="inlineStr">
        <is>
          <t>Modeled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5" customWidth="1" min="2" max="2"/>
    <col width="70" customWidth="1" min="3" max="3"/>
  </cols>
  <sheetData>
    <row r="1">
      <c r="A1" s="1" t="inlineStr">
        <is>
          <t>Sources &amp; Methodology Notes</t>
        </is>
      </c>
    </row>
    <row r="2">
      <c r="A2" s="2" t="inlineStr">
        <is>
          <t>All disclosed anchors used in this workbook, with URLs.</t>
        </is>
      </c>
    </row>
    <row r="4">
      <c r="A4" s="3" t="inlineStr">
        <is>
          <t>Figure(s) used</t>
        </is>
      </c>
      <c r="B4" s="3" t="inlineStr">
        <is>
          <t>Source</t>
        </is>
      </c>
      <c r="C4" s="3" t="inlineStr">
        <is>
          <t>URL</t>
        </is>
      </c>
    </row>
    <row r="5">
      <c r="A5" s="4" t="inlineStr">
        <is>
          <t>Google token volume (9.7T 5/2024; 480T 5/2025; 3.2Q 5/2026 per month; Gemini API 19B tok/min)</t>
        </is>
      </c>
      <c r="B5" s="4" t="inlineStr">
        <is>
          <t>Google I/O 2026 keynote (Sundar Pichai)</t>
        </is>
      </c>
      <c r="C5" s="4" t="inlineStr">
        <is>
          <t>https://blog.google/innovation-and-ai/sundar-pichai-io-2026/</t>
        </is>
      </c>
    </row>
    <row r="6">
      <c r="A6" s="5" t="inlineStr">
        <is>
          <t>Google 980T tokens/month (Jul 2025); 1.3Q tokens/month (Oct 2025)</t>
        </is>
      </c>
      <c r="B6" s="5" t="inlineStr">
        <is>
          <t>Alphabet Q2-2025 earnings call; Google blog Oct 2025 (via Robonomics token tracker)</t>
        </is>
      </c>
      <c r="C6" s="5" t="inlineStr">
        <is>
          <t>https://robonomics.substack.com/p/token-tracker-and-implications</t>
        </is>
      </c>
    </row>
    <row r="7">
      <c r="A7" s="4" t="inlineStr">
        <is>
          <t>Gemini API ~22B tokens/min; Gemini app 950M MAU (Q2 2026)</t>
        </is>
      </c>
      <c r="B7" s="4" t="inlineStr">
        <is>
          <t>Alphabet Q2-2026 earnings release (SEC exhibit)</t>
        </is>
      </c>
      <c r="C7" s="4" t="inlineStr">
        <is>
          <t>https://www.sec.gov/Archives/edgar/data/1652044/000165204426000066/googexhibit991q22026.htm</t>
        </is>
      </c>
    </row>
    <row r="8">
      <c r="A8" s="5" t="inlineStr">
        <is>
          <t>Microsoft Foundry &gt;100T tokens in FY25 Q3 (5x YoY); 50T in March 2025</t>
        </is>
      </c>
      <c r="B8" s="5" t="inlineStr">
        <is>
          <t>Microsoft FY25 Q3 earnings call (Apr 30, 2025)</t>
        </is>
      </c>
      <c r="C8" s="5" t="inlineStr">
        <is>
          <t>https://www.microsoft.com/en-us/investor/events/fy-2025/earnings-fy-2025-q3</t>
        </is>
      </c>
    </row>
    <row r="9">
      <c r="A9" s="4" t="inlineStr">
        <is>
          <t>OpenRouter 10T/yr (2024) -&gt; 100T/yr (mid-2025) -&gt; &gt;1T/day (late 2025); OpenAI API ~8.6T tokens/day (Oct 2025)</t>
        </is>
      </c>
      <c r="B9" s="4" t="inlineStr">
        <is>
          <t>a16z State of AI: 100T-token study with OpenRouter</t>
        </is>
      </c>
      <c r="C9" s="4" t="inlineStr">
        <is>
          <t>https://a16z.com/state-of-ai/</t>
        </is>
      </c>
    </row>
    <row r="10">
      <c r="A10" s="5" t="inlineStr">
        <is>
          <t>OpenRouter &gt;100T tokens/month and &gt;1Q/yr annualized (Aug 2026); 8M+ developers</t>
        </is>
      </c>
      <c r="B10" s="5" t="inlineStr">
        <is>
          <t>Contrary Research: OpenRouter business breakdown</t>
        </is>
      </c>
      <c r="C10" s="5" t="inlineStr">
        <is>
          <t>https://research.contrary.com/company/openrouter</t>
        </is>
      </c>
    </row>
    <row r="11">
      <c r="A11" s="4" t="inlineStr">
        <is>
          <t>Programming share of OpenRouter tokens: ~11% (early 2025) -&gt; &gt;50% (late 2025); reasoning-model share &gt;50%</t>
        </is>
      </c>
      <c r="B11" s="4" t="inlineStr">
        <is>
          <t>OpenRouter State of AI 2025 (arXiv:2601.10088)</t>
        </is>
      </c>
      <c r="C11" s="4" t="inlineStr">
        <is>
          <t>https://openrouter.ai/state-of-ai</t>
        </is>
      </c>
    </row>
    <row r="12">
      <c r="A12" s="5" t="inlineStr">
        <is>
          <t>Agentic tokens surpassed human-driven ~Feb 1, 2026; agentic requests ~15x tokens; 450T-token sample H1-2026</t>
        </is>
      </c>
      <c r="B12" s="5" t="inlineStr">
        <is>
          <t>OpenRouter blog: DeepSeek V4 agentic token share</t>
        </is>
      </c>
      <c r="C12" s="5" t="inlineStr">
        <is>
          <t>https://openrouter.ai/blog/insights/deepseek-v4-adoption/</t>
        </is>
      </c>
    </row>
    <row r="13">
      <c r="A13" s="4" t="inlineStr">
        <is>
          <t>IDC Agent Economics: &gt;1B (1.2B) agents by 2029, 40x vs 2025; 217B daily actions; &gt;$68B delivery cost; agent types (in-application, standalone, custom-configured, bespoke); ~40-&gt;50 agents per org</t>
        </is>
      </c>
      <c r="B13" s="4" t="inlineStr">
        <is>
          <t>IDC Agent Economics Adoption &amp; Delivery Model (Dec 2025); IDC Directions 2026</t>
        </is>
      </c>
      <c r="C13" s="4" t="inlineStr">
        <is>
          <t>https://www.idc.com/resource-center/blog/agent-adoption-the-it-industrys-next-great-inflection-point/</t>
        </is>
      </c>
    </row>
    <row r="14">
      <c r="A14" s="5" t="inlineStr">
        <is>
          <t>IDC FutureScape 2026: G2000 agent use +10x by 2027; token/API call loads +1,000x; agentic automation in &gt;40% of enterprise apps by 2027</t>
        </is>
      </c>
      <c r="B14" s="5" t="inlineStr">
        <is>
          <t>IDC FutureScape 2026 (via IDC blog)</t>
        </is>
      </c>
      <c r="C14" s="5" t="inlineStr">
        <is>
          <t>https://www.idc.com/resource-center/blog/agent-adoption-the-it-industrys-next-great-inflection-point/</t>
        </is>
      </c>
    </row>
    <row r="15">
      <c r="A15" s="4" t="inlineStr">
        <is>
          <t>Gartner: task-specific agents in 40% of enterprise apps by end-2026 (&lt;5% in 2025); 1/3 of implementations multi-agent by 2027; ~30% of enterprise app software revenue (&gt; $450B) agentic by 2029 (best case)</t>
        </is>
      </c>
      <c r="B15" s="4" t="inlineStr">
        <is>
          <t>Gartner press release (Aug 26, 2025)</t>
        </is>
      </c>
      <c r="C15" s="4" t="inlineStr">
        <is>
          <t>https://www.gartner.com/en/newsroom/press-releases/2025-08-26-gartner-predicts-40-percent-of-enterprise-apps-will-feature-task-specific-ai-agents-by-2026-up-from-less-than-5-percent-in-2025</t>
        </is>
      </c>
    </row>
    <row r="16">
      <c r="A16" s="5" t="inlineStr">
        <is>
          <t>Gartner inference paradox: agentic workflow inference costs +5x through 2028; token costs -95% by 2030; agents need 5-30x more tokens than chatbots; reasoning agents up to 150x cost per task</t>
        </is>
      </c>
      <c r="B16" s="5" t="inlineStr">
        <is>
          <t>Computerworld coverage of Gartner Tokenomics Model</t>
        </is>
      </c>
      <c r="C16" s="5" t="inlineStr">
        <is>
          <t>https://www.computerworld.com/article/4210786/ai-inference-is-getting-cheaper-but-your-agents-are-getting-more-expensive.html</t>
        </is>
      </c>
    </row>
    <row r="17">
      <c r="A17" s="4" t="inlineStr">
        <is>
          <t>Agentic workflows 5-30x tokens/task; 10-20 model calls/task; enterprise inference = 85% of AI budgets; OpenAI top customer 100K -&gt; ~100B tokens/month</t>
        </is>
      </c>
      <c r="B17" s="4" t="inlineStr">
        <is>
          <t>Cockroach Labs: Managing agentic AI costs at scale (2026)</t>
        </is>
      </c>
      <c r="C17" s="4" t="inlineStr">
        <is>
          <t>https://www.cockroachlabs.com/blog/agentic-ai-costs-at-scale/</t>
        </is>
      </c>
    </row>
    <row r="18">
      <c r="A18" s="5" t="inlineStr">
        <is>
          <t>Tokens-per-task by archetype (RAG 2-10K; voice 5-15K; ReAct 20-60K; GAIA 30-100K; Cursor SWE-bench ~188K)</t>
        </is>
      </c>
      <c r="B18" s="5" t="inlineStr">
        <is>
          <t>Splunk: AI tokenomics</t>
        </is>
      </c>
      <c r="C18" s="5" t="inlineStr">
        <is>
          <t>https://www.splunk.com/en_us/blog/artificial-intelligence/ai-tokenomics-govern-agentic-ai-costs-with-splunk.html</t>
        </is>
      </c>
    </row>
    <row r="19">
      <c r="A19" s="4" t="inlineStr">
        <is>
          <t>Agentic coding 1M-3.5M tokens/task; ~1,000x code chat; input tokens dominate; 30x run-to-run variance</t>
        </is>
      </c>
      <c r="B19" s="4" t="inlineStr">
        <is>
          <t>Zylos Research (2026); Tokenade; Bai et al. arXiv:2604.22750</t>
        </is>
      </c>
      <c r="C19" s="4" t="inlineStr">
        <is>
          <t>https://zylos.ai/research/2026-06-30-token-budget-management-cost-control-autonomous-agents/</t>
        </is>
      </c>
    </row>
    <row r="20">
      <c r="A20" s="5" t="inlineStr">
        <is>
          <t>Enterprise agent adoption: 11% production / 38% piloting (late 2025)</t>
        </is>
      </c>
      <c r="B20" s="5" t="inlineStr">
        <is>
          <t>Deloitte (via IDC Agentic AI at Scale, 2026)</t>
        </is>
      </c>
      <c r="C20" s="5" t="inlineStr">
        <is>
          <t>https://event.idc.com/wp-content/uploads/2026/06/Agentic-AI-at-Scale.pdf</t>
        </is>
      </c>
    </row>
    <row r="23">
      <c r="A23" s="18" t="inlineStr">
        <is>
          <t>Methodology notes:</t>
        </is>
      </c>
    </row>
    <row r="24">
      <c r="A24" s="18" t="inlineStr">
        <is>
          <t>1. Monthly platform series use geometric (constant-growth) interpolation between disclosed anchors. Extrapolations use disclosed growth rates: Google forward at the Gemini-API Q2-2026 pace (~7.6%/mo), Microsoft at its disclosed 5x YoY pace, OpenRouter at its Dec-2025 -&gt; Aug-2026 pace.</t>
        </is>
      </c>
    </row>
    <row r="25">
      <c r="A25" s="18" t="inlineStr">
        <is>
          <t>2. The agentic share (%) series is modeled from qualitative OpenRouter disclosures (negligible in 2024, ~50% crossing on Feb 1 2026, still rising mid-2026). It is applied to OpenRouter and, as a proxy, to the observable platform total.</t>
        </is>
      </c>
    </row>
    <row r="26">
      <c r="A26" s="18" t="inlineStr">
        <is>
          <t>3. The annual agent model is calibrated to IDC anchors: ~30M agents (2025), 1.2B agents and 217B daily actions (2029). Tokens per action (~17K in 2029) is set so agent token load reaches ~3.7Q tokens/day in 2029, consistent with IDC's Agent Economics headline. Intermediate years are smooth growth paths.</t>
        </is>
      </c>
    </row>
    <row r="27">
      <c r="A27" s="18" t="inlineStr">
        <is>
          <t>4. Agent-type mix reflects IDC's qualitative guidance (in-application agents dominate 2025; custom-configured and standalone agents dominate by 2030); exact splits are modeled.</t>
        </is>
      </c>
    </row>
    <row r="28">
      <c r="A28" s="18" t="inlineStr">
        <is>
          <t>5. Provider scopes differ and are NOT additive to a clean industry total: Google counts all surfaces including consumer products; Microsoft counts Foundry API only; OpenRouter counts routed traffic; IDC counts enterprise agents. Treat cross-series comparisons as directional.</t>
        </is>
      </c>
    </row>
    <row r="29">
      <c r="A29" s="18" t="inlineStr">
        <is>
          <t>6. All 2026+ values dated after Sep 2026 and all 2027-2030 values are forecasts/models, not reported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2026-09-15T22:07:18Z</dcterms:created>
  <dcterms:modified xsi:type="dcterms:W3CDTF">2026-09-15T22:07:18Z</dcterms:modified>
</cp:coreProperties>
</file>