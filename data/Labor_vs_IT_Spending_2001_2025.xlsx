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x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sz val="14"/>
    </font>
    <font>
      <i val="1"/>
      <color rgb="00595959"/>
      <sz val="10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3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US Compensation of Employees vs Worldwide IT Spending ($B, 2001-2025)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w="2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'Data'!$A$2:$A$26</f>
            </numRef>
          </cat>
          <val>
            <numRef>
              <f>'Data'!$B$2:$B$26</f>
            </numRef>
          </val>
          <smooth val="0"/>
        </ser>
        <ser>
          <idx val="1"/>
          <order val="1"/>
          <tx>
            <strRef>
              <f>'Data'!C1</f>
            </strRef>
          </tx>
          <spPr>
            <a:ln w="2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'Data'!$A$2:$A$26</f>
            </numRef>
          </cat>
          <val>
            <numRef>
              <f>'Data'!$C$2:$C$26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USD,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8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6" customWidth="1" min="4" max="4"/>
    <col width="18" customWidth="1" min="5" max="5"/>
    <col width="18" customWidth="1" min="6" max="6"/>
  </cols>
  <sheetData>
    <row r="1" ht="32" customHeight="1">
      <c r="A1" s="1" t="inlineStr">
        <is>
          <t>Year</t>
        </is>
      </c>
      <c r="B1" s="1" t="inlineStr">
        <is>
          <t>US Compensation of Employees ($B, BEA)</t>
        </is>
      </c>
      <c r="C1" s="1" t="inlineStr">
        <is>
          <t>Worldwide IT Spending ($B, Gartner)</t>
        </is>
      </c>
      <c r="D1" s="1" t="inlineStr">
        <is>
          <t>Labor / IT Ratio</t>
        </is>
      </c>
      <c r="E1" s="1" t="inlineStr">
        <is>
          <t>YoY Labor Growth</t>
        </is>
      </c>
      <c r="F1" s="1" t="inlineStr">
        <is>
          <t>YoY IT Growth</t>
        </is>
      </c>
    </row>
    <row r="2">
      <c r="A2" s="2" t="n">
        <v>2001</v>
      </c>
      <c r="B2" s="3" t="n">
        <v>6038.349</v>
      </c>
      <c r="C2" s="3" t="n">
        <v>2226.7</v>
      </c>
      <c r="D2" s="4">
        <f>B2/C2</f>
        <v/>
      </c>
    </row>
    <row r="3">
      <c r="A3" s="2" t="n">
        <v>2002</v>
      </c>
      <c r="B3" s="3" t="n">
        <v>6135.115</v>
      </c>
      <c r="C3" s="3" t="n">
        <v>2302.1</v>
      </c>
      <c r="D3" s="4">
        <f>B3/C3</f>
        <v/>
      </c>
      <c r="E3" s="5">
        <f>B3/B2-1</f>
        <v/>
      </c>
      <c r="F3" s="5">
        <f>C3/C2-1</f>
        <v/>
      </c>
    </row>
    <row r="4">
      <c r="A4" s="2" t="n">
        <v>2003</v>
      </c>
      <c r="B4" s="3" t="n">
        <v>6353.605</v>
      </c>
      <c r="C4" s="3" t="n">
        <v>2463.1</v>
      </c>
      <c r="D4" s="4">
        <f>B4/C4</f>
        <v/>
      </c>
      <c r="E4" s="5">
        <f>B4/B3-1</f>
        <v/>
      </c>
      <c r="F4" s="5">
        <f>C4/C3-1</f>
        <v/>
      </c>
    </row>
    <row r="5">
      <c r="A5" s="2" t="n">
        <v>2004</v>
      </c>
      <c r="B5" s="3" t="n">
        <v>6719.488</v>
      </c>
      <c r="C5" s="3" t="n">
        <v>2462</v>
      </c>
      <c r="D5" s="4">
        <f>B5/C5</f>
        <v/>
      </c>
      <c r="E5" s="5">
        <f>B5/B4-1</f>
        <v/>
      </c>
      <c r="F5" s="5">
        <f>C5/C4-1</f>
        <v/>
      </c>
    </row>
    <row r="6">
      <c r="A6" s="2" t="n">
        <v>2005</v>
      </c>
      <c r="B6" s="3" t="n">
        <v>7066.107</v>
      </c>
      <c r="C6" s="3" t="n">
        <v>2600</v>
      </c>
      <c r="D6" s="4">
        <f>B6/C6</f>
        <v/>
      </c>
      <c r="E6" s="5">
        <f>B6/B5-1</f>
        <v/>
      </c>
      <c r="F6" s="5">
        <f>C6/C5-1</f>
        <v/>
      </c>
    </row>
    <row r="7">
      <c r="A7" s="2" t="n">
        <v>2006</v>
      </c>
      <c r="B7" s="3" t="n">
        <v>7479.677</v>
      </c>
      <c r="C7" s="3" t="n">
        <v>2917</v>
      </c>
      <c r="D7" s="4">
        <f>B7/C7</f>
        <v/>
      </c>
      <c r="E7" s="5">
        <f>B7/B6-1</f>
        <v/>
      </c>
      <c r="F7" s="5">
        <f>C7/C6-1</f>
        <v/>
      </c>
    </row>
    <row r="8">
      <c r="A8" s="2" t="n">
        <v>2007</v>
      </c>
      <c r="B8" s="3" t="n">
        <v>7878.475</v>
      </c>
      <c r="C8" s="3" t="n">
        <v>3151</v>
      </c>
      <c r="D8" s="4">
        <f>B8/C8</f>
        <v/>
      </c>
      <c r="E8" s="5">
        <f>B8/B7-1</f>
        <v/>
      </c>
      <c r="F8" s="5">
        <f>C8/C7-1</f>
        <v/>
      </c>
    </row>
    <row r="9">
      <c r="A9" s="2" t="n">
        <v>2008</v>
      </c>
      <c r="B9" s="3" t="n">
        <v>8056.826</v>
      </c>
      <c r="C9" s="3" t="n">
        <v>3406</v>
      </c>
      <c r="D9" s="4">
        <f>B9/C9</f>
        <v/>
      </c>
      <c r="E9" s="5">
        <f>B9/B8-1</f>
        <v/>
      </c>
      <c r="F9" s="5">
        <f>C9/C8-1</f>
        <v/>
      </c>
    </row>
    <row r="10">
      <c r="A10" s="2" t="n">
        <v>2009</v>
      </c>
      <c r="B10" s="3" t="n">
        <v>7759.019</v>
      </c>
      <c r="C10" s="3" t="n">
        <v>3227</v>
      </c>
      <c r="D10" s="4">
        <f>B10/C10</f>
        <v/>
      </c>
      <c r="E10" s="5">
        <f>B10/B9-1</f>
        <v/>
      </c>
      <c r="F10" s="5">
        <f>C10/C9-1</f>
        <v/>
      </c>
    </row>
    <row r="11">
      <c r="A11" s="2" t="n">
        <v>2010</v>
      </c>
      <c r="B11" s="3" t="n">
        <v>7925.369</v>
      </c>
      <c r="C11" s="3" t="n">
        <v>3401.6</v>
      </c>
      <c r="D11" s="4">
        <f>B11/C11</f>
        <v/>
      </c>
      <c r="E11" s="5">
        <f>B11/B10-1</f>
        <v/>
      </c>
      <c r="F11" s="5">
        <f>C11/C10-1</f>
        <v/>
      </c>
    </row>
    <row r="12">
      <c r="A12" s="2" t="n">
        <v>2011</v>
      </c>
      <c r="B12" s="3" t="n">
        <v>8226.174999999999</v>
      </c>
      <c r="C12" s="3" t="n">
        <v>3575.8</v>
      </c>
      <c r="D12" s="4">
        <f>B12/C12</f>
        <v/>
      </c>
      <c r="E12" s="5">
        <f>B12/B11-1</f>
        <v/>
      </c>
      <c r="F12" s="5">
        <f>C12/C11-1</f>
        <v/>
      </c>
    </row>
    <row r="13">
      <c r="A13" s="2" t="n">
        <v>2012</v>
      </c>
      <c r="B13" s="3" t="n">
        <v>8567.362999999999</v>
      </c>
      <c r="C13" s="3" t="n">
        <v>3604</v>
      </c>
      <c r="D13" s="4">
        <f>B13/C13</f>
        <v/>
      </c>
      <c r="E13" s="5">
        <f>B13/B12-1</f>
        <v/>
      </c>
      <c r="F13" s="5">
        <f>C13/C12-1</f>
        <v/>
      </c>
    </row>
    <row r="14">
      <c r="A14" s="2" t="n">
        <v>2013</v>
      </c>
      <c r="B14" s="3" t="n">
        <v>8835.039000000001</v>
      </c>
      <c r="C14" s="3" t="n">
        <v>3737</v>
      </c>
      <c r="D14" s="4">
        <f>B14/C14</f>
        <v/>
      </c>
      <c r="E14" s="5">
        <f>B14/B13-1</f>
        <v/>
      </c>
      <c r="F14" s="5">
        <f>C14/C13-1</f>
        <v/>
      </c>
    </row>
    <row r="15">
      <c r="A15" s="2" t="n">
        <v>2014</v>
      </c>
      <c r="B15" s="3" t="n">
        <v>9250.208000000001</v>
      </c>
      <c r="C15" s="3" t="n">
        <v>3710</v>
      </c>
      <c r="D15" s="4">
        <f>B15/C15</f>
        <v/>
      </c>
      <c r="E15" s="5">
        <f>B15/B14-1</f>
        <v/>
      </c>
      <c r="F15" s="5">
        <f>C15/C14-1</f>
        <v/>
      </c>
    </row>
    <row r="16">
      <c r="A16" s="2" t="n">
        <v>2015</v>
      </c>
      <c r="B16" s="3" t="n">
        <v>9699.419</v>
      </c>
      <c r="C16" s="3" t="n">
        <v>3517</v>
      </c>
      <c r="D16" s="4">
        <f>B16/C16</f>
        <v/>
      </c>
      <c r="E16" s="5">
        <f>B16/B15-1</f>
        <v/>
      </c>
      <c r="F16" s="5">
        <f>C16/C15-1</f>
        <v/>
      </c>
    </row>
    <row r="17">
      <c r="A17" s="2" t="n">
        <v>2016</v>
      </c>
      <c r="B17" s="3" t="n">
        <v>9966.108</v>
      </c>
      <c r="C17" s="3" t="n">
        <v>3424</v>
      </c>
      <c r="D17" s="4">
        <f>B17/C17</f>
        <v/>
      </c>
      <c r="E17" s="5">
        <f>B17/B16-1</f>
        <v/>
      </c>
      <c r="F17" s="5">
        <f>C17/C16-1</f>
        <v/>
      </c>
    </row>
    <row r="18">
      <c r="A18" s="2" t="n">
        <v>2017</v>
      </c>
      <c r="B18" s="3" t="n">
        <v>10424.372</v>
      </c>
      <c r="C18" s="3" t="n">
        <v>3539</v>
      </c>
      <c r="D18" s="4">
        <f>B18/C18</f>
        <v/>
      </c>
      <c r="E18" s="5">
        <f>B18/B17-1</f>
        <v/>
      </c>
      <c r="F18" s="5">
        <f>C18/C17-1</f>
        <v/>
      </c>
    </row>
    <row r="19">
      <c r="A19" s="2" t="n">
        <v>2018</v>
      </c>
      <c r="B19" s="3" t="n">
        <v>10957.405</v>
      </c>
      <c r="C19" s="3" t="n">
        <v>3699</v>
      </c>
      <c r="D19" s="4">
        <f>B19/C19</f>
        <v/>
      </c>
      <c r="E19" s="5">
        <f>B19/B18-1</f>
        <v/>
      </c>
      <c r="F19" s="5">
        <f>C19/C18-1</f>
        <v/>
      </c>
    </row>
    <row r="20">
      <c r="A20" s="2" t="n">
        <v>2019</v>
      </c>
      <c r="B20" s="3" t="n">
        <v>11446.611</v>
      </c>
      <c r="C20" s="3" t="n">
        <v>3737</v>
      </c>
      <c r="D20" s="4">
        <f>B20/C20</f>
        <v/>
      </c>
      <c r="E20" s="5">
        <f>B20/B19-1</f>
        <v/>
      </c>
      <c r="F20" s="5">
        <f>C20/C19-1</f>
        <v/>
      </c>
    </row>
    <row r="21">
      <c r="A21" s="2" t="n">
        <v>2020</v>
      </c>
      <c r="B21" s="3" t="n">
        <v>11598.142</v>
      </c>
      <c r="C21" s="3" t="n">
        <v>3608.8</v>
      </c>
      <c r="D21" s="4">
        <f>B21/C21</f>
        <v/>
      </c>
      <c r="E21" s="5">
        <f>B21/B20-1</f>
        <v/>
      </c>
      <c r="F21" s="5">
        <f>C21/C20-1</f>
        <v/>
      </c>
    </row>
    <row r="22">
      <c r="A22" s="2" t="n">
        <v>2021</v>
      </c>
      <c r="B22" s="3" t="n">
        <v>12558.372</v>
      </c>
      <c r="C22" s="3" t="n">
        <v>4259.8</v>
      </c>
      <c r="D22" s="4">
        <f>B22/C22</f>
        <v/>
      </c>
      <c r="E22" s="5">
        <f>B22/B21-1</f>
        <v/>
      </c>
      <c r="F22" s="5">
        <f>C22/C21-1</f>
        <v/>
      </c>
    </row>
    <row r="23">
      <c r="A23" s="2" t="n">
        <v>2022</v>
      </c>
      <c r="B23" s="3" t="n">
        <v>13443.379</v>
      </c>
      <c r="C23" s="3" t="n">
        <v>4431.6</v>
      </c>
      <c r="D23" s="4">
        <f>B23/C23</f>
        <v/>
      </c>
      <c r="E23" s="5">
        <f>B23/B22-1</f>
        <v/>
      </c>
      <c r="F23" s="5">
        <f>C23/C22-1</f>
        <v/>
      </c>
    </row>
    <row r="24">
      <c r="A24" s="2" t="n">
        <v>2023</v>
      </c>
      <c r="B24" s="3" t="n">
        <v>14207.393</v>
      </c>
      <c r="C24" s="3" t="n">
        <v>4678.8</v>
      </c>
      <c r="D24" s="4">
        <f>B24/C24</f>
        <v/>
      </c>
      <c r="E24" s="5">
        <f>B24/B23-1</f>
        <v/>
      </c>
      <c r="F24" s="5">
        <f>C24/C23-1</f>
        <v/>
      </c>
    </row>
    <row r="25">
      <c r="A25" s="2" t="n">
        <v>2024</v>
      </c>
      <c r="B25" s="3" t="n">
        <v>15027.061</v>
      </c>
      <c r="C25" s="3" t="n">
        <v>5114.8</v>
      </c>
      <c r="D25" s="4">
        <f>B25/C25</f>
        <v/>
      </c>
      <c r="E25" s="5">
        <f>B25/B24-1</f>
        <v/>
      </c>
      <c r="F25" s="5">
        <f>C25/C24-1</f>
        <v/>
      </c>
    </row>
    <row r="26">
      <c r="A26" s="2" t="n">
        <v>2025</v>
      </c>
      <c r="B26" s="3" t="n">
        <v>15745.135</v>
      </c>
      <c r="C26" s="3" t="n">
        <v>5540.4</v>
      </c>
      <c r="D26" s="4">
        <f>B26/C26</f>
        <v/>
      </c>
      <c r="E26" s="5">
        <f>B26/B25-1</f>
        <v/>
      </c>
      <c r="F26" s="5">
        <f>C26/C25-1</f>
        <v/>
      </c>
    </row>
    <row r="29">
      <c r="A29" s="6" t="inlineStr">
        <is>
          <t>Summary (2001-2025)</t>
        </is>
      </c>
    </row>
    <row r="30">
      <c r="A30" s="7" t="inlineStr">
        <is>
          <t>Total Labor (sum, $B)</t>
        </is>
      </c>
      <c r="B30" s="8">
        <f>SUM(B2:B26)</f>
        <v/>
      </c>
    </row>
    <row r="31">
      <c r="A31" s="7" t="inlineStr">
        <is>
          <t>Total IT (sum, $B)</t>
        </is>
      </c>
      <c r="B31" s="8">
        <f>SUM(C2:C26)</f>
        <v/>
      </c>
    </row>
    <row r="32">
      <c r="A32" s="7" t="inlineStr">
        <is>
          <t>Avg Labor / IT ratio</t>
        </is>
      </c>
      <c r="B32" s="9">
        <f>AVERAGE(D2:D26)</f>
        <v/>
      </c>
    </row>
    <row r="33">
      <c r="A33" s="7" t="inlineStr">
        <is>
          <t>Labor CAGR</t>
        </is>
      </c>
      <c r="B33" s="10">
        <f>(B26/B2)^(1/24)-1</f>
        <v/>
      </c>
    </row>
    <row r="34">
      <c r="A34" s="7" t="inlineStr">
        <is>
          <t>IT CAGR</t>
        </is>
      </c>
      <c r="B34" s="10">
        <f>(C26/C2)^(1/24)-1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US Labor Compensation vs Worldwide IT Spending, 2001-2025</t>
        </is>
      </c>
    </row>
    <row r="2">
      <c r="A2" s="12" t="inlineStr">
        <is>
          <t>Annual values in $ Billions. See Data and Sources sheets for detail.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Sources &amp; Methodology</t>
        </is>
      </c>
    </row>
    <row r="2">
      <c r="A2" t="inlineStr"/>
    </row>
    <row r="3">
      <c r="A3" s="7" t="inlineStr">
        <is>
          <t>Series 1 - US Compensation of Employees ($B, annual)</t>
        </is>
      </c>
    </row>
    <row r="4">
      <c r="A4" t="inlineStr">
        <is>
          <t xml:space="preserve">  Series ID: COE (Bureau of Economic Analysis, NIPA Table 1.10).</t>
        </is>
      </c>
    </row>
    <row r="5">
      <c r="A5" t="inlineStr">
        <is>
          <t xml:space="preserve">  Reported as Billions of dollars, Seasonally Adjusted Annual Rate; annual values are average of monthly observations.</t>
        </is>
      </c>
    </row>
    <row r="6">
      <c r="A6" t="inlineStr">
        <is>
          <t xml:space="preserve">  Retrieved from FRED, Federal Reserve Bank of St. Louis: https://fred.stlouisfed.org/series/COE</t>
        </is>
      </c>
    </row>
    <row r="7">
      <c r="A7" t="inlineStr">
        <is>
          <t xml:space="preserve">  Definition: Total compensation paid to employees in the United States, including wages,</t>
        </is>
      </c>
    </row>
    <row r="8">
      <c r="A8" t="inlineStr">
        <is>
          <t xml:space="preserve">  salaries, employer contributions for pension/insurance funds, and government social insurance.</t>
        </is>
      </c>
    </row>
    <row r="9">
      <c r="A9" t="inlineStr"/>
    </row>
    <row r="10">
      <c r="A10" s="7" t="inlineStr">
        <is>
          <t>Series 2 - Worldwide IT Spending ($B, annual)</t>
        </is>
      </c>
    </row>
    <row r="11">
      <c r="A11" t="inlineStr">
        <is>
          <t xml:space="preserve">  Source: Gartner Worldwide IT Spending Forecast (multiple press releases).</t>
        </is>
      </c>
    </row>
    <row r="12">
      <c r="A12" t="inlineStr">
        <is>
          <t xml:space="preserve">  Includes data center systems, enterprise software, devices, IT services, and communications services.</t>
        </is>
      </c>
    </row>
    <row r="13">
      <c r="A13" t="inlineStr">
        <is>
          <t xml:space="preserve">  Most recent revision used where available; pre-2010 figures are from contemporaneous Gartner Dataquest releases.</t>
        </is>
      </c>
    </row>
    <row r="14">
      <c r="A14" t="inlineStr"/>
    </row>
    <row r="15">
      <c r="A15" s="7" t="inlineStr">
        <is>
          <t>Key Gartner press releases used:</t>
        </is>
      </c>
    </row>
    <row r="16">
      <c r="A16" t="inlineStr">
        <is>
          <t xml:space="preserve">  - 2001-2003: Gartner Dataquest (Sep/Oct 2002) - reported via eMarketer; total $2.23T (2001), $2.30T (2002), $2.46T (2003 fcst).</t>
        </is>
      </c>
    </row>
    <row r="17">
      <c r="A17" t="inlineStr">
        <is>
          <t xml:space="preserve">  - 2005:    Gartner (Feb 2006) - $2.6T worldwide.</t>
        </is>
      </c>
    </row>
    <row r="18">
      <c r="A18" t="inlineStr">
        <is>
          <t xml:space="preserve">  - 2007:    Gartner (Oct 2007) - $3.15T worldwide, implies ~$2.92T in 2006.</t>
        </is>
      </c>
    </row>
    <row r="19">
      <c r="A19" t="inlineStr">
        <is>
          <t xml:space="preserve">  - 2008:    Gartner (Aug 2008) - $3.41T (forecast), used as reported.</t>
        </is>
      </c>
    </row>
    <row r="20">
      <c r="A20" t="inlineStr">
        <is>
          <t xml:space="preserve">  - 2009-2011: Gartner (Jan 2011) - 2009=$3.23T, 2010=$3.40T, 2011=$3.58T.</t>
        </is>
      </c>
    </row>
    <row r="21">
      <c r="A21" t="inlineStr">
        <is>
          <t xml:space="preserve">  - 2012:    Gartner (Jul 2012) - $3.60T.</t>
        </is>
      </c>
    </row>
    <row r="22">
      <c r="A22" t="inlineStr">
        <is>
          <t xml:space="preserve">  - 2013:    Gartner (later revisions) - $3.74T.</t>
        </is>
      </c>
    </row>
    <row r="23">
      <c r="A23" t="inlineStr">
        <is>
          <t xml:space="preserve">  - 2014:    Gartner (Jul 2014) - $3.71T.</t>
        </is>
      </c>
    </row>
    <row r="24">
      <c r="A24" t="inlineStr">
        <is>
          <t xml:space="preserve">  - 2015-2016: Gartner (Jan/Apr 2016) - 2015=$3.52T, 2016=$3.42T.</t>
        </is>
      </c>
    </row>
    <row r="25">
      <c r="A25" t="inlineStr">
        <is>
          <t xml:space="preserve">  - 2017-2018: Gartner (Apr 2018) - 2017=$3.54T, 2018=$3.70T.</t>
        </is>
      </c>
    </row>
    <row r="26">
      <c r="A26" t="inlineStr">
        <is>
          <t xml:space="preserve">  - 2019-2020: Gartner (Oct 2020) - 2019=$3.74T, 2020=$3.61T.</t>
        </is>
      </c>
    </row>
    <row r="27">
      <c r="A27" t="inlineStr">
        <is>
          <t xml:space="preserve">  - 2021-2023: Gartner (Apr 2022, Jan 2024) - 2021=$4.26T, 2022=$4.43T, 2023=$4.68T.</t>
        </is>
      </c>
    </row>
    <row r="28">
      <c r="A28" t="inlineStr">
        <is>
          <t xml:space="preserve">  - 2024:    Gartner (Jan 2025) - $5.11T.</t>
        </is>
      </c>
    </row>
    <row r="29">
      <c r="A29" t="inlineStr">
        <is>
          <t xml:space="preserve">  - 2025:    Gartner (Oct 2025) - $5.54T.</t>
        </is>
      </c>
    </row>
    <row r="30">
      <c r="A30" t="inlineStr"/>
    </row>
    <row r="31">
      <c r="A31" s="7" t="inlineStr">
        <is>
          <t>Useful URLs:</t>
        </is>
      </c>
    </row>
    <row r="32">
      <c r="A32" s="13" t="inlineStr">
        <is>
          <t xml:space="preserve">  https://www.gartner.com/en/newsroom/press-releases/2020-10-20-gartner-says-worldwide-it-spending-to-grow-4-percent-in-2021</t>
        </is>
      </c>
    </row>
    <row r="33">
      <c r="A33" s="13" t="inlineStr">
        <is>
          <t xml:space="preserve">  https://www.gartner.com/en/newsroom/press-releases/2022-04-06-gartner-forecasts-worldwide-it-spending-to-reach-4-point-four-trillion-in-2022</t>
        </is>
      </c>
    </row>
    <row r="34">
      <c r="A34" s="13" t="inlineStr">
        <is>
          <t xml:space="preserve">  https://www.gartner.com/en/newsroom/press-releases/01-17-2024-gartner-forecasts-worldwide-it-spending-to-grow-six-point-eight-percent-in-2024</t>
        </is>
      </c>
    </row>
    <row r="35">
      <c r="A35" s="13" t="inlineStr">
        <is>
          <t xml:space="preserve">  https://www.gartner.com/en/newsroom/press-releases/2025-01-21-gartner-forecasts-worldwide-it-spending-to-grow-9-point-8-percent-in-2025</t>
        </is>
      </c>
    </row>
    <row r="36">
      <c r="A36" s="13" t="inlineStr">
        <is>
          <t xml:space="preserve">  https://www.gartner.com/en/newsroom/press-releases/2025-10-22-gartner-forecasts-worldwide-it-spending-to-grow-9-point-8-percent-in-2026-exceeding-6-trillion-dollars-for-the-first-time</t>
        </is>
      </c>
    </row>
    <row r="37">
      <c r="A37" t="inlineStr"/>
    </row>
    <row r="38">
      <c r="A38" s="7" t="inlineStr">
        <is>
          <t>Caveats:</t>
        </is>
      </c>
    </row>
    <row r="39">
      <c r="A39" t="inlineStr">
        <is>
          <t xml:space="preserve">  - The labor series (BEA Compensation of Employees) covers the United States only,</t>
        </is>
      </c>
    </row>
    <row r="40">
      <c r="A40" t="inlineStr">
        <is>
          <t xml:space="preserve">    while the IT spending series (Gartner) is global. There is no single authoritative</t>
        </is>
      </c>
    </row>
    <row r="41">
      <c r="A41" t="inlineStr">
        <is>
          <t xml:space="preserve">    worldwide labor compensation series with the same methodology back to 2001, so a</t>
        </is>
      </c>
    </row>
    <row r="42">
      <c r="A42" t="inlineStr">
        <is>
          <t xml:space="preserve">    US/global comparison is the closest readily available aggregate. The relative growth</t>
        </is>
      </c>
    </row>
    <row r="43">
      <c r="A43" t="inlineStr">
        <is>
          <t xml:space="preserve">    rates and the ratio between the series should be interpreted with this in mind.</t>
        </is>
      </c>
    </row>
    <row r="44">
      <c r="A44" t="inlineStr">
        <is>
          <t xml:space="preserve">  - Gartner periodically revises historical figures (FX effects, segment redefinitions).</t>
        </is>
      </c>
    </row>
    <row r="45">
      <c r="A45" t="inlineStr">
        <is>
          <t xml:space="preserve">    The values above use the most recently published vintage for each year where available.</t>
        </is>
      </c>
    </row>
    <row r="46">
      <c r="A46" t="inlineStr">
        <is>
          <t xml:space="preserve">  - All figures are in nominal (current) US dollars.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2026-04-29T00:30:55Z</dcterms:created>
  <dcterms:modified xsi:type="dcterms:W3CDTF">2026-04-29T00:30:55Z</dcterms:modified>
</cp:coreProperties>
</file>