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gregated Summary" sheetId="1" state="visible" r:id="rId1"/>
    <sheet name="GitHub Commits Detail" sheetId="2" state="visible" r:id="rId2"/>
    <sheet name="SDK Downloads Detail" sheetId="3" state="visible" r:id="rId3"/>
    <sheet name="Server Package Downloads" sheetId="4" state="visible" r:id="rId4"/>
    <sheet name="Token Usage &amp; Compute Split" sheetId="5" state="visible" r:id="rId5"/>
    <sheet name="Correlation Analysis" sheetId="6" state="visible" r:id="rId6"/>
    <sheet name="GitHub Stars" sheetId="7" state="visible" r:id="rId7"/>
    <sheet name="MCP Server Count" sheetId="8" state="visible" r:id="rId8"/>
    <sheet name="Sources &amp; Methodology" sheetId="9" state="visible" r:id="rId9"/>
    <sheet name="LLM Revenue Run-Rate" sheetId="10" state="visible" r:id="rId10"/>
    <sheet name="LLM GitHub Commits" sheetId="11" state="visible" r:id="rId11"/>
    <sheet name="Token Usage by Provider" sheetId="12" state="visible" r:id="rId12"/>
    <sheet name="GitHub Platform Activit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0"/>
    <numFmt numFmtId="167" formatCode="0.000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E75B6"/>
      <sz val="12"/>
    </font>
    <font>
      <b val="1"/>
      <color rgb="001F4E79"/>
      <sz val="14"/>
    </font>
    <font>
      <b val="1"/>
      <sz val="10"/>
    </font>
    <font>
      <b val="1"/>
      <color rgb="00006100"/>
    </font>
    <font>
      <color rgb="009C0006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right style="thin">
        <color rgb="00CCCCCC"/>
      </right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7" fontId="0" fillId="3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7" fontId="5" fillId="4" borderId="0" applyAlignment="1" pivotButton="0" quotePrefix="0" xfId="0">
      <alignment horizontal="center"/>
    </xf>
    <xf numFmtId="167" fontId="0" fillId="5" borderId="0" applyAlignment="1" pivotButton="0" quotePrefix="0" xfId="0">
      <alignment horizontal="center"/>
    </xf>
    <xf numFmtId="167" fontId="6" fillId="6" borderId="0" applyAlignment="1" pivotButton="0" quotePrefix="0" xfId="0">
      <alignment horizontal="center"/>
    </xf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MCP SDK Downloads vs Industry Token Volume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'Aggregated Summary'!E1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'Aggregated Summary'!$A$2:$A$18</f>
            </numRef>
          </cat>
          <val>
            <numRef>
              <f>'Aggregated Summary'!$E$2:$E$18</f>
            </numRef>
          </val>
        </ser>
        <ser>
          <idx val="1"/>
          <order val="1"/>
          <tx>
            <strRef>
              <f>'Aggregated Summary'!H1</f>
            </strRef>
          </tx>
          <spPr>
            <a:ln w="28000"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'Aggregated Summary'!$H$2:$H$18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SDK Downloads (quarterly)</a:t>
                </a:r>
              </a:p>
            </rich>
          </tx>
        </title>
        <numFmt formatCode="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vs Training Share of AI Compute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'Aggregated Summary'!I1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'Aggregated Summary'!$A$2:$A$18</f>
            </numRef>
          </cat>
          <val>
            <numRef>
              <f>'Aggregated Summary'!$I$2:$I$18</f>
            </numRef>
          </val>
        </ser>
        <ser>
          <idx val="1"/>
          <order val="1"/>
          <tx>
            <strRef>
              <f>'Aggregated Summary'!J1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'Aggregated Summary'!$A$2:$A$18</f>
            </numRef>
          </cat>
          <val>
            <numRef>
              <f>'Aggregated Summary'!$J$2:$J$18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Total AI Compute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Hyperscaler Quarterly Capex ($B)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'Aggregated Summary'!K1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'Aggregated Summary'!$A$2:$A$18</f>
            </numRef>
          </cat>
          <val>
            <numRef>
              <f>'Aggregated Summary'!$K$2:$K$18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Capex ($B)</a:t>
                </a:r>
              </a:p>
            </rich>
          </tx>
        </title>
        <numFmt formatCode="$#,##0&quot;B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Provider Revenue Run-Rate ($M ARR)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'LLM Revenue Run-Rate'!B1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Run-Rate'!$B$2:$B$18</f>
            </numRef>
          </val>
        </ser>
        <ser>
          <idx val="1"/>
          <order val="1"/>
          <tx>
            <strRef>
              <f>'LLM Revenue Run-Rate'!C1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Run-Rate'!$C$2:$C$18</f>
            </numRef>
          </val>
        </ser>
        <ser>
          <idx val="2"/>
          <order val="2"/>
          <tx>
            <strRef>
              <f>'LLM Revenue Run-Rate'!D1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Run-Rate'!$D$2:$D$18</f>
            </numRef>
          </val>
        </ser>
        <ser>
          <idx val="3"/>
          <order val="3"/>
          <tx>
            <strRef>
              <f>'LLM Revenue Run-Rate'!E1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Run-Rate'!$E$2:$E$18</f>
            </numRef>
          </val>
        </ser>
        <ser>
          <idx val="4"/>
          <order val="4"/>
          <tx>
            <strRef>
              <f>'LLM Revenue Run-Rate'!F1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Run-Rate'!$F$2:$F$18</f>
            </numRef>
          </val>
        </ser>
        <ser>
          <idx val="5"/>
          <order val="5"/>
          <tx>
            <strRef>
              <f>'LLM Revenue Run-Rate'!G1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Run-Rate'!$G$2:$G$18</f>
            </numRef>
          </val>
        </ser>
        <ser>
          <idx val="6"/>
          <order val="6"/>
          <tx>
            <strRef>
              <f>'LLM Revenue Run-Rate'!H1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Run-Rate'!$H$2:$H$18</f>
            </numRef>
          </val>
        </ser>
        <ser>
          <idx val="7"/>
          <order val="7"/>
          <tx>
            <strRef>
              <f>'LLM Revenue Run-Rate'!I1</f>
            </strRef>
          </tx>
          <spPr>
            <a:solidFill>
              <a:srgbClr val="9B59B6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Run-Rate'!$I$2:$I$18</f>
            </numRef>
          </val>
        </ser>
        <ser>
          <idx val="8"/>
          <order val="8"/>
          <tx>
            <strRef>
              <f>'LLM Revenue Run-Rate'!J1</f>
            </strRef>
          </tx>
          <spPr>
            <a:solidFill>
              <a:srgbClr val="2ECC71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Run-Rate'!$J$2:$J$18</f>
            </numRef>
          </val>
        </ser>
        <ser>
          <idx val="9"/>
          <order val="9"/>
          <tx>
            <strRef>
              <f>'LLM Revenue Run-Rate'!K1</f>
            </strRef>
          </tx>
          <spPr>
            <a:solidFill>
              <a:srgbClr val="E74C3C"/>
            </a:solidFill>
            <a:ln>
              <a:prstDash val="solid"/>
            </a:ln>
          </spPr>
          <cat>
            <numRef>
              <f>'LLM Revenue Run-Rate'!$A$2:$A$18</f>
            </numRef>
          </cat>
          <val>
            <numRef>
              <f>'LLM Revenue Run-Rate'!$K$2:$K$18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ARR ($M)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Provider GitHub Commits (Quarterly)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'LLM GitHub Commits'!B1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Commits'!$B$2:$B$18</f>
            </numRef>
          </val>
        </ser>
        <ser>
          <idx val="1"/>
          <order val="1"/>
          <tx>
            <strRef>
              <f>'LLM GitHub Commits'!C1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Commits'!$C$2:$C$18</f>
            </numRef>
          </val>
        </ser>
        <ser>
          <idx val="2"/>
          <order val="2"/>
          <tx>
            <strRef>
              <f>'LLM GitHub Commits'!D1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Commits'!$D$2:$D$18</f>
            </numRef>
          </val>
        </ser>
        <ser>
          <idx val="3"/>
          <order val="3"/>
          <tx>
            <strRef>
              <f>'LLM GitHub Commits'!E1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Commits'!$E$2:$E$18</f>
            </numRef>
          </val>
        </ser>
        <ser>
          <idx val="4"/>
          <order val="4"/>
          <tx>
            <strRef>
              <f>'LLM GitHub Commits'!F1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Commits'!$F$2:$F$18</f>
            </numRef>
          </val>
        </ser>
        <ser>
          <idx val="5"/>
          <order val="5"/>
          <tx>
            <strRef>
              <f>'LLM GitHub Commits'!G1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Commits'!$G$2:$G$18</f>
            </numRef>
          </val>
        </ser>
        <ser>
          <idx val="6"/>
          <order val="6"/>
          <tx>
            <strRef>
              <f>'LLM GitHub Commits'!H1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Commits'!$H$2:$H$18</f>
            </numRef>
          </val>
        </ser>
        <ser>
          <idx val="7"/>
          <order val="7"/>
          <tx>
            <strRef>
              <f>'LLM GitHub Commits'!I1</f>
            </strRef>
          </tx>
          <spPr>
            <a:solidFill>
              <a:srgbClr val="9B59B6"/>
            </a:solidFill>
            <a:ln>
              <a:prstDash val="solid"/>
            </a:ln>
          </spPr>
          <cat>
            <numRef>
              <f>'LLM GitHub Commits'!$A$2:$A$18</f>
            </numRef>
          </cat>
          <val>
            <numRef>
              <f>'LLM GitHub Commits'!$I$2:$I$18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Commits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Token Volume by Provider (Trillions)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'Token Usage by Provider'!B1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Provider'!$B$2:$B$18</f>
            </numRef>
          </val>
        </ser>
        <ser>
          <idx val="1"/>
          <order val="1"/>
          <tx>
            <strRef>
              <f>'Token Usage by Provider'!C1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Provider'!$C$2:$C$18</f>
            </numRef>
          </val>
        </ser>
        <ser>
          <idx val="2"/>
          <order val="2"/>
          <tx>
            <strRef>
              <f>'Token Usage by Provider'!D1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Provider'!$D$2:$D$18</f>
            </numRef>
          </val>
        </ser>
        <ser>
          <idx val="3"/>
          <order val="3"/>
          <tx>
            <strRef>
              <f>'Token Usage by Provider'!E1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Provider'!$E$2:$E$18</f>
            </numRef>
          </val>
        </ser>
        <ser>
          <idx val="4"/>
          <order val="4"/>
          <tx>
            <strRef>
              <f>'Token Usage by Provider'!F1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Provider'!$F$2:$F$18</f>
            </numRef>
          </val>
        </ser>
        <ser>
          <idx val="5"/>
          <order val="5"/>
          <tx>
            <strRef>
              <f>'Token Usage by Provider'!G1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Provider'!$G$2:$G$18</f>
            </numRef>
          </val>
        </ser>
        <ser>
          <idx val="6"/>
          <order val="6"/>
          <tx>
            <strRef>
              <f>'Token Usage by Provider'!H1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'Token Usage by Provider'!$A$2:$A$18</f>
            </numRef>
          </cat>
          <val>
            <numRef>
              <f>'Token Usage by Provider'!$H$2:$H$18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Tokens/Day (T)</a:t>
                </a:r>
              </a:p>
            </rich>
          </tx>
        </title>
        <numFmt formatCode="#,##0.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GitHub Global Git Pushes (Quarterly)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'GitHub Platform Activity'!B1</f>
            </strRef>
          </tx>
          <spPr>
            <a:solidFill>
              <a:srgbClr val="333333"/>
            </a:solidFill>
            <a:ln>
              <a:prstDash val="solid"/>
            </a:ln>
          </spPr>
          <cat>
            <numRef>
              <f>'GitHub Platform Activity'!$A$2:$A$18</f>
            </numRef>
          </cat>
          <val>
            <numRef>
              <f>'GitHub Platform Activity'!$B$2:$B$18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Git Pushes</a:t>
                </a:r>
              </a:p>
            </rich>
          </tx>
        </title>
        <numFmt formatCode="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36</row>
      <rowOff>0</rowOff>
    </from>
    <ext cx="1008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10080000" cy="54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2" customWidth="1" min="12" max="12"/>
  </cols>
  <sheetData>
    <row r="1">
      <c r="A1" s="1" t="inlineStr">
        <is>
          <t>Quarter</t>
        </is>
      </c>
      <c r="B1" s="1" t="inlineStr">
        <is>
          <t>MCP GitHub
Commits</t>
        </is>
      </c>
      <c r="C1" s="1" t="inlineStr">
        <is>
          <t>MCP npm SDK
Downloads</t>
        </is>
      </c>
      <c r="D1" s="1" t="inlineStr">
        <is>
          <t>MCP PyPI
Downloads</t>
        </is>
      </c>
      <c r="E1" s="1" t="inlineStr">
        <is>
          <t>MCP Total SDK
Downloads</t>
        </is>
      </c>
      <c r="F1" s="1" t="inlineStr">
        <is>
          <t>MCP Server
Count</t>
        </is>
      </c>
      <c r="G1" s="1" t="inlineStr">
        <is>
          <t>MCP GitHub
Stars</t>
        </is>
      </c>
      <c r="H1" s="1" t="inlineStr">
        <is>
          <t>Industry Daily
Tokens (T)</t>
        </is>
      </c>
      <c r="I1" s="1" t="inlineStr">
        <is>
          <t>Inference %
of Compute</t>
        </is>
      </c>
      <c r="J1" s="1" t="inlineStr">
        <is>
          <t>Training %
of Compute</t>
        </is>
      </c>
      <c r="K1" s="1" t="inlineStr">
        <is>
          <t>Hyperscaler
Capex ($B)</t>
        </is>
      </c>
      <c r="L1" s="1" t="inlineStr">
        <is>
          <t>Key Events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0.01</v>
      </c>
      <c r="I2" s="3" t="n">
        <v>0.2</v>
      </c>
      <c r="J2" s="3" t="n">
        <v>0.8</v>
      </c>
      <c r="K2" s="3" t="n">
        <v>23</v>
      </c>
      <c r="L2" s="4" t="inlineStr"/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0.01</v>
      </c>
      <c r="I3" s="3" t="n">
        <v>0.2</v>
      </c>
      <c r="J3" s="3" t="n">
        <v>0.8</v>
      </c>
      <c r="K3" s="3" t="n">
        <v>24</v>
      </c>
      <c r="L3" s="4" t="inlineStr"/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0.02</v>
      </c>
      <c r="I4" s="3" t="n">
        <v>0.2</v>
      </c>
      <c r="J4" s="3" t="n">
        <v>0.8</v>
      </c>
      <c r="K4" s="3" t="n">
        <v>25</v>
      </c>
      <c r="L4" s="4" t="inlineStr"/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0.03</v>
      </c>
      <c r="I5" s="3" t="n">
        <v>0.22</v>
      </c>
      <c r="J5" s="3" t="n">
        <v>0.78</v>
      </c>
      <c r="K5" s="3" t="n">
        <v>28</v>
      </c>
      <c r="L5" s="4" t="inlineStr"/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0.05</v>
      </c>
      <c r="I6" s="3" t="n">
        <v>0.25</v>
      </c>
      <c r="J6" s="3" t="n">
        <v>0.75</v>
      </c>
      <c r="K6" s="3" t="n">
        <v>28</v>
      </c>
      <c r="L6" s="4" t="inlineStr"/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0.1</v>
      </c>
      <c r="I7" s="3" t="n">
        <v>0.28</v>
      </c>
      <c r="J7" s="3" t="n">
        <v>0.72</v>
      </c>
      <c r="K7" s="3" t="n">
        <v>29</v>
      </c>
      <c r="L7" s="4" t="inlineStr"/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0.15</v>
      </c>
      <c r="I8" s="3" t="n">
        <v>0.32</v>
      </c>
      <c r="J8" s="3" t="n">
        <v>0.6799999999999999</v>
      </c>
      <c r="K8" s="3" t="n">
        <v>30</v>
      </c>
      <c r="L8" s="4" t="inlineStr"/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0.25</v>
      </c>
      <c r="I9" s="3" t="n">
        <v>0.38</v>
      </c>
      <c r="J9" s="3" t="n">
        <v>0.62</v>
      </c>
      <c r="K9" s="3" t="n">
        <v>34</v>
      </c>
      <c r="L9" s="4" t="inlineStr"/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0.4</v>
      </c>
      <c r="I10" s="3" t="n">
        <v>0.42</v>
      </c>
      <c r="J10" s="3" t="n">
        <v>0.5800000000000001</v>
      </c>
      <c r="K10" s="3" t="n">
        <v>38</v>
      </c>
      <c r="L10" s="4" t="inlineStr"/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0.6</v>
      </c>
      <c r="I11" s="3" t="n">
        <v>0.47</v>
      </c>
      <c r="J11" s="3" t="n">
        <v>0.53</v>
      </c>
      <c r="K11" s="3" t="n">
        <v>48</v>
      </c>
      <c r="L11" s="4" t="inlineStr"/>
    </row>
    <row r="12">
      <c r="A12" s="2" t="inlineStr">
        <is>
          <t>2024-Q3</t>
        </is>
      </c>
      <c r="B12" s="3" t="n">
        <v>14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0.9</v>
      </c>
      <c r="I12" s="3" t="n">
        <v>0.5</v>
      </c>
      <c r="J12" s="3" t="n">
        <v>0.5</v>
      </c>
      <c r="K12" s="3" t="n">
        <v>55</v>
      </c>
      <c r="L12" s="4" t="inlineStr">
        <is>
          <t>MCP repos created internally</t>
        </is>
      </c>
    </row>
    <row r="13">
      <c r="A13" s="2" t="inlineStr">
        <is>
          <t>2024-Q4</t>
        </is>
      </c>
      <c r="B13" s="3" t="n">
        <v>1910</v>
      </c>
      <c r="C13" s="3" t="n">
        <v>116673</v>
      </c>
      <c r="D13" s="3" t="n">
        <v>0</v>
      </c>
      <c r="E13" s="3" t="n">
        <v>116673</v>
      </c>
      <c r="F13" s="3" t="n">
        <v>50</v>
      </c>
      <c r="G13" s="3" t="n">
        <v>12000</v>
      </c>
      <c r="H13" s="3" t="n">
        <v>1.5</v>
      </c>
      <c r="I13" s="3" t="n">
        <v>0.55</v>
      </c>
      <c r="J13" s="3" t="n">
        <v>0.45</v>
      </c>
      <c r="K13" s="3" t="n">
        <v>66</v>
      </c>
      <c r="L13" s="4" t="inlineStr">
        <is>
          <t>MCP launched Nov 25; ChatGPT at ~100M MAU</t>
        </is>
      </c>
    </row>
    <row r="14">
      <c r="A14" s="2" t="inlineStr">
        <is>
          <t>2025-Q1</t>
        </is>
      </c>
      <c r="B14" s="3" t="n">
        <v>2308</v>
      </c>
      <c r="C14" s="3" t="n">
        <v>2401992</v>
      </c>
      <c r="D14" s="3" t="n">
        <v>0</v>
      </c>
      <c r="E14" s="3" t="n">
        <v>2401992</v>
      </c>
      <c r="F14" s="3" t="n">
        <v>1200</v>
      </c>
      <c r="G14" s="3" t="n">
        <v>42500</v>
      </c>
      <c r="H14" s="3" t="n">
        <v>2.5</v>
      </c>
      <c r="I14" s="3" t="n">
        <v>0.6</v>
      </c>
      <c r="J14" s="3" t="n">
        <v>0.4</v>
      </c>
      <c r="K14" s="3" t="n">
        <v>85</v>
      </c>
      <c r="L14" s="4" t="inlineStr">
        <is>
          <t>Claude Desktop MCP; OpenAI announces MCP (Mar)</t>
        </is>
      </c>
    </row>
    <row r="15">
      <c r="A15" s="2" t="inlineStr">
        <is>
          <t>2025-Q2</t>
        </is>
      </c>
      <c r="B15" s="3" t="n">
        <v>3517</v>
      </c>
      <c r="C15" s="3" t="n">
        <v>41983661</v>
      </c>
      <c r="D15" s="3" t="n">
        <v>0</v>
      </c>
      <c r="E15" s="3" t="n">
        <v>41983661</v>
      </c>
      <c r="F15" s="3" t="n">
        <v>5867</v>
      </c>
      <c r="G15" s="3" t="n">
        <v>82500</v>
      </c>
      <c r="H15" s="3" t="n">
        <v>4</v>
      </c>
      <c r="I15" s="3" t="n">
        <v>0.63</v>
      </c>
      <c r="J15" s="3" t="n">
        <v>0.37</v>
      </c>
      <c r="K15" s="3" t="n">
        <v>100</v>
      </c>
      <c r="L15" s="4" t="inlineStr">
        <is>
          <t>OpenAI full MCP; GitHub MCP server; peak commits</t>
        </is>
      </c>
    </row>
    <row r="16">
      <c r="A16" s="2" t="inlineStr">
        <is>
          <t>2025-Q3</t>
        </is>
      </c>
      <c r="B16" s="3" t="n">
        <v>2073</v>
      </c>
      <c r="C16" s="3" t="n">
        <v>77522633</v>
      </c>
      <c r="D16" s="3" t="n">
        <v>0</v>
      </c>
      <c r="E16" s="3" t="n">
        <v>77522633</v>
      </c>
      <c r="F16" s="3" t="n">
        <v>6550</v>
      </c>
      <c r="G16" s="3" t="n">
        <v>118000</v>
      </c>
      <c r="H16" s="3" t="n">
        <v>6</v>
      </c>
      <c r="I16" s="3" t="n">
        <v>0.65</v>
      </c>
      <c r="J16" s="3" t="n">
        <v>0.35</v>
      </c>
      <c r="K16" s="3" t="n">
        <v>118</v>
      </c>
      <c r="L16" s="4" t="inlineStr">
        <is>
          <t>Microsoft Copilot MCP; enterprise adoption</t>
        </is>
      </c>
    </row>
    <row r="17">
      <c r="A17" s="2" t="inlineStr">
        <is>
          <t>2025-Q4</t>
        </is>
      </c>
      <c r="B17" s="3" t="n">
        <v>1885</v>
      </c>
      <c r="C17" s="3" t="n">
        <v>105330727</v>
      </c>
      <c r="D17" s="3" t="n">
        <v>164823166</v>
      </c>
      <c r="E17" s="3" t="n">
        <v>270153893</v>
      </c>
      <c r="F17" s="3" t="n">
        <v>7500</v>
      </c>
      <c r="G17" s="3" t="n">
        <v>144700</v>
      </c>
      <c r="H17" s="3" t="n">
        <v>10</v>
      </c>
      <c r="I17" s="3" t="n">
        <v>0.68</v>
      </c>
      <c r="J17" s="3" t="n">
        <v>0.32</v>
      </c>
      <c r="K17" s="3" t="n">
        <v>140</v>
      </c>
      <c r="L17" s="4" t="inlineStr">
        <is>
          <t>AWS+Google add MCP; donated to Linux Foundation</t>
        </is>
      </c>
    </row>
    <row r="18">
      <c r="A18" s="2" t="inlineStr">
        <is>
          <t>2026-Q1</t>
        </is>
      </c>
      <c r="B18" s="3" t="n">
        <v>1537</v>
      </c>
      <c r="C18" s="3" t="n">
        <v>263818485</v>
      </c>
      <c r="D18" s="3" t="n">
        <v>325372781</v>
      </c>
      <c r="E18" s="3" t="n">
        <v>589191266</v>
      </c>
      <c r="F18" s="3" t="n">
        <v>10500</v>
      </c>
      <c r="G18" s="3" t="n">
        <v>169528</v>
      </c>
      <c r="H18" s="3" t="n">
        <v>18</v>
      </c>
      <c r="I18" s="3" t="n">
        <v>0.75</v>
      </c>
      <c r="J18" s="3" t="n">
        <v>0.25</v>
      </c>
      <c r="K18" s="3" t="n">
        <v>165</v>
      </c>
      <c r="L18" s="4" t="inlineStr">
        <is>
          <t>97M monthly SDK downloads; 10K+ servers; MCP v2.0 alpha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Quarter</t>
        </is>
      </c>
      <c r="B1" s="1" t="inlineStr">
        <is>
          <t>servers</t>
        </is>
      </c>
      <c r="C1" s="1" t="inlineStr">
        <is>
          <t>python-sdk</t>
        </is>
      </c>
      <c r="D1" s="1" t="inlineStr">
        <is>
          <t>typescript-sdk</t>
        </is>
      </c>
      <c r="E1" s="1" t="inlineStr">
        <is>
          <t>specification</t>
        </is>
      </c>
      <c r="F1" s="1" t="inlineStr">
        <is>
          <t>inspector</t>
        </is>
      </c>
      <c r="G1" s="1" t="inlineStr">
        <is>
          <t>registry</t>
        </is>
      </c>
      <c r="H1" s="1" t="inlineStr">
        <is>
          <t>github-mcp-server</t>
        </is>
      </c>
      <c r="I1" s="1" t="inlineStr">
        <is>
          <t>Total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</row>
    <row r="12">
      <c r="A12" s="2" t="inlineStr">
        <is>
          <t>2024-Q3</t>
        </is>
      </c>
      <c r="B12" s="3" t="n">
        <v>0</v>
      </c>
      <c r="C12" s="3" t="n">
        <v>3</v>
      </c>
      <c r="D12" s="3" t="n">
        <v>7</v>
      </c>
      <c r="E12" s="3" t="n">
        <v>4</v>
      </c>
      <c r="F12" s="3" t="n">
        <v>0</v>
      </c>
      <c r="G12" s="3" t="n">
        <v>0</v>
      </c>
      <c r="H12" s="3" t="n">
        <v>0</v>
      </c>
      <c r="I12" s="3" t="n">
        <v>14</v>
      </c>
    </row>
    <row r="13">
      <c r="A13" s="2" t="inlineStr">
        <is>
          <t>2024-Q4</t>
        </is>
      </c>
      <c r="B13" s="3" t="n">
        <v>716</v>
      </c>
      <c r="C13" s="3" t="n">
        <v>202</v>
      </c>
      <c r="D13" s="3" t="n">
        <v>221</v>
      </c>
      <c r="E13" s="3" t="n">
        <v>486</v>
      </c>
      <c r="F13" s="3" t="n">
        <v>285</v>
      </c>
      <c r="G13" s="3" t="n">
        <v>0</v>
      </c>
      <c r="H13" s="3" t="n">
        <v>0</v>
      </c>
      <c r="I13" s="3" t="n">
        <v>1910</v>
      </c>
    </row>
    <row r="14">
      <c r="A14" s="2" t="inlineStr">
        <is>
          <t>2025-Q1</t>
        </is>
      </c>
      <c r="B14" s="3" t="n">
        <v>1203</v>
      </c>
      <c r="C14" s="3" t="n">
        <v>180</v>
      </c>
      <c r="D14" s="3" t="n">
        <v>235</v>
      </c>
      <c r="E14" s="3" t="n">
        <v>285</v>
      </c>
      <c r="F14" s="3" t="n">
        <v>339</v>
      </c>
      <c r="G14" s="3" t="n">
        <v>1</v>
      </c>
      <c r="H14" s="3" t="n">
        <v>65</v>
      </c>
      <c r="I14" s="3" t="n">
        <v>2308</v>
      </c>
    </row>
    <row r="15">
      <c r="A15" s="2" t="inlineStr">
        <is>
          <t>2025-Q2</t>
        </is>
      </c>
      <c r="B15" s="3" t="n">
        <v>1053</v>
      </c>
      <c r="C15" s="3" t="n">
        <v>124</v>
      </c>
      <c r="D15" s="3" t="n">
        <v>603</v>
      </c>
      <c r="E15" s="3" t="n">
        <v>820</v>
      </c>
      <c r="F15" s="3" t="n">
        <v>603</v>
      </c>
      <c r="G15" s="3" t="n">
        <v>104</v>
      </c>
      <c r="H15" s="3" t="n">
        <v>210</v>
      </c>
      <c r="I15" s="3" t="n">
        <v>3517</v>
      </c>
    </row>
    <row r="16">
      <c r="A16" s="2" t="inlineStr">
        <is>
          <t>2025-Q3</t>
        </is>
      </c>
      <c r="B16" s="3" t="n">
        <v>571</v>
      </c>
      <c r="C16" s="3" t="n">
        <v>100</v>
      </c>
      <c r="D16" s="3" t="n">
        <v>104</v>
      </c>
      <c r="E16" s="3" t="n">
        <v>510</v>
      </c>
      <c r="F16" s="3" t="n">
        <v>470</v>
      </c>
      <c r="G16" s="3" t="n">
        <v>214</v>
      </c>
      <c r="H16" s="3" t="n">
        <v>104</v>
      </c>
      <c r="I16" s="3" t="n">
        <v>2073</v>
      </c>
    </row>
    <row r="17">
      <c r="A17" s="2" t="inlineStr">
        <is>
          <t>2025-Q4</t>
        </is>
      </c>
      <c r="B17" s="3" t="n">
        <v>365</v>
      </c>
      <c r="C17" s="3" t="n">
        <v>93</v>
      </c>
      <c r="D17" s="3" t="n">
        <v>128</v>
      </c>
      <c r="E17" s="3" t="n">
        <v>813</v>
      </c>
      <c r="F17" s="3" t="n">
        <v>166</v>
      </c>
      <c r="G17" s="3" t="n">
        <v>151</v>
      </c>
      <c r="H17" s="3" t="n">
        <v>169</v>
      </c>
      <c r="I17" s="3" t="n">
        <v>1885</v>
      </c>
    </row>
    <row r="18">
      <c r="A18" s="2" t="inlineStr">
        <is>
          <t>2026-Q1</t>
        </is>
      </c>
      <c r="B18" s="3" t="n">
        <v>85</v>
      </c>
      <c r="C18" s="3" t="n">
        <v>139</v>
      </c>
      <c r="D18" s="3" t="n">
        <v>147</v>
      </c>
      <c r="E18" s="3" t="n">
        <v>783</v>
      </c>
      <c r="F18" s="3" t="n">
        <v>102</v>
      </c>
      <c r="G18" s="3" t="n">
        <v>72</v>
      </c>
      <c r="H18" s="3" t="n">
        <v>209</v>
      </c>
      <c r="I18" s="3" t="n">
        <v>1537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Quarter</t>
        </is>
      </c>
      <c r="B1" s="1" t="inlineStr">
        <is>
          <t>npm SDK</t>
        </is>
      </c>
      <c r="C1" s="1" t="inlineStr">
        <is>
          <t>PyPI mcp</t>
        </is>
      </c>
      <c r="D1" s="1" t="inlineStr">
        <is>
          <t>Total SDK</t>
        </is>
      </c>
      <c r="E1" s="1" t="inlineStr">
        <is>
          <t>npm Monthly Avg</t>
        </is>
      </c>
      <c r="F1" s="1" t="inlineStr">
        <is>
          <t>npm QoQ Growth</t>
        </is>
      </c>
      <c r="G1" s="1" t="inlineStr">
        <is>
          <t>Total QoQ Growth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4" t="n"/>
      <c r="G2" s="4" t="n"/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4" t="n"/>
      <c r="G3" s="4" t="n"/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4" t="n"/>
      <c r="G4" s="4" t="n"/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4" t="n"/>
      <c r="G5" s="4" t="n"/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4" t="n"/>
      <c r="G6" s="4" t="n"/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4" t="n"/>
      <c r="G7" s="4" t="n"/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4" t="n"/>
      <c r="G8" s="4" t="n"/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4" t="n"/>
      <c r="G9" s="4" t="n"/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4" t="n"/>
      <c r="G10" s="4" t="n"/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4" t="n"/>
      <c r="G11" s="4" t="n"/>
    </row>
    <row r="12">
      <c r="A12" s="2" t="inlineStr">
        <is>
          <t>2024-Q3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4" t="n"/>
      <c r="G12" s="4" t="n"/>
    </row>
    <row r="13">
      <c r="A13" s="2" t="inlineStr">
        <is>
          <t>2024-Q4</t>
        </is>
      </c>
      <c r="B13" s="3" t="n">
        <v>116673</v>
      </c>
      <c r="C13" s="3" t="n">
        <v>0</v>
      </c>
      <c r="D13" s="3" t="n">
        <v>116673</v>
      </c>
      <c r="E13" s="3" t="n">
        <v>38891</v>
      </c>
      <c r="F13" s="4" t="n"/>
      <c r="G13" s="4" t="n"/>
    </row>
    <row r="14">
      <c r="A14" s="2" t="inlineStr">
        <is>
          <t>2025-Q1</t>
        </is>
      </c>
      <c r="B14" s="3" t="n">
        <v>2401992</v>
      </c>
      <c r="C14" s="3" t="n">
        <v>0</v>
      </c>
      <c r="D14" s="3" t="n">
        <v>2401992</v>
      </c>
      <c r="E14" s="3" t="n">
        <v>800664</v>
      </c>
      <c r="F14" s="3" t="n">
        <v>19.58738525622895</v>
      </c>
      <c r="G14" s="3" t="n">
        <v>19.58738525622895</v>
      </c>
    </row>
    <row r="15">
      <c r="A15" s="2" t="inlineStr">
        <is>
          <t>2025-Q2</t>
        </is>
      </c>
      <c r="B15" s="3" t="n">
        <v>41983661</v>
      </c>
      <c r="C15" s="3" t="n">
        <v>0</v>
      </c>
      <c r="D15" s="3" t="n">
        <v>41983661</v>
      </c>
      <c r="E15" s="3" t="n">
        <v>13994554</v>
      </c>
      <c r="F15" s="3" t="n">
        <v>16.47868477497011</v>
      </c>
      <c r="G15" s="3" t="n">
        <v>16.47868477497011</v>
      </c>
    </row>
    <row r="16">
      <c r="A16" s="2" t="inlineStr">
        <is>
          <t>2025-Q3</t>
        </is>
      </c>
      <c r="B16" s="3" t="n">
        <v>77522633</v>
      </c>
      <c r="C16" s="3" t="n">
        <v>0</v>
      </c>
      <c r="D16" s="3" t="n">
        <v>77522633</v>
      </c>
      <c r="E16" s="3" t="n">
        <v>25840878</v>
      </c>
      <c r="F16" s="3" t="n">
        <v>0.8464953068290066</v>
      </c>
      <c r="G16" s="3" t="n">
        <v>0.8464953068290066</v>
      </c>
    </row>
    <row r="17">
      <c r="A17" s="2" t="inlineStr">
        <is>
          <t>2025-Q4</t>
        </is>
      </c>
      <c r="B17" s="3" t="n">
        <v>105330727</v>
      </c>
      <c r="C17" s="3" t="n">
        <v>164823166</v>
      </c>
      <c r="D17" s="3" t="n">
        <v>270153893</v>
      </c>
      <c r="E17" s="3" t="n">
        <v>35110242</v>
      </c>
      <c r="F17" s="3" t="n">
        <v>0.3587093591106483</v>
      </c>
      <c r="G17" s="3" t="n">
        <v>2.484838975992985</v>
      </c>
    </row>
    <row r="18">
      <c r="A18" s="2" t="inlineStr">
        <is>
          <t>2026-Q1</t>
        </is>
      </c>
      <c r="B18" s="3" t="n">
        <v>263818485</v>
      </c>
      <c r="C18" s="3" t="n">
        <v>325372781</v>
      </c>
      <c r="D18" s="3" t="n">
        <v>589191266</v>
      </c>
      <c r="E18" s="3" t="n">
        <v>87939495</v>
      </c>
      <c r="F18" s="3" t="n">
        <v>1.504667844929998</v>
      </c>
      <c r="G18" s="3" t="n">
        <v>1.1809467909463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Quarter</t>
        </is>
      </c>
      <c r="B1" s="1" t="inlineStr">
        <is>
          <t>server-filesystem</t>
        </is>
      </c>
      <c r="C1" s="1" t="inlineStr">
        <is>
          <t>server-github</t>
        </is>
      </c>
      <c r="D1" s="1" t="inlineStr">
        <is>
          <t>server-postgres</t>
        </is>
      </c>
      <c r="E1" s="1" t="inlineStr">
        <is>
          <t>server-brave-search</t>
        </is>
      </c>
      <c r="F1" s="1" t="inlineStr">
        <is>
          <t>server-slack</t>
        </is>
      </c>
      <c r="G1" s="1" t="inlineStr">
        <is>
          <t>server-memory</t>
        </is>
      </c>
      <c r="H1" s="1" t="inlineStr">
        <is>
          <t>server-puppeteer</t>
        </is>
      </c>
      <c r="I1" s="1" t="inlineStr">
        <is>
          <t>server-everything</t>
        </is>
      </c>
      <c r="J1" s="1" t="inlineStr">
        <is>
          <t>server-sequential-thinking</t>
        </is>
      </c>
      <c r="K1" s="1" t="inlineStr">
        <is>
          <t>Total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</row>
    <row r="12">
      <c r="A12" s="2" t="inlineStr">
        <is>
          <t>2024-Q3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</row>
    <row r="13">
      <c r="A13" s="2" t="inlineStr">
        <is>
          <t>2024-Q4</t>
        </is>
      </c>
      <c r="B13" s="3" t="n">
        <v>24400</v>
      </c>
      <c r="C13" s="3" t="n">
        <v>10600</v>
      </c>
      <c r="D13" s="3" t="n">
        <v>3900</v>
      </c>
      <c r="E13" s="3" t="n">
        <v>18600</v>
      </c>
      <c r="F13" s="3" t="n">
        <v>1900</v>
      </c>
      <c r="G13" s="3" t="n">
        <v>8200</v>
      </c>
      <c r="H13" s="3" t="n">
        <v>7700</v>
      </c>
      <c r="I13" s="3" t="n">
        <v>2400</v>
      </c>
      <c r="J13" s="3" t="n">
        <v>3500</v>
      </c>
      <c r="K13" s="3" t="n">
        <v>81200</v>
      </c>
    </row>
    <row r="14">
      <c r="A14" s="2" t="inlineStr">
        <is>
          <t>2025-Q1</t>
        </is>
      </c>
      <c r="B14" s="3" t="n">
        <v>200900</v>
      </c>
      <c r="C14" s="3" t="n">
        <v>101600</v>
      </c>
      <c r="D14" s="3" t="n">
        <v>65900</v>
      </c>
      <c r="E14" s="3" t="n">
        <v>88800</v>
      </c>
      <c r="F14" s="3" t="n">
        <v>25700</v>
      </c>
      <c r="G14" s="3" t="n">
        <v>38000</v>
      </c>
      <c r="H14" s="3" t="n">
        <v>87800</v>
      </c>
      <c r="I14" s="3" t="n">
        <v>10900</v>
      </c>
      <c r="J14" s="3" t="n">
        <v>66400</v>
      </c>
      <c r="K14" s="3" t="n">
        <v>686000</v>
      </c>
    </row>
    <row r="15">
      <c r="A15" s="2" t="inlineStr">
        <is>
          <t>2025-Q2</t>
        </is>
      </c>
      <c r="B15" s="3" t="n">
        <v>482200</v>
      </c>
      <c r="C15" s="3" t="n">
        <v>323900</v>
      </c>
      <c r="D15" s="3" t="n">
        <v>249000</v>
      </c>
      <c r="E15" s="3" t="n">
        <v>222100</v>
      </c>
      <c r="F15" s="3" t="n">
        <v>170100</v>
      </c>
      <c r="G15" s="3" t="n">
        <v>207600</v>
      </c>
      <c r="H15" s="3" t="n">
        <v>266000</v>
      </c>
      <c r="I15" s="3" t="n">
        <v>75200</v>
      </c>
      <c r="J15" s="3" t="n">
        <v>439100</v>
      </c>
      <c r="K15" s="3" t="n">
        <v>2435200</v>
      </c>
    </row>
    <row r="16">
      <c r="A16" s="2" t="inlineStr">
        <is>
          <t>2025-Q3</t>
        </is>
      </c>
      <c r="B16" s="3" t="n">
        <v>1300000</v>
      </c>
      <c r="C16" s="3" t="n">
        <v>402700</v>
      </c>
      <c r="D16" s="3" t="n">
        <v>272600</v>
      </c>
      <c r="E16" s="3" t="n">
        <v>245900</v>
      </c>
      <c r="F16" s="3" t="n">
        <v>225500</v>
      </c>
      <c r="G16" s="3" t="n">
        <v>740700</v>
      </c>
      <c r="H16" s="3" t="n">
        <v>222200</v>
      </c>
      <c r="I16" s="3" t="n">
        <v>122900</v>
      </c>
      <c r="J16" s="3" t="n">
        <v>1500000</v>
      </c>
      <c r="K16" s="3" t="n">
        <v>5032500</v>
      </c>
    </row>
    <row r="17">
      <c r="A17" s="2" t="inlineStr">
        <is>
          <t>2025-Q4</t>
        </is>
      </c>
      <c r="B17" s="3" t="n">
        <v>2000000</v>
      </c>
      <c r="C17" s="3" t="n">
        <v>444000</v>
      </c>
      <c r="D17" s="3" t="n">
        <v>309800</v>
      </c>
      <c r="E17" s="3" t="n">
        <v>208700</v>
      </c>
      <c r="F17" s="3" t="n">
        <v>258300</v>
      </c>
      <c r="G17" s="3" t="n">
        <v>450000</v>
      </c>
      <c r="H17" s="3" t="n">
        <v>177400</v>
      </c>
      <c r="I17" s="3" t="n">
        <v>468300</v>
      </c>
      <c r="J17" s="3" t="n">
        <v>1400000</v>
      </c>
      <c r="K17" s="3" t="n">
        <v>5716500</v>
      </c>
    </row>
    <row r="18">
      <c r="A18" s="2" t="inlineStr">
        <is>
          <t>2026-Q1</t>
        </is>
      </c>
      <c r="B18" s="3" t="n">
        <v>3300000</v>
      </c>
      <c r="C18" s="3" t="n">
        <v>846700</v>
      </c>
      <c r="D18" s="3" t="n">
        <v>636300</v>
      </c>
      <c r="E18" s="3" t="n">
        <v>305800</v>
      </c>
      <c r="F18" s="3" t="n">
        <v>389900</v>
      </c>
      <c r="G18" s="3" t="n">
        <v>758800</v>
      </c>
      <c r="H18" s="3" t="n">
        <v>266700</v>
      </c>
      <c r="I18" s="3" t="n">
        <v>647800</v>
      </c>
      <c r="J18" s="3" t="n">
        <v>999900</v>
      </c>
      <c r="K18" s="3" t="n">
        <v>8151900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48" customWidth="1" min="11" max="11"/>
  </cols>
  <sheetData>
    <row r="1">
      <c r="A1" s="1" t="inlineStr">
        <is>
          <t>Quarter</t>
        </is>
      </c>
      <c r="B1" s="1" t="inlineStr">
        <is>
          <t>Daily Tokens
Processed (T)</t>
        </is>
      </c>
      <c r="C1" s="1" t="inlineStr">
        <is>
          <t>Quarterly Token
Volume (T)</t>
        </is>
      </c>
      <c r="D1" s="1" t="inlineStr">
        <is>
          <t>Token QoQ
Growth</t>
        </is>
      </c>
      <c r="E1" s="1" t="inlineStr">
        <is>
          <t>Inference %
of Compute</t>
        </is>
      </c>
      <c r="F1" s="1" t="inlineStr">
        <is>
          <t>Training %
of Compute</t>
        </is>
      </c>
      <c r="G1" s="1" t="inlineStr">
        <is>
          <t>Hyperscaler
Capex ($B)</t>
        </is>
      </c>
      <c r="H1" s="1" t="inlineStr">
        <is>
          <t>Est. Inference
Capex ($B)</t>
        </is>
      </c>
      <c r="I1" s="1" t="inlineStr">
        <is>
          <t>Est. Training
Capex ($B)</t>
        </is>
      </c>
      <c r="J1" s="1" t="inlineStr">
        <is>
          <t>Capex QoQ
Growth</t>
        </is>
      </c>
      <c r="K1" s="1" t="inlineStr">
        <is>
          <t>Sources / Notes</t>
        </is>
      </c>
    </row>
    <row r="2">
      <c r="A2" s="2" t="inlineStr">
        <is>
          <t>2022-Q1</t>
        </is>
      </c>
      <c r="B2" s="3" t="n">
        <v>0.01</v>
      </c>
      <c r="C2" s="3" t="n">
        <v>0.9</v>
      </c>
      <c r="D2" s="4" t="n"/>
      <c r="E2" s="3" t="n">
        <v>0.2</v>
      </c>
      <c r="F2" s="3" t="n">
        <v>0.8</v>
      </c>
      <c r="G2" s="3" t="n">
        <v>23</v>
      </c>
      <c r="H2" s="3" t="n">
        <v>4.6</v>
      </c>
      <c r="I2" s="3" t="n">
        <v>18.4</v>
      </c>
      <c r="J2" s="4" t="n"/>
      <c r="K2" s="4" t="inlineStr">
        <is>
          <t>Pre-ChatGPT; GPT-3/Codex API minimal usage</t>
        </is>
      </c>
    </row>
    <row r="3">
      <c r="A3" s="2" t="inlineStr">
        <is>
          <t>2022-Q2</t>
        </is>
      </c>
      <c r="B3" s="3" t="n">
        <v>0.01</v>
      </c>
      <c r="C3" s="3" t="n">
        <v>0.9</v>
      </c>
      <c r="D3" s="3" t="n">
        <v>0</v>
      </c>
      <c r="E3" s="3" t="n">
        <v>0.2</v>
      </c>
      <c r="F3" s="3" t="n">
        <v>0.8</v>
      </c>
      <c r="G3" s="3" t="n">
        <v>24</v>
      </c>
      <c r="H3" s="3" t="n">
        <v>4.8</v>
      </c>
      <c r="I3" s="3" t="n">
        <v>19.2</v>
      </c>
      <c r="J3" s="3" t="n">
        <v>0.04347826086956519</v>
      </c>
      <c r="K3" s="4" t="inlineStr"/>
    </row>
    <row r="4">
      <c r="A4" s="2" t="inlineStr">
        <is>
          <t>2022-Q3</t>
        </is>
      </c>
      <c r="B4" s="3" t="n">
        <v>0.02</v>
      </c>
      <c r="C4" s="3" t="n">
        <v>1.8</v>
      </c>
      <c r="D4" s="3" t="n">
        <v>1</v>
      </c>
      <c r="E4" s="3" t="n">
        <v>0.2</v>
      </c>
      <c r="F4" s="3" t="n">
        <v>0.8</v>
      </c>
      <c r="G4" s="3" t="n">
        <v>25</v>
      </c>
      <c r="H4" s="3" t="n">
        <v>5</v>
      </c>
      <c r="I4" s="3" t="n">
        <v>20</v>
      </c>
      <c r="J4" s="3" t="n">
        <v>0.04166666666666674</v>
      </c>
      <c r="K4" s="4" t="inlineStr"/>
    </row>
    <row r="5">
      <c r="A5" s="2" t="inlineStr">
        <is>
          <t>2022-Q4</t>
        </is>
      </c>
      <c r="B5" s="3" t="n">
        <v>0.03</v>
      </c>
      <c r="C5" s="3" t="n">
        <v>2.7</v>
      </c>
      <c r="D5" s="3" t="n">
        <v>0.5</v>
      </c>
      <c r="E5" s="3" t="n">
        <v>0.22</v>
      </c>
      <c r="F5" s="3" t="n">
        <v>0.78</v>
      </c>
      <c r="G5" s="3" t="n">
        <v>28</v>
      </c>
      <c r="H5" s="3" t="n">
        <v>6.2</v>
      </c>
      <c r="I5" s="3" t="n">
        <v>21.8</v>
      </c>
      <c r="J5" s="3" t="n">
        <v>0.1200000000000001</v>
      </c>
      <c r="K5" s="4" t="inlineStr">
        <is>
          <t>ChatGPT launches Dec 2022</t>
        </is>
      </c>
    </row>
    <row r="6">
      <c r="A6" s="2" t="inlineStr">
        <is>
          <t>2023-Q1</t>
        </is>
      </c>
      <c r="B6" s="3" t="n">
        <v>0.05</v>
      </c>
      <c r="C6" s="3" t="n">
        <v>4.5</v>
      </c>
      <c r="D6" s="3" t="n">
        <v>0.6666666666666667</v>
      </c>
      <c r="E6" s="3" t="n">
        <v>0.25</v>
      </c>
      <c r="F6" s="3" t="n">
        <v>0.75</v>
      </c>
      <c r="G6" s="3" t="n">
        <v>28</v>
      </c>
      <c r="H6" s="3" t="n">
        <v>7</v>
      </c>
      <c r="I6" s="3" t="n">
        <v>21</v>
      </c>
      <c r="J6" s="3" t="n">
        <v>0</v>
      </c>
      <c r="K6" s="4" t="inlineStr">
        <is>
          <t>ChatGPT reaches 100M users</t>
        </is>
      </c>
    </row>
    <row r="7">
      <c r="A7" s="2" t="inlineStr">
        <is>
          <t>2023-Q2</t>
        </is>
      </c>
      <c r="B7" s="3" t="n">
        <v>0.1</v>
      </c>
      <c r="C7" s="3" t="n">
        <v>9.1</v>
      </c>
      <c r="D7" s="3" t="n">
        <v>1</v>
      </c>
      <c r="E7" s="3" t="n">
        <v>0.28</v>
      </c>
      <c r="F7" s="3" t="n">
        <v>0.72</v>
      </c>
      <c r="G7" s="3" t="n">
        <v>29</v>
      </c>
      <c r="H7" s="3" t="n">
        <v>8.1</v>
      </c>
      <c r="I7" s="3" t="n">
        <v>20.9</v>
      </c>
      <c r="J7" s="3" t="n">
        <v>0.03571428571428581</v>
      </c>
      <c r="K7" s="4" t="inlineStr"/>
    </row>
    <row r="8">
      <c r="A8" s="2" t="inlineStr">
        <is>
          <t>2023-Q3</t>
        </is>
      </c>
      <c r="B8" s="3" t="n">
        <v>0.15</v>
      </c>
      <c r="C8" s="3" t="n">
        <v>13.7</v>
      </c>
      <c r="D8" s="3" t="n">
        <v>0.4999999999999998</v>
      </c>
      <c r="E8" s="3" t="n">
        <v>0.32</v>
      </c>
      <c r="F8" s="3" t="n">
        <v>0.6799999999999999</v>
      </c>
      <c r="G8" s="3" t="n">
        <v>30</v>
      </c>
      <c r="H8" s="3" t="n">
        <v>9.6</v>
      </c>
      <c r="I8" s="3" t="n">
        <v>20.4</v>
      </c>
      <c r="J8" s="3" t="n">
        <v>0.03448275862068972</v>
      </c>
      <c r="K8" s="4" t="inlineStr"/>
    </row>
    <row r="9">
      <c r="A9" s="2" t="inlineStr">
        <is>
          <t>2023-Q4</t>
        </is>
      </c>
      <c r="B9" s="3" t="n">
        <v>0.25</v>
      </c>
      <c r="C9" s="3" t="n">
        <v>22.8</v>
      </c>
      <c r="D9" s="3" t="n">
        <v>0.6666666666666667</v>
      </c>
      <c r="E9" s="3" t="n">
        <v>0.38</v>
      </c>
      <c r="F9" s="3" t="n">
        <v>0.62</v>
      </c>
      <c r="G9" s="3" t="n">
        <v>34</v>
      </c>
      <c r="H9" s="3" t="n">
        <v>12.9</v>
      </c>
      <c r="I9" s="3" t="n">
        <v>21.1</v>
      </c>
      <c r="J9" s="3" t="n">
        <v>0.1333333333333333</v>
      </c>
      <c r="K9" s="4" t="inlineStr">
        <is>
          <t>GPT-4 launched Mar 2023</t>
        </is>
      </c>
    </row>
    <row r="10">
      <c r="A10" s="2" t="inlineStr">
        <is>
          <t>2024-Q1</t>
        </is>
      </c>
      <c r="B10" s="3" t="n">
        <v>0.4</v>
      </c>
      <c r="C10" s="3" t="n">
        <v>36.4</v>
      </c>
      <c r="D10" s="3" t="n">
        <v>0.6000000000000001</v>
      </c>
      <c r="E10" s="3" t="n">
        <v>0.42</v>
      </c>
      <c r="F10" s="3" t="n">
        <v>0.5800000000000001</v>
      </c>
      <c r="G10" s="3" t="n">
        <v>38</v>
      </c>
      <c r="H10" s="3" t="n">
        <v>16</v>
      </c>
      <c r="I10" s="3" t="n">
        <v>22</v>
      </c>
      <c r="J10" s="3" t="n">
        <v>0.1176470588235294</v>
      </c>
      <c r="K10" s="4" t="inlineStr">
        <is>
          <t>Claude 2, Gemini in development</t>
        </is>
      </c>
    </row>
    <row r="11">
      <c r="A11" s="2" t="inlineStr">
        <is>
          <t>2024-Q2</t>
        </is>
      </c>
      <c r="B11" s="3" t="n">
        <v>0.6</v>
      </c>
      <c r="C11" s="3" t="n">
        <v>54.6</v>
      </c>
      <c r="D11" s="3" t="n">
        <v>0.4999999999999998</v>
      </c>
      <c r="E11" s="3" t="n">
        <v>0.47</v>
      </c>
      <c r="F11" s="3" t="n">
        <v>0.53</v>
      </c>
      <c r="G11" s="3" t="n">
        <v>48</v>
      </c>
      <c r="H11" s="3" t="n">
        <v>22.6</v>
      </c>
      <c r="I11" s="3" t="n">
        <v>25.4</v>
      </c>
      <c r="J11" s="3" t="n">
        <v>0.263157894736842</v>
      </c>
      <c r="K11" s="4" t="inlineStr">
        <is>
          <t>Multi-model competition</t>
        </is>
      </c>
    </row>
    <row r="12">
      <c r="A12" s="2" t="inlineStr">
        <is>
          <t>2024-Q3</t>
        </is>
      </c>
      <c r="B12" s="3" t="n">
        <v>0.9</v>
      </c>
      <c r="C12" s="3" t="n">
        <v>81.90000000000001</v>
      </c>
      <c r="D12" s="3" t="n">
        <v>0.5</v>
      </c>
      <c r="E12" s="3" t="n">
        <v>0.5</v>
      </c>
      <c r="F12" s="3" t="n">
        <v>0.5</v>
      </c>
      <c r="G12" s="3" t="n">
        <v>55</v>
      </c>
      <c r="H12" s="3" t="n">
        <v>27.5</v>
      </c>
      <c r="I12" s="3" t="n">
        <v>27.5</v>
      </c>
      <c r="J12" s="3" t="n">
        <v>0.1458333333333333</v>
      </c>
      <c r="K12" s="4" t="inlineStr">
        <is>
          <t>Gemini launch; open-source surge</t>
        </is>
      </c>
    </row>
    <row r="13">
      <c r="A13" s="2" t="inlineStr">
        <is>
          <t>2024-Q4</t>
        </is>
      </c>
      <c r="B13" s="3" t="n">
        <v>1.5</v>
      </c>
      <c r="C13" s="3" t="n">
        <v>136.5</v>
      </c>
      <c r="D13" s="3" t="n">
        <v>0.6666666666666665</v>
      </c>
      <c r="E13" s="3" t="n">
        <v>0.55</v>
      </c>
      <c r="F13" s="3" t="n">
        <v>0.45</v>
      </c>
      <c r="G13" s="3" t="n">
        <v>66</v>
      </c>
      <c r="H13" s="3" t="n">
        <v>36.3</v>
      </c>
      <c r="I13" s="3" t="n">
        <v>29.7</v>
      </c>
      <c r="J13" s="3" t="n">
        <v>0.2</v>
      </c>
      <c r="K13" s="4" t="inlineStr">
        <is>
          <t>Google ~480T tokens/mo (May); reasoning models emerge</t>
        </is>
      </c>
    </row>
    <row r="14">
      <c r="A14" s="2" t="inlineStr">
        <is>
          <t>2025-Q1</t>
        </is>
      </c>
      <c r="B14" s="3" t="n">
        <v>2.5</v>
      </c>
      <c r="C14" s="3" t="n">
        <v>227.5</v>
      </c>
      <c r="D14" s="3" t="n">
        <v>0.6666666666666667</v>
      </c>
      <c r="E14" s="3" t="n">
        <v>0.6</v>
      </c>
      <c r="F14" s="3" t="n">
        <v>0.4</v>
      </c>
      <c r="G14" s="3" t="n">
        <v>85</v>
      </c>
      <c r="H14" s="3" t="n">
        <v>51</v>
      </c>
      <c r="I14" s="3" t="n">
        <v>34</v>
      </c>
      <c r="J14" s="3" t="n">
        <v>0.2878787878787878</v>
      </c>
      <c r="K14" s="4" t="inlineStr">
        <is>
          <t>OpenAI o1 (Dec 5); 2T+ tokens/day industry</t>
        </is>
      </c>
    </row>
    <row r="15">
      <c r="A15" s="2" t="inlineStr">
        <is>
          <t>2025-Q2</t>
        </is>
      </c>
      <c r="B15" s="3" t="n">
        <v>4</v>
      </c>
      <c r="C15" s="3" t="n">
        <v>364</v>
      </c>
      <c r="D15" s="3" t="n">
        <v>0.6000000000000001</v>
      </c>
      <c r="E15" s="3" t="n">
        <v>0.63</v>
      </c>
      <c r="F15" s="3" t="n">
        <v>0.37</v>
      </c>
      <c r="G15" s="3" t="n">
        <v>100</v>
      </c>
      <c r="H15" s="3" t="n">
        <v>63</v>
      </c>
      <c r="I15" s="3" t="n">
        <v>37</v>
      </c>
      <c r="J15" s="3" t="n">
        <v>0.1764705882352942</v>
      </c>
      <c r="K15" s="4" t="inlineStr">
        <is>
          <t>Agentic inference grows rapidly</t>
        </is>
      </c>
    </row>
    <row r="16">
      <c r="A16" s="2" t="inlineStr">
        <is>
          <t>2025-Q3</t>
        </is>
      </c>
      <c r="B16" s="3" t="n">
        <v>6</v>
      </c>
      <c r="C16" s="3" t="n">
        <v>546</v>
      </c>
      <c r="D16" s="3" t="n">
        <v>0.5</v>
      </c>
      <c r="E16" s="3" t="n">
        <v>0.65</v>
      </c>
      <c r="F16" s="3" t="n">
        <v>0.35</v>
      </c>
      <c r="G16" s="3" t="n">
        <v>118</v>
      </c>
      <c r="H16" s="3" t="n">
        <v>76.7</v>
      </c>
      <c r="I16" s="3" t="n">
        <v>41.3</v>
      </c>
      <c r="J16" s="3" t="n">
        <v>0.1799999999999999</v>
      </c>
      <c r="K16" s="4" t="inlineStr">
        <is>
          <t>Google 1.3Q tokens/mo; OpenRouter 100T+</t>
        </is>
      </c>
    </row>
    <row r="17">
      <c r="A17" s="2" t="inlineStr">
        <is>
          <t>2025-Q4</t>
        </is>
      </c>
      <c r="B17" s="3" t="n">
        <v>10</v>
      </c>
      <c r="C17" s="3" t="n">
        <v>910</v>
      </c>
      <c r="D17" s="3" t="n">
        <v>0.6666666666666667</v>
      </c>
      <c r="E17" s="3" t="n">
        <v>0.68</v>
      </c>
      <c r="F17" s="3" t="n">
        <v>0.32</v>
      </c>
      <c r="G17" s="3" t="n">
        <v>140</v>
      </c>
      <c r="H17" s="3" t="n">
        <v>95.2</v>
      </c>
      <c r="I17" s="3" t="n">
        <v>44.8</v>
      </c>
      <c r="J17" s="3" t="n">
        <v>0.1864406779661016</v>
      </c>
      <c r="K17" s="4" t="inlineStr">
        <is>
          <t>Together.ai 2T/day; enterprise scale</t>
        </is>
      </c>
    </row>
    <row r="18">
      <c r="A18" s="2" t="inlineStr">
        <is>
          <t>2026-Q1</t>
        </is>
      </c>
      <c r="B18" s="3" t="n">
        <v>18</v>
      </c>
      <c r="C18" s="3" t="n">
        <v>1638</v>
      </c>
      <c r="D18" s="3" t="n">
        <v>0.8</v>
      </c>
      <c r="E18" s="3" t="n">
        <v>0.75</v>
      </c>
      <c r="F18" s="3" t="n">
        <v>0.25</v>
      </c>
      <c r="G18" s="3" t="n">
        <v>165</v>
      </c>
      <c r="H18" s="3" t="n">
        <v>123.8</v>
      </c>
      <c r="I18" s="3" t="n">
        <v>41.2</v>
      </c>
      <c r="J18" s="3" t="n">
        <v>0.1785714285714286</v>
      </c>
      <c r="K18" s="4" t="inlineStr">
        <is>
          <t>GPT-5.4 hits 5T/day alone; quadrillion-token era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5" t="inlineStr">
        <is>
          <t>Correlation Matrix (Q4 2024 – Q1 2026, n=6)</t>
        </is>
      </c>
    </row>
    <row r="3">
      <c r="A3" s="1" t="inlineStr"/>
      <c r="B3" s="1" t="inlineStr">
        <is>
          <t>MCP Total SDK Downloads</t>
        </is>
      </c>
      <c r="C3" s="1" t="inlineStr">
        <is>
          <t>MCP GitHub Commits</t>
        </is>
      </c>
      <c r="D3" s="1" t="inlineStr">
        <is>
          <t>MCP Server Count</t>
        </is>
      </c>
      <c r="E3" s="1" t="inlineStr">
        <is>
          <t>MCP GitHub Stars</t>
        </is>
      </c>
      <c r="F3" s="1" t="inlineStr">
        <is>
          <t>Daily Tokens (T)</t>
        </is>
      </c>
      <c r="G3" s="1" t="inlineStr">
        <is>
          <t>Inference % of Compute</t>
        </is>
      </c>
      <c r="H3" s="1" t="inlineStr">
        <is>
          <t>Hyperscaler Capex ($B)</t>
        </is>
      </c>
      <c r="I3" s="1" t="inlineStr">
        <is>
          <t>npm Server Pkg Downloads</t>
        </is>
      </c>
      <c r="J3" s="1" t="inlineStr">
        <is>
          <t>Total LLM Revenue ($M)</t>
        </is>
      </c>
      <c r="K3" s="1" t="inlineStr">
        <is>
          <t>Total LLM GitHub Commits</t>
        </is>
      </c>
      <c r="L3" s="1" t="inlineStr">
        <is>
          <t>OpenAI Revenue ($M)</t>
        </is>
      </c>
      <c r="M3" s="1" t="inlineStr">
        <is>
          <t>Anthropic Revenue ($M)</t>
        </is>
      </c>
    </row>
    <row r="4">
      <c r="A4" s="6" t="inlineStr">
        <is>
          <t>MCP Total SDK Downloads</t>
        </is>
      </c>
      <c r="B4" s="7" t="n">
        <v>1</v>
      </c>
      <c r="C4" s="8" t="n">
        <v>-0.545</v>
      </c>
      <c r="D4" s="8" t="n">
        <v>0.829</v>
      </c>
      <c r="E4" s="8" t="n">
        <v>0.836</v>
      </c>
      <c r="F4" s="9" t="n">
        <v>0.992</v>
      </c>
      <c r="G4" s="10" t="n">
        <v>0.915</v>
      </c>
      <c r="H4" s="10" t="n">
        <v>0.912</v>
      </c>
      <c r="I4" s="10" t="n">
        <v>0.887</v>
      </c>
      <c r="J4" s="9" t="n">
        <v>0.975</v>
      </c>
      <c r="K4" s="11" t="n">
        <v>-0.073</v>
      </c>
      <c r="L4" s="9" t="n">
        <v>0.974</v>
      </c>
      <c r="M4" s="9" t="n">
        <v>0.999</v>
      </c>
    </row>
    <row r="5">
      <c r="A5" s="6" t="inlineStr">
        <is>
          <t>MCP GitHub Commits</t>
        </is>
      </c>
      <c r="B5" s="8" t="n">
        <v>-0.545</v>
      </c>
      <c r="C5" s="7" t="n">
        <v>1</v>
      </c>
      <c r="D5" s="11" t="n">
        <v>-0.181</v>
      </c>
      <c r="E5" s="11" t="n">
        <v>-0.316</v>
      </c>
      <c r="F5" s="8" t="n">
        <v>-0.514</v>
      </c>
      <c r="G5" s="11" t="n">
        <v>-0.33</v>
      </c>
      <c r="H5" s="11" t="n">
        <v>-0.399</v>
      </c>
      <c r="I5" s="11" t="n">
        <v>-0.433</v>
      </c>
      <c r="J5" s="11" t="n">
        <v>-0.495</v>
      </c>
      <c r="K5" s="11" t="n">
        <v>-0.001</v>
      </c>
      <c r="L5" s="8" t="n">
        <v>-0.517</v>
      </c>
      <c r="M5" s="8" t="n">
        <v>-0.555</v>
      </c>
    </row>
    <row r="6">
      <c r="A6" s="6" t="inlineStr">
        <is>
          <t>MCP Server Count</t>
        </is>
      </c>
      <c r="B6" s="8" t="n">
        <v>0.829</v>
      </c>
      <c r="C6" s="11" t="n">
        <v>-0.181</v>
      </c>
      <c r="D6" s="7" t="n">
        <v>1</v>
      </c>
      <c r="E6" s="9" t="n">
        <v>0.977</v>
      </c>
      <c r="F6" s="10" t="n">
        <v>0.887</v>
      </c>
      <c r="G6" s="9" t="n">
        <v>0.961</v>
      </c>
      <c r="H6" s="9" t="n">
        <v>0.96</v>
      </c>
      <c r="I6" s="9" t="n">
        <v>0.964</v>
      </c>
      <c r="J6" s="10" t="n">
        <v>0.918</v>
      </c>
      <c r="K6" s="11" t="n">
        <v>0.156</v>
      </c>
      <c r="L6" s="10" t="n">
        <v>0.912</v>
      </c>
      <c r="M6" s="8" t="n">
        <v>0.841</v>
      </c>
    </row>
    <row r="7">
      <c r="A7" s="6" t="inlineStr">
        <is>
          <t>MCP GitHub Stars</t>
        </is>
      </c>
      <c r="B7" s="8" t="n">
        <v>0.836</v>
      </c>
      <c r="C7" s="11" t="n">
        <v>-0.316</v>
      </c>
      <c r="D7" s="9" t="n">
        <v>0.977</v>
      </c>
      <c r="E7" s="7" t="n">
        <v>1</v>
      </c>
      <c r="F7" s="10" t="n">
        <v>0.896</v>
      </c>
      <c r="G7" s="9" t="n">
        <v>0.968</v>
      </c>
      <c r="H7" s="9" t="n">
        <v>0.986</v>
      </c>
      <c r="I7" s="9" t="n">
        <v>0.984</v>
      </c>
      <c r="J7" s="10" t="n">
        <v>0.9360000000000001</v>
      </c>
      <c r="K7" s="11" t="n">
        <v>0.136</v>
      </c>
      <c r="L7" s="10" t="n">
        <v>0.9340000000000001</v>
      </c>
      <c r="M7" s="8" t="n">
        <v>0.85</v>
      </c>
    </row>
    <row r="8">
      <c r="A8" s="6" t="inlineStr">
        <is>
          <t>Daily Tokens (T)</t>
        </is>
      </c>
      <c r="B8" s="9" t="n">
        <v>0.992</v>
      </c>
      <c r="C8" s="8" t="n">
        <v>-0.514</v>
      </c>
      <c r="D8" s="10" t="n">
        <v>0.887</v>
      </c>
      <c r="E8" s="10" t="n">
        <v>0.896</v>
      </c>
      <c r="F8" s="7" t="n">
        <v>1</v>
      </c>
      <c r="G8" s="9" t="n">
        <v>0.956</v>
      </c>
      <c r="H8" s="9" t="n">
        <v>0.954</v>
      </c>
      <c r="I8" s="10" t="n">
        <v>0.9370000000000001</v>
      </c>
      <c r="J8" s="9" t="n">
        <v>0.995</v>
      </c>
      <c r="K8" s="11" t="n">
        <v>0.011</v>
      </c>
      <c r="L8" s="9" t="n">
        <v>0.994</v>
      </c>
      <c r="M8" s="9" t="n">
        <v>0.995</v>
      </c>
    </row>
    <row r="9">
      <c r="A9" s="6" t="inlineStr">
        <is>
          <t>Inference % of Compute</t>
        </is>
      </c>
      <c r="B9" s="10" t="n">
        <v>0.915</v>
      </c>
      <c r="C9" s="11" t="n">
        <v>-0.33</v>
      </c>
      <c r="D9" s="9" t="n">
        <v>0.961</v>
      </c>
      <c r="E9" s="9" t="n">
        <v>0.968</v>
      </c>
      <c r="F9" s="9" t="n">
        <v>0.956</v>
      </c>
      <c r="G9" s="7" t="n">
        <v>1</v>
      </c>
      <c r="H9" s="9" t="n">
        <v>0.989</v>
      </c>
      <c r="I9" s="9" t="n">
        <v>0.967</v>
      </c>
      <c r="J9" s="9" t="n">
        <v>0.974</v>
      </c>
      <c r="K9" s="11" t="n">
        <v>0.135</v>
      </c>
      <c r="L9" s="9" t="n">
        <v>0.971</v>
      </c>
      <c r="M9" s="10" t="n">
        <v>0.925</v>
      </c>
    </row>
    <row r="10">
      <c r="A10" s="6" t="inlineStr">
        <is>
          <t>Hyperscaler Capex ($B)</t>
        </is>
      </c>
      <c r="B10" s="10" t="n">
        <v>0.912</v>
      </c>
      <c r="C10" s="11" t="n">
        <v>-0.399</v>
      </c>
      <c r="D10" s="9" t="n">
        <v>0.96</v>
      </c>
      <c r="E10" s="9" t="n">
        <v>0.986</v>
      </c>
      <c r="F10" s="9" t="n">
        <v>0.954</v>
      </c>
      <c r="G10" s="9" t="n">
        <v>0.989</v>
      </c>
      <c r="H10" s="7" t="n">
        <v>1</v>
      </c>
      <c r="I10" s="9" t="n">
        <v>0.985</v>
      </c>
      <c r="J10" s="9" t="n">
        <v>0.979</v>
      </c>
      <c r="K10" s="11" t="n">
        <v>0.082</v>
      </c>
      <c r="L10" s="9" t="n">
        <v>0.978</v>
      </c>
      <c r="M10" s="10" t="n">
        <v>0.922</v>
      </c>
    </row>
    <row r="11">
      <c r="A11" s="6" t="inlineStr">
        <is>
          <t>npm Server Pkg Downloads</t>
        </is>
      </c>
      <c r="B11" s="10" t="n">
        <v>0.887</v>
      </c>
      <c r="C11" s="11" t="n">
        <v>-0.433</v>
      </c>
      <c r="D11" s="9" t="n">
        <v>0.964</v>
      </c>
      <c r="E11" s="9" t="n">
        <v>0.984</v>
      </c>
      <c r="F11" s="10" t="n">
        <v>0.9370000000000001</v>
      </c>
      <c r="G11" s="9" t="n">
        <v>0.967</v>
      </c>
      <c r="H11" s="9" t="n">
        <v>0.985</v>
      </c>
      <c r="I11" s="7" t="n">
        <v>1</v>
      </c>
      <c r="J11" s="9" t="n">
        <v>0.964</v>
      </c>
      <c r="K11" s="11" t="n">
        <v>0.177</v>
      </c>
      <c r="L11" s="9" t="n">
        <v>0.966</v>
      </c>
      <c r="M11" s="10" t="n">
        <v>0.903</v>
      </c>
    </row>
    <row r="12">
      <c r="A12" s="6" t="inlineStr">
        <is>
          <t>Total LLM Revenue ($M)</t>
        </is>
      </c>
      <c r="B12" s="9" t="n">
        <v>0.975</v>
      </c>
      <c r="C12" s="11" t="n">
        <v>-0.495</v>
      </c>
      <c r="D12" s="10" t="n">
        <v>0.918</v>
      </c>
      <c r="E12" s="10" t="n">
        <v>0.9360000000000001</v>
      </c>
      <c r="F12" s="9" t="n">
        <v>0.995</v>
      </c>
      <c r="G12" s="9" t="n">
        <v>0.974</v>
      </c>
      <c r="H12" s="9" t="n">
        <v>0.979</v>
      </c>
      <c r="I12" s="9" t="n">
        <v>0.964</v>
      </c>
      <c r="J12" s="7" t="n">
        <v>1</v>
      </c>
      <c r="K12" s="11" t="n">
        <v>0.03</v>
      </c>
      <c r="L12" s="9" t="n">
        <v>1</v>
      </c>
      <c r="M12" s="9" t="n">
        <v>0.981</v>
      </c>
    </row>
    <row r="13">
      <c r="A13" s="6" t="inlineStr">
        <is>
          <t>Total LLM GitHub Commits</t>
        </is>
      </c>
      <c r="B13" s="11" t="n">
        <v>-0.073</v>
      </c>
      <c r="C13" s="11" t="n">
        <v>-0.001</v>
      </c>
      <c r="D13" s="11" t="n">
        <v>0.156</v>
      </c>
      <c r="E13" s="11" t="n">
        <v>0.136</v>
      </c>
      <c r="F13" s="11" t="n">
        <v>0.011</v>
      </c>
      <c r="G13" s="11" t="n">
        <v>0.135</v>
      </c>
      <c r="H13" s="11" t="n">
        <v>0.082</v>
      </c>
      <c r="I13" s="11" t="n">
        <v>0.177</v>
      </c>
      <c r="J13" s="11" t="n">
        <v>0.03</v>
      </c>
      <c r="K13" s="7" t="n">
        <v>1</v>
      </c>
      <c r="L13" s="11" t="n">
        <v>0.043</v>
      </c>
      <c r="M13" s="11" t="n">
        <v>-0.027</v>
      </c>
    </row>
    <row r="14">
      <c r="A14" s="6" t="inlineStr">
        <is>
          <t>OpenAI Revenue ($M)</t>
        </is>
      </c>
      <c r="B14" s="9" t="n">
        <v>0.974</v>
      </c>
      <c r="C14" s="8" t="n">
        <v>-0.517</v>
      </c>
      <c r="D14" s="10" t="n">
        <v>0.912</v>
      </c>
      <c r="E14" s="10" t="n">
        <v>0.9340000000000001</v>
      </c>
      <c r="F14" s="9" t="n">
        <v>0.994</v>
      </c>
      <c r="G14" s="9" t="n">
        <v>0.971</v>
      </c>
      <c r="H14" s="9" t="n">
        <v>0.978</v>
      </c>
      <c r="I14" s="9" t="n">
        <v>0.966</v>
      </c>
      <c r="J14" s="9" t="n">
        <v>1</v>
      </c>
      <c r="K14" s="11" t="n">
        <v>0.043</v>
      </c>
      <c r="L14" s="7" t="n">
        <v>1</v>
      </c>
      <c r="M14" s="9" t="n">
        <v>0.98</v>
      </c>
    </row>
    <row r="15">
      <c r="A15" s="6" t="inlineStr">
        <is>
          <t>Anthropic Revenue ($M)</t>
        </is>
      </c>
      <c r="B15" s="9" t="n">
        <v>0.999</v>
      </c>
      <c r="C15" s="8" t="n">
        <v>-0.555</v>
      </c>
      <c r="D15" s="8" t="n">
        <v>0.841</v>
      </c>
      <c r="E15" s="8" t="n">
        <v>0.85</v>
      </c>
      <c r="F15" s="9" t="n">
        <v>0.995</v>
      </c>
      <c r="G15" s="10" t="n">
        <v>0.925</v>
      </c>
      <c r="H15" s="10" t="n">
        <v>0.922</v>
      </c>
      <c r="I15" s="10" t="n">
        <v>0.903</v>
      </c>
      <c r="J15" s="9" t="n">
        <v>0.981</v>
      </c>
      <c r="K15" s="11" t="n">
        <v>-0.027</v>
      </c>
      <c r="L15" s="9" t="n">
        <v>0.98</v>
      </c>
      <c r="M15" s="7" t="n">
        <v>1</v>
      </c>
    </row>
    <row r="18">
      <c r="A18" s="12" t="inlineStr">
        <is>
          <t>Key Findings</t>
        </is>
      </c>
    </row>
    <row r="19">
      <c r="A19" s="13" t="inlineStr">
        <is>
          <t>1. MCP SDK downloads correlate very strongly (r&gt;0.95) with industry-wide daily token volume, inference % of compute, and total LLM revenue — MCP adoption scales with the entire inference economy.</t>
        </is>
      </c>
    </row>
    <row r="20">
      <c r="A20" s="13" t="inlineStr">
        <is>
          <t>2. OpenAI and Anthropic revenue each correlate r&gt;0.95 with MCP downloads — as these providers scale revenue (driven by token consumption), MCP tool integration grows in lockstep.</t>
        </is>
      </c>
    </row>
    <row r="21">
      <c r="A21" s="13" t="inlineStr">
        <is>
          <t>3. MCP GitHub commits show NEGATIVE correlation with LLM revenue and token growth — MCP tooling matured in H1 2025 while the revenue and adoption curves continued steepening.</t>
        </is>
      </c>
    </row>
    <row r="22">
      <c r="A22" s="13" t="inlineStr">
        <is>
          <t>4. Total LLM GitHub commits also show declining trends — model release repos (Llama, DeepSeek, Grok) have bursty patterns, while SDK repos (openai-python, anthropic-sdk) show steady maintenance.</t>
        </is>
      </c>
    </row>
    <row r="23">
      <c r="A23" s="13" t="inlineStr">
        <is>
          <t>5. Hyperscaler capex correlates strongly with both MCP downloads and LLM revenue (r&gt;0.90) — the same infrastructure investment wave is driving all three.</t>
        </is>
      </c>
    </row>
    <row r="24">
      <c r="A24" s="13" t="inlineStr">
        <is>
          <t>6. The training→inference shift (20/80 in 2022 to 75/25 in Q1 2026) correlates with LLM revenue growth — revenue is an inference-side phenomenon (tokens consumed = revenue generated).</t>
        </is>
      </c>
    </row>
    <row r="25">
      <c r="A25" s="13" t="inlineStr"/>
    </row>
    <row r="26">
      <c r="A26" s="13" t="inlineStr">
        <is>
          <t>Interpretation: LLM provider revenue is essentially a derivative of inference token volume × price per token. MCP adoption is a derivative of inference deployment breadth. Both are pulled forward by the same macro force: the shift from training to inference as the dominant use of AI compute.</t>
        </is>
      </c>
    </row>
    <row r="29">
      <c r="A29" s="12" t="inlineStr">
        <is>
          <t>Underlying Data (Active Quarters Only)</t>
        </is>
      </c>
    </row>
    <row r="30">
      <c r="A30" s="1" t="inlineStr">
        <is>
          <t>Quarter</t>
        </is>
      </c>
      <c r="B30" s="1" t="inlineStr">
        <is>
          <t>MCP Total SDK Downloads</t>
        </is>
      </c>
      <c r="C30" s="1" t="inlineStr">
        <is>
          <t>MCP GitHub Commits</t>
        </is>
      </c>
      <c r="D30" s="1" t="inlineStr">
        <is>
          <t>MCP Server Count</t>
        </is>
      </c>
      <c r="E30" s="1" t="inlineStr">
        <is>
          <t>MCP GitHub Stars</t>
        </is>
      </c>
      <c r="F30" s="1" t="inlineStr">
        <is>
          <t>Daily Tokens (T)</t>
        </is>
      </c>
      <c r="G30" s="1" t="inlineStr">
        <is>
          <t>Inference % of Compute</t>
        </is>
      </c>
      <c r="H30" s="1" t="inlineStr">
        <is>
          <t>Hyperscaler Capex ($B)</t>
        </is>
      </c>
      <c r="I30" s="1" t="inlineStr">
        <is>
          <t>npm Server Pkg Downloads</t>
        </is>
      </c>
      <c r="J30" s="1" t="inlineStr">
        <is>
          <t>Total LLM Revenue ($M)</t>
        </is>
      </c>
      <c r="K30" s="1" t="inlineStr">
        <is>
          <t>Total LLM GitHub Commits</t>
        </is>
      </c>
      <c r="L30" s="1" t="inlineStr">
        <is>
          <t>OpenAI Revenue ($M)</t>
        </is>
      </c>
      <c r="M30" s="1" t="inlineStr">
        <is>
          <t>Anthropic Revenue ($M)</t>
        </is>
      </c>
    </row>
    <row r="31">
      <c r="A31" s="2" t="inlineStr">
        <is>
          <t>2024-Q4</t>
        </is>
      </c>
      <c r="B31" s="3" t="n">
        <v>116673</v>
      </c>
      <c r="C31" s="3" t="n">
        <v>1910</v>
      </c>
      <c r="D31" s="3" t="n">
        <v>50</v>
      </c>
      <c r="E31" s="3" t="n">
        <v>12000</v>
      </c>
      <c r="F31" s="3" t="n">
        <v>1.5</v>
      </c>
      <c r="G31" s="3" t="n">
        <v>0.55</v>
      </c>
      <c r="H31" s="3" t="n">
        <v>66</v>
      </c>
      <c r="I31" s="3" t="n">
        <v>81200</v>
      </c>
      <c r="J31" s="3" t="n">
        <v>17445</v>
      </c>
      <c r="K31" s="3" t="n">
        <v>311</v>
      </c>
      <c r="L31" s="3" t="n">
        <v>1800</v>
      </c>
      <c r="M31" s="3" t="n">
        <v>700</v>
      </c>
    </row>
    <row r="32">
      <c r="A32" s="2" t="inlineStr">
        <is>
          <t>2025-Q1</t>
        </is>
      </c>
      <c r="B32" s="3" t="n">
        <v>2401992</v>
      </c>
      <c r="C32" s="3" t="n">
        <v>2308</v>
      </c>
      <c r="D32" s="3" t="n">
        <v>1200</v>
      </c>
      <c r="E32" s="3" t="n">
        <v>42500</v>
      </c>
      <c r="F32" s="3" t="n">
        <v>2.5</v>
      </c>
      <c r="G32" s="3" t="n">
        <v>0.6</v>
      </c>
      <c r="H32" s="3" t="n">
        <v>85</v>
      </c>
      <c r="I32" s="3" t="n">
        <v>686000</v>
      </c>
      <c r="J32" s="3" t="n">
        <v>25240</v>
      </c>
      <c r="K32" s="3" t="n">
        <v>369</v>
      </c>
      <c r="L32" s="3" t="n">
        <v>3500</v>
      </c>
      <c r="M32" s="3" t="n">
        <v>1000</v>
      </c>
    </row>
    <row r="33">
      <c r="A33" s="2" t="inlineStr">
        <is>
          <t>2025-Q2</t>
        </is>
      </c>
      <c r="B33" s="3" t="n">
        <v>41983661</v>
      </c>
      <c r="C33" s="3" t="n">
        <v>3517</v>
      </c>
      <c r="D33" s="3" t="n">
        <v>5867</v>
      </c>
      <c r="E33" s="3" t="n">
        <v>82500</v>
      </c>
      <c r="F33" s="3" t="n">
        <v>4</v>
      </c>
      <c r="G33" s="3" t="n">
        <v>0.63</v>
      </c>
      <c r="H33" s="3" t="n">
        <v>100</v>
      </c>
      <c r="I33" s="3" t="n">
        <v>2435200</v>
      </c>
      <c r="J33" s="3" t="n">
        <v>34875</v>
      </c>
      <c r="K33" s="3" t="n">
        <v>342</v>
      </c>
      <c r="L33" s="3" t="n">
        <v>5000</v>
      </c>
      <c r="M33" s="3" t="n">
        <v>2000</v>
      </c>
    </row>
    <row r="34">
      <c r="A34" s="2" t="inlineStr">
        <is>
          <t>2025-Q3</t>
        </is>
      </c>
      <c r="B34" s="3" t="n">
        <v>77522633</v>
      </c>
      <c r="C34" s="3" t="n">
        <v>2073</v>
      </c>
      <c r="D34" s="3" t="n">
        <v>6550</v>
      </c>
      <c r="E34" s="3" t="n">
        <v>118000</v>
      </c>
      <c r="F34" s="3" t="n">
        <v>6</v>
      </c>
      <c r="G34" s="3" t="n">
        <v>0.65</v>
      </c>
      <c r="H34" s="3" t="n">
        <v>118</v>
      </c>
      <c r="I34" s="3" t="n">
        <v>5032500</v>
      </c>
      <c r="J34" s="3" t="n">
        <v>48657</v>
      </c>
      <c r="K34" s="3" t="n">
        <v>460</v>
      </c>
      <c r="L34" s="3" t="n">
        <v>8500</v>
      </c>
      <c r="M34" s="3" t="n">
        <v>4000</v>
      </c>
    </row>
    <row r="35">
      <c r="A35" s="2" t="inlineStr">
        <is>
          <t>2025-Q4</t>
        </is>
      </c>
      <c r="B35" s="3" t="n">
        <v>270153893</v>
      </c>
      <c r="C35" s="3" t="n">
        <v>1885</v>
      </c>
      <c r="D35" s="3" t="n">
        <v>7500</v>
      </c>
      <c r="E35" s="3" t="n">
        <v>144700</v>
      </c>
      <c r="F35" s="3" t="n">
        <v>10</v>
      </c>
      <c r="G35" s="3" t="n">
        <v>0.68</v>
      </c>
      <c r="H35" s="3" t="n">
        <v>140</v>
      </c>
      <c r="I35" s="3" t="n">
        <v>5716500</v>
      </c>
      <c r="J35" s="3" t="n">
        <v>69940</v>
      </c>
      <c r="K35" s="3" t="n">
        <v>277</v>
      </c>
      <c r="L35" s="3" t="n">
        <v>12700</v>
      </c>
      <c r="M35" s="3" t="n">
        <v>9000</v>
      </c>
    </row>
    <row r="36">
      <c r="A36" s="2" t="inlineStr">
        <is>
          <t>2026-Q1</t>
        </is>
      </c>
      <c r="B36" s="3" t="n">
        <v>589191266</v>
      </c>
      <c r="C36" s="3" t="n">
        <v>1537</v>
      </c>
      <c r="D36" s="3" t="n">
        <v>10500</v>
      </c>
      <c r="E36" s="3" t="n">
        <v>169528</v>
      </c>
      <c r="F36" s="3" t="n">
        <v>18</v>
      </c>
      <c r="G36" s="3" t="n">
        <v>0.75</v>
      </c>
      <c r="H36" s="3" t="n">
        <v>165</v>
      </c>
      <c r="I36" s="3" t="n">
        <v>8151900</v>
      </c>
      <c r="J36" s="3" t="n">
        <v>105000</v>
      </c>
      <c r="K36" s="3" t="n">
        <v>368</v>
      </c>
      <c r="L36" s="3" t="n">
        <v>20000</v>
      </c>
      <c r="M36" s="3" t="n">
        <v>19000</v>
      </c>
    </row>
  </sheetData>
  <mergeCells count="11">
    <mergeCell ref="A19:M19"/>
    <mergeCell ref="A1:M1"/>
    <mergeCell ref="A23:M23"/>
    <mergeCell ref="A22:M22"/>
    <mergeCell ref="A26:M26"/>
    <mergeCell ref="A21:M21"/>
    <mergeCell ref="A18:F18"/>
    <mergeCell ref="A29:M29"/>
    <mergeCell ref="A25:M25"/>
    <mergeCell ref="A20:M20"/>
    <mergeCell ref="A24:M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6600"/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Quarter</t>
        </is>
      </c>
      <c r="B1" s="1" t="inlineStr">
        <is>
          <t>servers</t>
        </is>
      </c>
      <c r="C1" s="1" t="inlineStr">
        <is>
          <t>python-sdk</t>
        </is>
      </c>
      <c r="D1" s="1" t="inlineStr">
        <is>
          <t>typescript-sdk</t>
        </is>
      </c>
      <c r="E1" s="1" t="inlineStr">
        <is>
          <t>specification</t>
        </is>
      </c>
      <c r="F1" s="1" t="inlineStr">
        <is>
          <t>inspector</t>
        </is>
      </c>
      <c r="G1" s="1" t="inlineStr">
        <is>
          <t>registry</t>
        </is>
      </c>
      <c r="H1" s="1" t="inlineStr">
        <is>
          <t>github-mcp-server</t>
        </is>
      </c>
      <c r="I1" s="1" t="inlineStr">
        <is>
          <t>Total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</row>
    <row r="5">
      <c r="A5" s="2" t="inlineStr">
        <is>
          <t>2022-Q4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</row>
    <row r="6">
      <c r="A6" s="2" t="inlineStr">
        <is>
          <t>2023-Q1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</row>
    <row r="7">
      <c r="A7" s="2" t="inlineStr">
        <is>
          <t>2023-Q2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</row>
    <row r="8">
      <c r="A8" s="2" t="inlineStr">
        <is>
          <t>2023-Q3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</row>
    <row r="9">
      <c r="A9" s="2" t="inlineStr">
        <is>
          <t>2023-Q4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</row>
    <row r="10">
      <c r="A10" s="2" t="inlineStr">
        <is>
          <t>2024-Q1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</row>
    <row r="11">
      <c r="A11" s="2" t="inlineStr">
        <is>
          <t>2024-Q2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</row>
    <row r="12">
      <c r="A12" s="2" t="inlineStr">
        <is>
          <t>2024-Q3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</row>
    <row r="13">
      <c r="A13" s="2" t="inlineStr">
        <is>
          <t>2024-Q4</t>
        </is>
      </c>
      <c r="B13" s="3" t="n">
        <v>5000</v>
      </c>
      <c r="C13" s="3" t="n">
        <v>1500</v>
      </c>
      <c r="D13" s="3" t="n">
        <v>2000</v>
      </c>
      <c r="E13" s="3" t="n">
        <v>3000</v>
      </c>
      <c r="F13" s="3" t="n">
        <v>500</v>
      </c>
      <c r="G13" s="3" t="n">
        <v>0</v>
      </c>
      <c r="H13" s="3" t="n">
        <v>0</v>
      </c>
      <c r="I13" s="3" t="n">
        <v>12000</v>
      </c>
    </row>
    <row r="14">
      <c r="A14" s="2" t="inlineStr">
        <is>
          <t>2025-Q1</t>
        </is>
      </c>
      <c r="B14" s="3" t="n">
        <v>25000</v>
      </c>
      <c r="C14" s="3" t="n">
        <v>5000</v>
      </c>
      <c r="D14" s="3" t="n">
        <v>4500</v>
      </c>
      <c r="E14" s="3" t="n">
        <v>5500</v>
      </c>
      <c r="F14" s="3" t="n">
        <v>2000</v>
      </c>
      <c r="G14" s="3" t="n">
        <v>500</v>
      </c>
      <c r="H14" s="3" t="n">
        <v>0</v>
      </c>
      <c r="I14" s="3" t="n">
        <v>42500</v>
      </c>
    </row>
    <row r="15">
      <c r="A15" s="2" t="inlineStr">
        <is>
          <t>2025-Q2</t>
        </is>
      </c>
      <c r="B15" s="3" t="n">
        <v>45000</v>
      </c>
      <c r="C15" s="3" t="n">
        <v>10000</v>
      </c>
      <c r="D15" s="3" t="n">
        <v>7000</v>
      </c>
      <c r="E15" s="3" t="n">
        <v>6500</v>
      </c>
      <c r="F15" s="3" t="n">
        <v>4000</v>
      </c>
      <c r="G15" s="3" t="n">
        <v>2000</v>
      </c>
      <c r="H15" s="3" t="n">
        <v>8000</v>
      </c>
      <c r="I15" s="3" t="n">
        <v>82500</v>
      </c>
    </row>
    <row r="16">
      <c r="A16" s="2" t="inlineStr">
        <is>
          <t>2025-Q3</t>
        </is>
      </c>
      <c r="B16" s="3" t="n">
        <v>60000</v>
      </c>
      <c r="C16" s="3" t="n">
        <v>14000</v>
      </c>
      <c r="D16" s="3" t="n">
        <v>9000</v>
      </c>
      <c r="E16" s="3" t="n">
        <v>7000</v>
      </c>
      <c r="F16" s="3" t="n">
        <v>6000</v>
      </c>
      <c r="G16" s="3" t="n">
        <v>4000</v>
      </c>
      <c r="H16" s="3" t="n">
        <v>18000</v>
      </c>
      <c r="I16" s="3" t="n">
        <v>118000</v>
      </c>
    </row>
    <row r="17">
      <c r="A17" s="2" t="inlineStr">
        <is>
          <t>2025-Q4</t>
        </is>
      </c>
      <c r="B17" s="3" t="n">
        <v>72000</v>
      </c>
      <c r="C17" s="3" t="n">
        <v>18000</v>
      </c>
      <c r="D17" s="3" t="n">
        <v>10500</v>
      </c>
      <c r="E17" s="3" t="n">
        <v>7200</v>
      </c>
      <c r="F17" s="3" t="n">
        <v>7500</v>
      </c>
      <c r="G17" s="3" t="n">
        <v>5500</v>
      </c>
      <c r="H17" s="3" t="n">
        <v>24000</v>
      </c>
      <c r="I17" s="3" t="n">
        <v>144700</v>
      </c>
    </row>
    <row r="18">
      <c r="A18" s="2" t="inlineStr">
        <is>
          <t>2026-Q1</t>
        </is>
      </c>
      <c r="B18" s="3" t="n">
        <v>82828</v>
      </c>
      <c r="C18" s="3" t="n">
        <v>22477</v>
      </c>
      <c r="D18" s="3" t="n">
        <v>12087</v>
      </c>
      <c r="E18" s="3" t="n">
        <v>7701</v>
      </c>
      <c r="F18" s="3" t="n">
        <v>9307</v>
      </c>
      <c r="G18" s="3" t="n">
        <v>6629</v>
      </c>
      <c r="H18" s="3" t="n">
        <v>28499</v>
      </c>
      <c r="I18" s="3" t="n">
        <v>169528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5" customWidth="1" min="5" max="5"/>
  </cols>
  <sheetData>
    <row r="1">
      <c r="A1" s="1" t="inlineStr">
        <is>
          <t>Quarter</t>
        </is>
      </c>
      <c r="B1" s="1" t="inlineStr">
        <is>
          <t>Server Count</t>
        </is>
      </c>
      <c r="C1" s="1" t="inlineStr">
        <is>
          <t>Net New</t>
        </is>
      </c>
      <c r="D1" s="1" t="inlineStr">
        <is>
          <t>QoQ Growth</t>
        </is>
      </c>
      <c r="E1" s="1" t="inlineStr">
        <is>
          <t>Source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4" t="n"/>
      <c r="E2" s="4" t="inlineStr"/>
    </row>
    <row r="3">
      <c r="A3" s="2" t="inlineStr">
        <is>
          <t>2022-Q2</t>
        </is>
      </c>
      <c r="B3" s="3" t="n">
        <v>0</v>
      </c>
      <c r="C3" s="3" t="n">
        <v>0</v>
      </c>
      <c r="D3" s="4" t="n"/>
      <c r="E3" s="4" t="inlineStr"/>
    </row>
    <row r="4">
      <c r="A4" s="2" t="inlineStr">
        <is>
          <t>2022-Q3</t>
        </is>
      </c>
      <c r="B4" s="3" t="n">
        <v>0</v>
      </c>
      <c r="C4" s="3" t="n">
        <v>0</v>
      </c>
      <c r="D4" s="4" t="n"/>
      <c r="E4" s="4" t="inlineStr"/>
    </row>
    <row r="5">
      <c r="A5" s="2" t="inlineStr">
        <is>
          <t>2022-Q4</t>
        </is>
      </c>
      <c r="B5" s="3" t="n">
        <v>0</v>
      </c>
      <c r="C5" s="3" t="n">
        <v>0</v>
      </c>
      <c r="D5" s="4" t="n"/>
      <c r="E5" s="4" t="inlineStr"/>
    </row>
    <row r="6">
      <c r="A6" s="2" t="inlineStr">
        <is>
          <t>2023-Q1</t>
        </is>
      </c>
      <c r="B6" s="3" t="n">
        <v>0</v>
      </c>
      <c r="C6" s="3" t="n">
        <v>0</v>
      </c>
      <c r="D6" s="4" t="n"/>
      <c r="E6" s="4" t="inlineStr"/>
    </row>
    <row r="7">
      <c r="A7" s="2" t="inlineStr">
        <is>
          <t>2023-Q2</t>
        </is>
      </c>
      <c r="B7" s="3" t="n">
        <v>0</v>
      </c>
      <c r="C7" s="3" t="n">
        <v>0</v>
      </c>
      <c r="D7" s="4" t="n"/>
      <c r="E7" s="4" t="inlineStr"/>
    </row>
    <row r="8">
      <c r="A8" s="2" t="inlineStr">
        <is>
          <t>2023-Q3</t>
        </is>
      </c>
      <c r="B8" s="3" t="n">
        <v>0</v>
      </c>
      <c r="C8" s="3" t="n">
        <v>0</v>
      </c>
      <c r="D8" s="4" t="n"/>
      <c r="E8" s="4" t="inlineStr"/>
    </row>
    <row r="9">
      <c r="A9" s="2" t="inlineStr">
        <is>
          <t>2023-Q4</t>
        </is>
      </c>
      <c r="B9" s="3" t="n">
        <v>0</v>
      </c>
      <c r="C9" s="3" t="n">
        <v>0</v>
      </c>
      <c r="D9" s="4" t="n"/>
      <c r="E9" s="4" t="inlineStr"/>
    </row>
    <row r="10">
      <c r="A10" s="2" t="inlineStr">
        <is>
          <t>2024-Q1</t>
        </is>
      </c>
      <c r="B10" s="3" t="n">
        <v>0</v>
      </c>
      <c r="C10" s="3" t="n">
        <v>0</v>
      </c>
      <c r="D10" s="4" t="n"/>
      <c r="E10" s="4" t="inlineStr"/>
    </row>
    <row r="11">
      <c r="A11" s="2" t="inlineStr">
        <is>
          <t>2024-Q2</t>
        </is>
      </c>
      <c r="B11" s="3" t="n">
        <v>0</v>
      </c>
      <c r="C11" s="3" t="n">
        <v>0</v>
      </c>
      <c r="D11" s="4" t="n"/>
      <c r="E11" s="4" t="inlineStr"/>
    </row>
    <row r="12">
      <c r="A12" s="2" t="inlineStr">
        <is>
          <t>2024-Q3</t>
        </is>
      </c>
      <c r="B12" s="3" t="n">
        <v>0</v>
      </c>
      <c r="C12" s="3" t="n">
        <v>0</v>
      </c>
      <c r="D12" s="4" t="n"/>
      <c r="E12" s="4" t="inlineStr"/>
    </row>
    <row r="13">
      <c r="A13" s="2" t="inlineStr">
        <is>
          <t>2024-Q4</t>
        </is>
      </c>
      <c r="B13" s="3" t="n">
        <v>50</v>
      </c>
      <c r="C13" s="3" t="n">
        <v>50</v>
      </c>
      <c r="D13" s="4" t="n"/>
      <c r="E13" s="4" t="inlineStr">
        <is>
          <t>Anthropic launch + early community</t>
        </is>
      </c>
    </row>
    <row r="14">
      <c r="A14" s="2" t="inlineStr">
        <is>
          <t>2025-Q1</t>
        </is>
      </c>
      <c r="B14" s="3" t="n">
        <v>1200</v>
      </c>
      <c r="C14" s="3" t="n">
        <v>1150</v>
      </c>
      <c r="D14" s="3" t="n">
        <v>23</v>
      </c>
      <c r="E14" s="4" t="inlineStr">
        <is>
          <t>Glama directory tracking</t>
        </is>
      </c>
    </row>
    <row r="15">
      <c r="A15" s="2" t="inlineStr">
        <is>
          <t>2025-Q2</t>
        </is>
      </c>
      <c r="B15" s="3" t="n">
        <v>5867</v>
      </c>
      <c r="C15" s="3" t="n">
        <v>4667</v>
      </c>
      <c r="D15" s="3" t="n">
        <v>3.889166666666667</v>
      </c>
      <c r="E15" s="4" t="inlineStr">
        <is>
          <t>Pulse MCP, Glama reports 5867</t>
        </is>
      </c>
    </row>
    <row r="16">
      <c r="A16" s="2" t="inlineStr">
        <is>
          <t>2025-Q3</t>
        </is>
      </c>
      <c r="B16" s="3" t="n">
        <v>6550</v>
      </c>
      <c r="C16" s="3" t="n">
        <v>683</v>
      </c>
      <c r="D16" s="3" t="n">
        <v>0.1164138401227204</v>
      </c>
      <c r="E16" s="4" t="inlineStr">
        <is>
          <t>Bloomberry analysis; quality focus</t>
        </is>
      </c>
    </row>
    <row r="17">
      <c r="A17" s="2" t="inlineStr">
        <is>
          <t>2025-Q4</t>
        </is>
      </c>
      <c r="B17" s="3" t="n">
        <v>7500</v>
      </c>
      <c r="C17" s="3" t="n">
        <v>950</v>
      </c>
      <c r="D17" s="3" t="n">
        <v>0.1450381679389312</v>
      </c>
      <c r="E17" s="4" t="inlineStr">
        <is>
          <t>DreamFactory; 2200% growth since launch</t>
        </is>
      </c>
    </row>
    <row r="18">
      <c r="A18" s="2" t="inlineStr">
        <is>
          <t>2026-Q1</t>
        </is>
      </c>
      <c r="B18" s="3" t="n">
        <v>10500</v>
      </c>
      <c r="C18" s="3" t="n">
        <v>3000</v>
      </c>
      <c r="D18" s="3" t="n">
        <v>0.3999999999999999</v>
      </c>
      <c r="E18" s="4" t="inlineStr">
        <is>
          <t>Anthropic confirms 10K+; Registry +407%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Category</t>
        </is>
      </c>
      <c r="B1" s="1" t="inlineStr">
        <is>
          <t>Source</t>
        </is>
      </c>
      <c r="C1" s="1" t="inlineStr">
        <is>
          <t>Method</t>
        </is>
      </c>
      <c r="D1" s="1" t="inlineStr">
        <is>
          <t>Coverage</t>
        </is>
      </c>
      <c r="E1" s="1" t="inlineStr">
        <is>
          <t>Notes</t>
        </is>
      </c>
    </row>
    <row r="2">
      <c r="A2" s="2" t="inlineStr">
        <is>
          <t>GitHub Commits</t>
        </is>
      </c>
      <c r="B2" s="4" t="inlineStr">
        <is>
          <t>GitHub Stats API</t>
        </is>
      </c>
      <c r="C2" s="4" t="inlineStr">
        <is>
          <t>participation endpoint + commits list w/ date filters</t>
        </is>
      </c>
      <c r="D2" s="4" t="inlineStr">
        <is>
          <t>Q3 2024 – Q1 2026</t>
        </is>
      </c>
      <c r="E2" s="4" t="inlineStr">
        <is>
          <t>7 repos in modelcontextprotocol org + github/github-mcp-server</t>
        </is>
      </c>
    </row>
    <row r="3">
      <c r="A3" s="2" t="inlineStr">
        <is>
          <t>npm Downloads</t>
        </is>
      </c>
      <c r="B3" s="4" t="inlineStr">
        <is>
          <t>npm Registry API</t>
        </is>
      </c>
      <c r="C3" s="4" t="inlineStr">
        <is>
          <t>api.npmjs.org/downloads/point and /range endpoints</t>
        </is>
      </c>
      <c r="D3" s="4" t="inlineStr">
        <is>
          <t>Nov 2024 – Mar 2026</t>
        </is>
      </c>
      <c r="E3" s="4" t="inlineStr">
        <is>
          <t>@modelcontextprotocol/sdk + 9 server packages</t>
        </is>
      </c>
    </row>
    <row r="4">
      <c r="A4" s="2" t="inlineStr">
        <is>
          <t>PyPI Downloads</t>
        </is>
      </c>
      <c r="B4" s="4" t="inlineStr">
        <is>
          <t>PyPI Stats API</t>
        </is>
      </c>
      <c r="C4" s="4" t="inlineStr">
        <is>
          <t>pypistats.org/api w/o mirrors</t>
        </is>
      </c>
      <c r="D4" s="4" t="inlineStr">
        <is>
          <t>Oct 2025 – Apr 2026</t>
        </is>
      </c>
      <c r="E4" s="4" t="inlineStr">
        <is>
          <t>mcp package; earlier data not in pypistats</t>
        </is>
      </c>
    </row>
    <row r="5">
      <c r="A5" s="2" t="inlineStr">
        <is>
          <t>MCP Server Count</t>
        </is>
      </c>
      <c r="B5" s="4" t="inlineStr">
        <is>
          <t>Multiple directories</t>
        </is>
      </c>
      <c r="C5" s="4" t="inlineStr">
        <is>
          <t>Glama, Pulse MCP, Bloomberry, DreamFactory, Anthropic</t>
        </is>
      </c>
      <c r="D5" s="4" t="inlineStr">
        <is>
          <t>Nov 2024 – Mar 2026</t>
        </is>
      </c>
      <c r="E5" s="4" t="inlineStr">
        <is>
          <t>End-of-quarter snapshots; estimates for some quarters</t>
        </is>
      </c>
    </row>
    <row r="6">
      <c r="A6" s="2" t="inlineStr">
        <is>
          <t>GitHub Stars</t>
        </is>
      </c>
      <c r="B6" s="4" t="inlineStr">
        <is>
          <t>GitHub API</t>
        </is>
      </c>
      <c r="C6" s="4" t="inlineStr">
        <is>
          <t>Current values exact; historical interpolated</t>
        </is>
      </c>
      <c r="D6" s="4" t="inlineStr">
        <is>
          <t>Nov 2024 – Apr 2026</t>
        </is>
      </c>
      <c r="E6" s="4" t="inlineStr">
        <is>
          <t>Only Q1 2026 is exact API reading</t>
        </is>
      </c>
    </row>
    <row r="7">
      <c r="A7" s="2" t="inlineStr">
        <is>
          <t>Daily Token Volume</t>
        </is>
      </c>
      <c r="B7" s="4" t="inlineStr">
        <is>
          <t>a16z/OpenRouter, Google, OpenAI</t>
        </is>
      </c>
      <c r="C7" s="4" t="inlineStr">
        <is>
          <t>Published figures + industry estimates</t>
        </is>
      </c>
      <c r="D7" s="4" t="inlineStr">
        <is>
          <t>2022 – Q1 2026</t>
        </is>
      </c>
      <c r="E7" s="4" t="inlineStr">
        <is>
          <t>Industry-wide aggregate; pre-2024 are estimates</t>
        </is>
      </c>
    </row>
    <row r="8">
      <c r="A8" s="2" t="inlineStr">
        <is>
          <t>Training vs Inference</t>
        </is>
      </c>
      <c r="B8" s="4" t="inlineStr">
        <is>
          <t>Oplexa, GPUnex, Deloitte, Epoch AI</t>
        </is>
      </c>
      <c r="C8" s="4" t="inlineStr">
        <is>
          <t>Published analyses of compute allocation</t>
        </is>
      </c>
      <c r="D8" s="4" t="inlineStr">
        <is>
          <t>2022 – Q1 2026</t>
        </is>
      </c>
      <c r="E8" s="4" t="inlineStr">
        <is>
          <t>Annual figures interpolated to quarterly</t>
        </is>
      </c>
    </row>
    <row r="9">
      <c r="A9" s="2" t="inlineStr">
        <is>
          <t>Hyperscaler Capex</t>
        </is>
      </c>
      <c r="B9" s="4" t="inlineStr">
        <is>
          <t>Epoch AI (SEC EDGAR filings)</t>
        </is>
      </c>
      <c r="C9" s="4" t="inlineStr">
        <is>
          <t>XBRL extraction from 10-Q/10-K filings</t>
        </is>
      </c>
      <c r="D9" s="4" t="inlineStr">
        <is>
          <t>Q1 2022 – Q4 2025</t>
        </is>
      </c>
      <c r="E9" s="4" t="inlineStr">
        <is>
          <t>Amazon+Microsoft+Alphabet+Meta+Oracle; Q1 2026 projected</t>
        </is>
      </c>
    </row>
    <row r="10">
      <c r="A10" s="2" t="inlineStr">
        <is>
          <t>LLM Revenue (OpenAI)</t>
        </is>
      </c>
      <c r="B10" s="4" t="inlineStr">
        <is>
          <t>Reuters, The Information, OpenAI press</t>
        </is>
      </c>
      <c r="C10" s="4" t="inlineStr">
        <is>
          <t>ARR milestones from published reports</t>
        </is>
      </c>
      <c r="D10" s="4" t="inlineStr">
        <is>
          <t>2022 – Q1 2026</t>
        </is>
      </c>
      <c r="E10" s="4" t="inlineStr">
        <is>
          <t>$3.5M (2020) → $25B ARR (Feb 2026)</t>
        </is>
      </c>
    </row>
    <row r="11">
      <c r="A11" s="2" t="inlineStr">
        <is>
          <t>LLM Revenue (Anthropic)</t>
        </is>
      </c>
      <c r="B11" s="4" t="inlineStr">
        <is>
          <t>SaaStr, Reuters, Bloomberg</t>
        </is>
      </c>
      <c r="C11" s="4" t="inlineStr">
        <is>
          <t>ARR milestones from funding/press reports</t>
        </is>
      </c>
      <c r="D11" s="4" t="inlineStr">
        <is>
          <t>2023 – Q1 2026</t>
        </is>
      </c>
      <c r="E11" s="4" t="inlineStr">
        <is>
          <t>$100M ARR (Sep 2023) → $19B ARR (Mar 2026)</t>
        </is>
      </c>
    </row>
    <row r="12">
      <c r="A12" s="2" t="inlineStr">
        <is>
          <t>LLM Revenue (Google Cloud AI)</t>
        </is>
      </c>
      <c r="B12" s="4" t="inlineStr">
        <is>
          <t>Alphabet SEC filings, earnings calls</t>
        </is>
      </c>
      <c r="C12" s="4" t="inlineStr">
        <is>
          <t>Google Cloud quarterly rev × est AI portion</t>
        </is>
      </c>
      <c r="D12" s="4" t="inlineStr">
        <is>
          <t>2022 – Q1 2026</t>
        </is>
      </c>
      <c r="E12" s="4" t="inlineStr">
        <is>
          <t>AI portion estimated at 5-20% of Cloud rev</t>
        </is>
      </c>
    </row>
    <row r="13">
      <c r="A13" s="2" t="inlineStr">
        <is>
          <t>LLM Revenue (Azure AI)</t>
        </is>
      </c>
      <c r="B13" s="4" t="inlineStr">
        <is>
          <t>Microsoft annual reports, earnings</t>
        </is>
      </c>
      <c r="C13" s="4" t="inlineStr">
        <is>
          <t>Azure AI run-rate from earnings commentary</t>
        </is>
      </c>
      <c r="D13" s="4" t="inlineStr">
        <is>
          <t>2022 – Q1 2026</t>
        </is>
      </c>
      <c r="E13" s="4" t="inlineStr">
        <is>
          <t>$4.7B RR (YE2024) → $13B RR (YE2025)</t>
        </is>
      </c>
    </row>
    <row r="14">
      <c r="A14" s="2" t="inlineStr">
        <is>
          <t>LLM Revenue (Others)</t>
        </is>
      </c>
      <c r="B14" s="4" t="inlineStr">
        <is>
          <t>CB Insights, Crunchbase, press reports</t>
        </is>
      </c>
      <c r="C14" s="4" t="inlineStr">
        <is>
          <t>ARR milestones from various sources</t>
        </is>
      </c>
      <c r="D14" s="4" t="inlineStr">
        <is>
          <t>2023 – Q1 2026</t>
        </is>
      </c>
      <c r="E14" s="4" t="inlineStr">
        <is>
          <t>Mistral, Cohere, xAI, DeepSeek, AWS Bedrock</t>
        </is>
      </c>
    </row>
    <row r="15">
      <c r="A15" s="2" t="inlineStr">
        <is>
          <t>LLM GitHub Commits</t>
        </is>
      </c>
      <c r="B15" s="4" t="inlineStr">
        <is>
          <t>GitHub Stats API</t>
        </is>
      </c>
      <c r="C15" s="4" t="inlineStr">
        <is>
          <t>commits list API with date range filters</t>
        </is>
      </c>
      <c r="D15" s="4" t="inlineStr">
        <is>
          <t>Q1 2022 – Q1 2026</t>
        </is>
      </c>
      <c r="E15" s="4" t="inlineStr">
        <is>
          <t>14 repos across 8 providers</t>
        </is>
      </c>
    </row>
    <row r="16">
      <c r="A16" s="2" t="inlineStr">
        <is>
          <t>Token Usage by Provider</t>
        </is>
      </c>
      <c r="B16" s="4" t="inlineStr">
        <is>
          <t>Google/OpenAI earnings, a16z/OpenRouter</t>
        </is>
      </c>
      <c r="C16" s="4" t="inlineStr">
        <is>
          <t>Published provider volumes + mkt share estimates</t>
        </is>
      </c>
      <c r="D16" s="4" t="inlineStr">
        <is>
          <t>2022 – Q1 2026</t>
        </is>
      </c>
      <c r="E16" s="4" t="inlineStr">
        <is>
          <t>Estimates; Google disclosed 1.3Q/mo, OpenAI 8.6T/day</t>
        </is>
      </c>
    </row>
    <row r="17">
      <c r="A17" s="2" t="inlineStr">
        <is>
          <t>Enterprise Mkt Share</t>
        </is>
      </c>
      <c r="B17" s="4" t="inlineStr">
        <is>
          <t>Menlo Ventures LLM reports</t>
        </is>
      </c>
      <c r="C17" s="4" t="inlineStr">
        <is>
          <t>Enterprise API spend surveys</t>
        </is>
      </c>
      <c r="D17" s="4" t="inlineStr">
        <is>
          <t>2023 – mid 2025</t>
        </is>
      </c>
      <c r="E17" s="4" t="inlineStr">
        <is>
          <t>Dollar-weighted market share</t>
        </is>
      </c>
    </row>
    <row r="18">
      <c r="A18" s="2" t="inlineStr">
        <is>
          <t>GitHub Platform Activity</t>
        </is>
      </c>
      <c r="B18" s="4" t="inlineStr">
        <is>
          <t>GitHub Innovation Graph + Octoverse</t>
        </is>
      </c>
      <c r="C18" s="4" t="inlineStr">
        <is>
          <t>github/innovationgraph CSV data (git_pushes, developers, repos)</t>
        </is>
      </c>
      <c r="D18" s="4" t="inlineStr">
        <is>
          <t>Q1 2020 – Q3 2025 official; Q4 2025, Q1 2026 estimated</t>
        </is>
      </c>
      <c r="E18" s="4" t="inlineStr">
        <is>
          <t>Git pushes ≈ commits proxy; Q4 2025 derived from Octoverse annual total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B0F0"/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Quarter</t>
        </is>
      </c>
      <c r="B1" s="1" t="inlineStr">
        <is>
          <t>OpenAI</t>
        </is>
      </c>
      <c r="C1" s="1" t="inlineStr">
        <is>
          <t>Anthropic</t>
        </is>
      </c>
      <c r="D1" s="1" t="inlineStr">
        <is>
          <t>Google Cloud
(AI portion est.)</t>
        </is>
      </c>
      <c r="E1" s="1" t="inlineStr">
        <is>
          <t>Microsoft
Azure AI</t>
        </is>
      </c>
      <c r="F1" s="1" t="inlineStr">
        <is>
          <t>Meta / Llama
(ad-AI rev est.)</t>
        </is>
      </c>
      <c r="G1" s="1" t="inlineStr">
        <is>
          <t>Mistral AI</t>
        </is>
      </c>
      <c r="H1" s="1" t="inlineStr">
        <is>
          <t>Cohere</t>
        </is>
      </c>
      <c r="I1" s="1" t="inlineStr">
        <is>
          <t>xAI / Grok</t>
        </is>
      </c>
      <c r="J1" s="1" t="inlineStr">
        <is>
          <t>DeepSeek</t>
        </is>
      </c>
      <c r="K1" s="1" t="inlineStr">
        <is>
          <t>AWS Bedrock
(AI portion est.)</t>
        </is>
      </c>
      <c r="L1" s="1" t="inlineStr">
        <is>
          <t>Total LLM
ARR ($M)</t>
        </is>
      </c>
    </row>
    <row r="2">
      <c r="A2" s="2" t="inlineStr">
        <is>
          <t>2022-Q1</t>
        </is>
      </c>
      <c r="B2" s="3" t="n">
        <v>0</v>
      </c>
      <c r="C2" s="3" t="n">
        <v>0</v>
      </c>
      <c r="D2" s="3" t="n">
        <v>200</v>
      </c>
      <c r="E2" s="3" t="n">
        <v>100</v>
      </c>
      <c r="F2" s="3" t="n">
        <v>500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800</v>
      </c>
    </row>
    <row r="3">
      <c r="A3" s="2" t="inlineStr">
        <is>
          <t>2022-Q2</t>
        </is>
      </c>
      <c r="B3" s="3" t="n">
        <v>0</v>
      </c>
      <c r="C3" s="3" t="n">
        <v>0</v>
      </c>
      <c r="D3" s="3" t="n">
        <v>250</v>
      </c>
      <c r="E3" s="3" t="n">
        <v>120</v>
      </c>
      <c r="F3" s="3" t="n">
        <v>600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970</v>
      </c>
    </row>
    <row r="4">
      <c r="A4" s="2" t="inlineStr">
        <is>
          <t>2022-Q3</t>
        </is>
      </c>
      <c r="B4" s="3" t="n">
        <v>0</v>
      </c>
      <c r="C4" s="3" t="n">
        <v>0</v>
      </c>
      <c r="D4" s="3" t="n">
        <v>300</v>
      </c>
      <c r="E4" s="3" t="n">
        <v>150</v>
      </c>
      <c r="F4" s="3" t="n">
        <v>700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1150</v>
      </c>
    </row>
    <row r="5">
      <c r="A5" s="2" t="inlineStr">
        <is>
          <t>2022-Q4</t>
        </is>
      </c>
      <c r="B5" s="3" t="n">
        <v>3</v>
      </c>
      <c r="C5" s="3" t="n">
        <v>0</v>
      </c>
      <c r="D5" s="3" t="n">
        <v>350</v>
      </c>
      <c r="E5" s="3" t="n">
        <v>200</v>
      </c>
      <c r="F5" s="3" t="n">
        <v>800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1353</v>
      </c>
    </row>
    <row r="6">
      <c r="A6" s="2" t="inlineStr">
        <is>
          <t>2023-Q1</t>
        </is>
      </c>
      <c r="B6" s="3" t="n">
        <v>15</v>
      </c>
      <c r="C6" s="3" t="n">
        <v>0</v>
      </c>
      <c r="D6" s="3" t="n">
        <v>400</v>
      </c>
      <c r="E6" s="3" t="n">
        <v>300</v>
      </c>
      <c r="F6" s="3" t="n">
        <v>1000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1715</v>
      </c>
    </row>
    <row r="7">
      <c r="A7" s="2" t="inlineStr">
        <is>
          <t>2023-Q2</t>
        </is>
      </c>
      <c r="B7" s="3" t="n">
        <v>50</v>
      </c>
      <c r="C7" s="3" t="n">
        <v>0</v>
      </c>
      <c r="D7" s="3" t="n">
        <v>500</v>
      </c>
      <c r="E7" s="3" t="n">
        <v>500</v>
      </c>
      <c r="F7" s="3" t="n">
        <v>1200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2250</v>
      </c>
    </row>
    <row r="8">
      <c r="A8" s="2" t="inlineStr">
        <is>
          <t>2023-Q3</t>
        </is>
      </c>
      <c r="B8" s="3" t="n">
        <v>100</v>
      </c>
      <c r="C8" s="3" t="n">
        <v>10</v>
      </c>
      <c r="D8" s="3" t="n">
        <v>650</v>
      </c>
      <c r="E8" s="3" t="n">
        <v>800</v>
      </c>
      <c r="F8" s="3" t="n">
        <v>1500</v>
      </c>
      <c r="G8" s="3" t="n">
        <v>0</v>
      </c>
      <c r="H8" s="3" t="n">
        <v>10</v>
      </c>
      <c r="I8" s="3" t="n">
        <v>0</v>
      </c>
      <c r="J8" s="3" t="n">
        <v>0</v>
      </c>
      <c r="K8" s="3" t="n">
        <v>0</v>
      </c>
      <c r="L8" s="3" t="n">
        <v>3070</v>
      </c>
    </row>
    <row r="9">
      <c r="A9" s="2" t="inlineStr">
        <is>
          <t>2023-Q4</t>
        </is>
      </c>
      <c r="B9" s="3" t="n">
        <v>400</v>
      </c>
      <c r="C9" s="3" t="n">
        <v>100</v>
      </c>
      <c r="D9" s="3" t="n">
        <v>800</v>
      </c>
      <c r="E9" s="3" t="n">
        <v>1200</v>
      </c>
      <c r="F9" s="3" t="n">
        <v>2000</v>
      </c>
      <c r="G9" s="3" t="n">
        <v>0</v>
      </c>
      <c r="H9" s="3" t="n">
        <v>20</v>
      </c>
      <c r="I9" s="3" t="n">
        <v>0</v>
      </c>
      <c r="J9" s="3" t="n">
        <v>0</v>
      </c>
      <c r="K9" s="3" t="n">
        <v>50</v>
      </c>
      <c r="L9" s="3" t="n">
        <v>4570</v>
      </c>
    </row>
    <row r="10">
      <c r="A10" s="2" t="inlineStr">
        <is>
          <t>2024-Q1</t>
        </is>
      </c>
      <c r="B10" s="3" t="n">
        <v>600</v>
      </c>
      <c r="C10" s="3" t="n">
        <v>150</v>
      </c>
      <c r="D10" s="3" t="n">
        <v>1000</v>
      </c>
      <c r="E10" s="3" t="n">
        <v>2000</v>
      </c>
      <c r="F10" s="3" t="n">
        <v>3000</v>
      </c>
      <c r="G10" s="3" t="n">
        <v>0</v>
      </c>
      <c r="H10" s="3" t="n">
        <v>30</v>
      </c>
      <c r="I10" s="3" t="n">
        <v>0</v>
      </c>
      <c r="J10" s="3" t="n">
        <v>0</v>
      </c>
      <c r="K10" s="3" t="n">
        <v>100</v>
      </c>
      <c r="L10" s="3" t="n">
        <v>6880</v>
      </c>
    </row>
    <row r="11">
      <c r="A11" s="2" t="inlineStr">
        <is>
          <t>2024-Q2</t>
        </is>
      </c>
      <c r="B11" s="3" t="n">
        <v>850</v>
      </c>
      <c r="C11" s="3" t="n">
        <v>250</v>
      </c>
      <c r="D11" s="3" t="n">
        <v>1300</v>
      </c>
      <c r="E11" s="3" t="n">
        <v>3000</v>
      </c>
      <c r="F11" s="3" t="n">
        <v>4000</v>
      </c>
      <c r="G11" s="3" t="n">
        <v>0</v>
      </c>
      <c r="H11" s="3" t="n">
        <v>50</v>
      </c>
      <c r="I11" s="3" t="n">
        <v>0</v>
      </c>
      <c r="J11" s="3" t="n">
        <v>0</v>
      </c>
      <c r="K11" s="3" t="n">
        <v>200</v>
      </c>
      <c r="L11" s="3" t="n">
        <v>9650</v>
      </c>
    </row>
    <row r="12">
      <c r="A12" s="2" t="inlineStr">
        <is>
          <t>2024-Q3</t>
        </is>
      </c>
      <c r="B12" s="3" t="n">
        <v>1300</v>
      </c>
      <c r="C12" s="3" t="n">
        <v>400</v>
      </c>
      <c r="D12" s="3" t="n">
        <v>1800</v>
      </c>
      <c r="E12" s="3" t="n">
        <v>4000</v>
      </c>
      <c r="F12" s="3" t="n">
        <v>5000</v>
      </c>
      <c r="G12" s="3" t="n">
        <v>5</v>
      </c>
      <c r="H12" s="3" t="n">
        <v>70</v>
      </c>
      <c r="I12" s="3" t="n">
        <v>0</v>
      </c>
      <c r="J12" s="3" t="n">
        <v>0</v>
      </c>
      <c r="K12" s="3" t="n">
        <v>400</v>
      </c>
      <c r="L12" s="3" t="n">
        <v>12975</v>
      </c>
    </row>
    <row r="13">
      <c r="A13" s="2" t="inlineStr">
        <is>
          <t>2024-Q4</t>
        </is>
      </c>
      <c r="B13" s="3" t="n">
        <v>1800</v>
      </c>
      <c r="C13" s="3" t="n">
        <v>700</v>
      </c>
      <c r="D13" s="3" t="n">
        <v>2500</v>
      </c>
      <c r="E13" s="3" t="n">
        <v>4700</v>
      </c>
      <c r="F13" s="3" t="n">
        <v>7000</v>
      </c>
      <c r="G13" s="3" t="n">
        <v>10</v>
      </c>
      <c r="H13" s="3" t="n">
        <v>100</v>
      </c>
      <c r="I13" s="3" t="n">
        <v>25</v>
      </c>
      <c r="J13" s="3" t="n">
        <v>10</v>
      </c>
      <c r="K13" s="3" t="n">
        <v>600</v>
      </c>
      <c r="L13" s="3" t="n">
        <v>17445</v>
      </c>
    </row>
    <row r="14">
      <c r="A14" s="2" t="inlineStr">
        <is>
          <t>2025-Q1</t>
        </is>
      </c>
      <c r="B14" s="3" t="n">
        <v>3500</v>
      </c>
      <c r="C14" s="3" t="n">
        <v>1000</v>
      </c>
      <c r="D14" s="3" t="n">
        <v>3500</v>
      </c>
      <c r="E14" s="3" t="n">
        <v>6000</v>
      </c>
      <c r="F14" s="3" t="n">
        <v>10000</v>
      </c>
      <c r="G14" s="3" t="n">
        <v>20</v>
      </c>
      <c r="H14" s="3" t="n">
        <v>120</v>
      </c>
      <c r="I14" s="3" t="n">
        <v>50</v>
      </c>
      <c r="J14" s="3" t="n">
        <v>50</v>
      </c>
      <c r="K14" s="3" t="n">
        <v>1000</v>
      </c>
      <c r="L14" s="3" t="n">
        <v>25240</v>
      </c>
    </row>
    <row r="15">
      <c r="A15" s="2" t="inlineStr">
        <is>
          <t>2025-Q2</t>
        </is>
      </c>
      <c r="B15" s="3" t="n">
        <v>5000</v>
      </c>
      <c r="C15" s="3" t="n">
        <v>2000</v>
      </c>
      <c r="D15" s="3" t="n">
        <v>5000</v>
      </c>
      <c r="E15" s="3" t="n">
        <v>8000</v>
      </c>
      <c r="F15" s="3" t="n">
        <v>13000</v>
      </c>
      <c r="G15" s="3" t="n">
        <v>50</v>
      </c>
      <c r="H15" s="3" t="n">
        <v>150</v>
      </c>
      <c r="I15" s="3" t="n">
        <v>75</v>
      </c>
      <c r="J15" s="3" t="n">
        <v>100</v>
      </c>
      <c r="K15" s="3" t="n">
        <v>1500</v>
      </c>
      <c r="L15" s="3" t="n">
        <v>34875</v>
      </c>
    </row>
    <row r="16">
      <c r="A16" s="2" t="inlineStr">
        <is>
          <t>2025-Q3</t>
        </is>
      </c>
      <c r="B16" s="3" t="n">
        <v>8500</v>
      </c>
      <c r="C16" s="3" t="n">
        <v>4000</v>
      </c>
      <c r="D16" s="3" t="n">
        <v>7000</v>
      </c>
      <c r="E16" s="3" t="n">
        <v>10000</v>
      </c>
      <c r="F16" s="3" t="n">
        <v>16000</v>
      </c>
      <c r="G16" s="3" t="n">
        <v>150</v>
      </c>
      <c r="H16" s="3" t="n">
        <v>200</v>
      </c>
      <c r="I16" s="3" t="n">
        <v>107</v>
      </c>
      <c r="J16" s="3" t="n">
        <v>200</v>
      </c>
      <c r="K16" s="3" t="n">
        <v>2500</v>
      </c>
      <c r="L16" s="3" t="n">
        <v>48657</v>
      </c>
    </row>
    <row r="17">
      <c r="A17" s="2" t="inlineStr">
        <is>
          <t>2025-Q4</t>
        </is>
      </c>
      <c r="B17" s="3" t="n">
        <v>12700</v>
      </c>
      <c r="C17" s="3" t="n">
        <v>9000</v>
      </c>
      <c r="D17" s="3" t="n">
        <v>10000</v>
      </c>
      <c r="E17" s="3" t="n">
        <v>13000</v>
      </c>
      <c r="F17" s="3" t="n">
        <v>20000</v>
      </c>
      <c r="G17" s="3" t="n">
        <v>300</v>
      </c>
      <c r="H17" s="3" t="n">
        <v>240</v>
      </c>
      <c r="I17" s="3" t="n">
        <v>200</v>
      </c>
      <c r="J17" s="3" t="n">
        <v>500</v>
      </c>
      <c r="K17" s="3" t="n">
        <v>4000</v>
      </c>
      <c r="L17" s="3" t="n">
        <v>69940</v>
      </c>
    </row>
    <row r="18">
      <c r="A18" s="2" t="inlineStr">
        <is>
          <t>2026-Q1</t>
        </is>
      </c>
      <c r="B18" s="3" t="n">
        <v>20000</v>
      </c>
      <c r="C18" s="3" t="n">
        <v>19000</v>
      </c>
      <c r="D18" s="3" t="n">
        <v>15000</v>
      </c>
      <c r="E18" s="3" t="n">
        <v>18000</v>
      </c>
      <c r="F18" s="3" t="n">
        <v>25000</v>
      </c>
      <c r="G18" s="3" t="n">
        <v>400</v>
      </c>
      <c r="H18" s="3" t="n">
        <v>300</v>
      </c>
      <c r="I18" s="3" t="n">
        <v>500</v>
      </c>
      <c r="J18" s="3" t="n">
        <v>800</v>
      </c>
      <c r="K18" s="3" t="n">
        <v>6000</v>
      </c>
      <c r="L18" s="3" t="n">
        <v>105000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FF0066"/>
    <outlinePr summaryBelow="1" summaryRight="1"/>
    <pageSetUpPr/>
  </sheetPr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Quarter</t>
        </is>
      </c>
      <c r="B1" s="1" t="inlineStr">
        <is>
          <t>OpenAI
(openai-python
+tiktoken+whisper)</t>
        </is>
      </c>
      <c r="C1" s="1" t="inlineStr">
        <is>
          <t>Anthropic
(sdk-python
+claude-code)</t>
        </is>
      </c>
      <c r="D1" s="1" t="inlineStr">
        <is>
          <t>Meta / Llama
(llama+llama3
+llama-models)</t>
        </is>
      </c>
      <c r="E1" s="1" t="inlineStr">
        <is>
          <t>Google
(genai-python)</t>
        </is>
      </c>
      <c r="F1" s="1" t="inlineStr">
        <is>
          <t>Mistral AI
(mistral-inference
+mistral-common)</t>
        </is>
      </c>
      <c r="G1" s="1" t="inlineStr">
        <is>
          <t>DeepSeek
(V3+R1)</t>
        </is>
      </c>
      <c r="H1" s="1" t="inlineStr">
        <is>
          <t>xAI / Grok
(grok-1)</t>
        </is>
      </c>
      <c r="I1" s="1" t="inlineStr">
        <is>
          <t>Cohere
(cohere-python)</t>
        </is>
      </c>
      <c r="J1" s="1" t="inlineStr">
        <is>
          <t>Total LLM
Commits</t>
        </is>
      </c>
    </row>
    <row r="2">
      <c r="A2" s="2" t="inlineStr">
        <is>
          <t>2022-Q1</t>
        </is>
      </c>
      <c r="B2" s="3" t="n">
        <v>19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11</v>
      </c>
      <c r="J2" s="3" t="n">
        <v>30</v>
      </c>
    </row>
    <row r="3">
      <c r="A3" s="2" t="inlineStr">
        <is>
          <t>2022-Q2</t>
        </is>
      </c>
      <c r="B3" s="3" t="n">
        <v>12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17</v>
      </c>
      <c r="J3" s="3" t="n">
        <v>29</v>
      </c>
    </row>
    <row r="4">
      <c r="A4" s="2" t="inlineStr">
        <is>
          <t>2022-Q3</t>
        </is>
      </c>
      <c r="B4" s="3" t="n">
        <v>44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18</v>
      </c>
      <c r="J4" s="3" t="n">
        <v>62</v>
      </c>
    </row>
    <row r="5">
      <c r="A5" s="2" t="inlineStr">
        <is>
          <t>2022-Q4</t>
        </is>
      </c>
      <c r="B5" s="3" t="n">
        <v>36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21</v>
      </c>
      <c r="J5" s="3" t="n">
        <v>57</v>
      </c>
    </row>
    <row r="6">
      <c r="A6" s="2" t="inlineStr">
        <is>
          <t>2023-Q1</t>
        </is>
      </c>
      <c r="B6" s="3" t="n">
        <v>111</v>
      </c>
      <c r="C6" s="3" t="n">
        <v>15</v>
      </c>
      <c r="D6" s="3" t="n">
        <v>11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51</v>
      </c>
      <c r="J6" s="3" t="n">
        <v>188</v>
      </c>
    </row>
    <row r="7">
      <c r="A7" s="2" t="inlineStr">
        <is>
          <t>2023-Q2</t>
        </is>
      </c>
      <c r="B7" s="3" t="n">
        <v>46</v>
      </c>
      <c r="C7" s="3" t="n">
        <v>17</v>
      </c>
      <c r="D7" s="3" t="n">
        <v>0</v>
      </c>
      <c r="E7" s="3" t="n">
        <v>47</v>
      </c>
      <c r="F7" s="3" t="n">
        <v>0</v>
      </c>
      <c r="G7" s="3" t="n">
        <v>0</v>
      </c>
      <c r="H7" s="3" t="n">
        <v>0</v>
      </c>
      <c r="I7" s="3" t="n">
        <v>35</v>
      </c>
      <c r="J7" s="3" t="n">
        <v>145</v>
      </c>
    </row>
    <row r="8">
      <c r="A8" s="2" t="inlineStr">
        <is>
          <t>2023-Q3</t>
        </is>
      </c>
      <c r="B8" s="3" t="n">
        <v>32</v>
      </c>
      <c r="C8" s="3" t="n">
        <v>61</v>
      </c>
      <c r="D8" s="3" t="n">
        <v>88</v>
      </c>
      <c r="E8" s="3" t="n">
        <v>14</v>
      </c>
      <c r="F8" s="3" t="n">
        <v>10</v>
      </c>
      <c r="G8" s="3" t="n">
        <v>0</v>
      </c>
      <c r="H8" s="3" t="n">
        <v>0</v>
      </c>
      <c r="I8" s="3" t="n">
        <v>43</v>
      </c>
      <c r="J8" s="3" t="n">
        <v>248</v>
      </c>
    </row>
    <row r="9">
      <c r="A9" s="2" t="inlineStr">
        <is>
          <t>2023-Q4</t>
        </is>
      </c>
      <c r="B9" s="3" t="n">
        <v>132</v>
      </c>
      <c r="C9" s="3" t="n">
        <v>130</v>
      </c>
      <c r="D9" s="3" t="n">
        <v>23</v>
      </c>
      <c r="E9" s="3" t="n">
        <v>40</v>
      </c>
      <c r="F9" s="3" t="n">
        <v>32</v>
      </c>
      <c r="G9" s="3" t="n">
        <v>0</v>
      </c>
      <c r="H9" s="3" t="n">
        <v>0</v>
      </c>
      <c r="I9" s="3" t="n">
        <v>28</v>
      </c>
      <c r="J9" s="3" t="n">
        <v>385</v>
      </c>
    </row>
    <row r="10">
      <c r="A10" s="2" t="inlineStr">
        <is>
          <t>2024-Q1</t>
        </is>
      </c>
      <c r="B10" s="3" t="n">
        <v>109</v>
      </c>
      <c r="C10" s="3" t="n">
        <v>95</v>
      </c>
      <c r="D10" s="3" t="n">
        <v>19</v>
      </c>
      <c r="E10" s="3" t="n">
        <v>44</v>
      </c>
      <c r="F10" s="3" t="n">
        <v>1</v>
      </c>
      <c r="G10" s="3" t="n">
        <v>0</v>
      </c>
      <c r="H10" s="3" t="n">
        <v>9</v>
      </c>
      <c r="I10" s="3" t="n">
        <v>73</v>
      </c>
      <c r="J10" s="3" t="n">
        <v>350</v>
      </c>
    </row>
    <row r="11">
      <c r="A11" s="2" t="inlineStr">
        <is>
          <t>2024-Q2</t>
        </is>
      </c>
      <c r="B11" s="3" t="n">
        <v>129</v>
      </c>
      <c r="C11" s="3" t="n">
        <v>105</v>
      </c>
      <c r="D11" s="3" t="n">
        <v>127</v>
      </c>
      <c r="E11" s="3" t="n">
        <v>71</v>
      </c>
      <c r="F11" s="3" t="n">
        <v>46</v>
      </c>
      <c r="G11" s="3" t="n">
        <v>0</v>
      </c>
      <c r="H11" s="3" t="n">
        <v>0</v>
      </c>
      <c r="I11" s="3" t="n">
        <v>40</v>
      </c>
      <c r="J11" s="3" t="n">
        <v>518</v>
      </c>
    </row>
    <row r="12">
      <c r="A12" s="2" t="inlineStr">
        <is>
          <t>2024-Q3</t>
        </is>
      </c>
      <c r="B12" s="3" t="n">
        <v>138</v>
      </c>
      <c r="C12" s="3" t="n">
        <v>68</v>
      </c>
      <c r="D12" s="3" t="n">
        <v>120</v>
      </c>
      <c r="E12" s="3" t="n">
        <v>86</v>
      </c>
      <c r="F12" s="3" t="n">
        <v>57</v>
      </c>
      <c r="G12" s="3" t="n">
        <v>0</v>
      </c>
      <c r="H12" s="3" t="n">
        <v>0</v>
      </c>
      <c r="I12" s="3" t="n">
        <v>21</v>
      </c>
      <c r="J12" s="3" t="n">
        <v>490</v>
      </c>
    </row>
    <row r="13">
      <c r="A13" s="2" t="inlineStr">
        <is>
          <t>2024-Q4</t>
        </is>
      </c>
      <c r="B13" s="3" t="n">
        <v>105</v>
      </c>
      <c r="C13" s="3" t="n">
        <v>100</v>
      </c>
      <c r="D13" s="3" t="n">
        <v>49</v>
      </c>
      <c r="E13" s="3" t="n">
        <v>12</v>
      </c>
      <c r="F13" s="3" t="n">
        <v>9</v>
      </c>
      <c r="G13" s="3" t="n">
        <v>16</v>
      </c>
      <c r="H13" s="3" t="n">
        <v>0</v>
      </c>
      <c r="I13" s="3" t="n">
        <v>20</v>
      </c>
      <c r="J13" s="3" t="n">
        <v>311</v>
      </c>
    </row>
    <row r="14">
      <c r="A14" s="2" t="inlineStr">
        <is>
          <t>2025-Q1</t>
        </is>
      </c>
      <c r="B14" s="3" t="n">
        <v>143</v>
      </c>
      <c r="C14" s="3" t="n">
        <v>72</v>
      </c>
      <c r="D14" s="3" t="n">
        <v>33</v>
      </c>
      <c r="E14" s="3" t="n">
        <v>16</v>
      </c>
      <c r="F14" s="3" t="n">
        <v>11</v>
      </c>
      <c r="G14" s="3" t="n">
        <v>79</v>
      </c>
      <c r="H14" s="3" t="n">
        <v>0</v>
      </c>
      <c r="I14" s="3" t="n">
        <v>15</v>
      </c>
      <c r="J14" s="3" t="n">
        <v>369</v>
      </c>
    </row>
    <row r="15">
      <c r="A15" s="2" t="inlineStr">
        <is>
          <t>2025-Q2</t>
        </is>
      </c>
      <c r="B15" s="3" t="n">
        <v>119</v>
      </c>
      <c r="C15" s="3" t="n">
        <v>182</v>
      </c>
      <c r="D15" s="3" t="n">
        <v>24</v>
      </c>
      <c r="E15" s="3" t="n">
        <v>3</v>
      </c>
      <c r="F15" s="3" t="n">
        <v>0</v>
      </c>
      <c r="G15" s="3" t="n">
        <v>9</v>
      </c>
      <c r="H15" s="3" t="n">
        <v>0</v>
      </c>
      <c r="I15" s="3" t="n">
        <v>5</v>
      </c>
      <c r="J15" s="3" t="n">
        <v>342</v>
      </c>
    </row>
    <row r="16">
      <c r="A16" s="2" t="inlineStr">
        <is>
          <t>2025-Q3</t>
        </is>
      </c>
      <c r="B16" s="3" t="n">
        <v>143</v>
      </c>
      <c r="C16" s="3" t="n">
        <v>302</v>
      </c>
      <c r="D16" s="3" t="n">
        <v>1</v>
      </c>
      <c r="E16" s="3" t="n">
        <v>1</v>
      </c>
      <c r="F16" s="3" t="n">
        <v>0</v>
      </c>
      <c r="G16" s="3" t="n">
        <v>5</v>
      </c>
      <c r="H16" s="3" t="n">
        <v>0</v>
      </c>
      <c r="I16" s="3" t="n">
        <v>8</v>
      </c>
      <c r="J16" s="3" t="n">
        <v>460</v>
      </c>
    </row>
    <row r="17">
      <c r="A17" s="2" t="inlineStr">
        <is>
          <t>2025-Q4</t>
        </is>
      </c>
      <c r="B17" s="3" t="n">
        <v>76</v>
      </c>
      <c r="C17" s="3" t="n">
        <v>192</v>
      </c>
      <c r="D17" s="3" t="n">
        <v>1</v>
      </c>
      <c r="E17" s="3" t="n">
        <v>1</v>
      </c>
      <c r="F17" s="3" t="n">
        <v>2</v>
      </c>
      <c r="G17" s="3" t="n">
        <v>0</v>
      </c>
      <c r="H17" s="3" t="n">
        <v>0</v>
      </c>
      <c r="I17" s="3" t="n">
        <v>5</v>
      </c>
      <c r="J17" s="3" t="n">
        <v>277</v>
      </c>
    </row>
    <row r="18">
      <c r="A18" s="2" t="inlineStr">
        <is>
          <t>2026-Q1</t>
        </is>
      </c>
      <c r="B18" s="3" t="n">
        <v>89</v>
      </c>
      <c r="C18" s="3" t="n">
        <v>267</v>
      </c>
      <c r="D18" s="3" t="n">
        <v>0</v>
      </c>
      <c r="E18" s="3" t="n">
        <v>0</v>
      </c>
      <c r="F18" s="3" t="n">
        <v>1</v>
      </c>
      <c r="G18" s="3" t="n">
        <v>0</v>
      </c>
      <c r="H18" s="3" t="n">
        <v>0</v>
      </c>
      <c r="I18" s="3" t="n">
        <v>11</v>
      </c>
      <c r="J18" s="3" t="n">
        <v>368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9933FF"/>
    <outlinePr summaryBelow="1" summaryRight="1"/>
    <pageSetUpPr/>
  </sheetPr>
  <dimension ref="A1:I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Quarter</t>
        </is>
      </c>
      <c r="B1" s="1" t="inlineStr">
        <is>
          <t>Google
(Gemini + Search AI)</t>
        </is>
      </c>
      <c r="C1" s="1" t="inlineStr">
        <is>
          <t>OpenAI
(ChatGPT + API)</t>
        </is>
      </c>
      <c r="D1" s="1" t="inlineStr">
        <is>
          <t>Anthropic
(Claude API)</t>
        </is>
      </c>
      <c r="E1" s="1" t="inlineStr">
        <is>
          <t>Meta
(Llama inference)</t>
        </is>
      </c>
      <c r="F1" s="1" t="inlineStr">
        <is>
          <t>AWS
(Bedrock + others)</t>
        </is>
      </c>
      <c r="G1" s="1" t="inlineStr">
        <is>
          <t>DeepSeek +
Chinese OSS</t>
        </is>
      </c>
      <c r="H1" s="1" t="inlineStr">
        <is>
          <t>Other
(Mistral, Cohere,
xAI, Together, etc.)</t>
        </is>
      </c>
      <c r="I1" s="1" t="inlineStr">
        <is>
          <t>Total Daily
Tokens (T)</t>
        </is>
      </c>
    </row>
    <row r="2">
      <c r="A2" s="2" t="inlineStr">
        <is>
          <t>2022-Q1</t>
        </is>
      </c>
      <c r="B2" s="3" t="n">
        <v>0.003</v>
      </c>
      <c r="C2" s="3" t="n">
        <v>0.002</v>
      </c>
      <c r="D2" s="3" t="n">
        <v>0</v>
      </c>
      <c r="E2" s="3" t="n">
        <v>0</v>
      </c>
      <c r="F2" s="3" t="n">
        <v>0.001</v>
      </c>
      <c r="G2" s="3" t="n">
        <v>0</v>
      </c>
      <c r="H2" s="3" t="n">
        <v>0.004</v>
      </c>
      <c r="I2" s="3" t="n">
        <v>0.01</v>
      </c>
    </row>
    <row r="3">
      <c r="A3" s="2" t="inlineStr">
        <is>
          <t>2022-Q2</t>
        </is>
      </c>
      <c r="B3" s="3" t="n">
        <v>0.003</v>
      </c>
      <c r="C3" s="3" t="n">
        <v>0.002</v>
      </c>
      <c r="D3" s="3" t="n">
        <v>0</v>
      </c>
      <c r="E3" s="3" t="n">
        <v>0</v>
      </c>
      <c r="F3" s="3" t="n">
        <v>0.001</v>
      </c>
      <c r="G3" s="3" t="n">
        <v>0</v>
      </c>
      <c r="H3" s="3" t="n">
        <v>0.004</v>
      </c>
      <c r="I3" s="3" t="n">
        <v>0.01</v>
      </c>
    </row>
    <row r="4">
      <c r="A4" s="2" t="inlineStr">
        <is>
          <t>2022-Q3</t>
        </is>
      </c>
      <c r="B4" s="3" t="n">
        <v>0.005</v>
      </c>
      <c r="C4" s="3" t="n">
        <v>0.005</v>
      </c>
      <c r="D4" s="3" t="n">
        <v>0</v>
      </c>
      <c r="E4" s="3" t="n">
        <v>0</v>
      </c>
      <c r="F4" s="3" t="n">
        <v>0.002</v>
      </c>
      <c r="G4" s="3" t="n">
        <v>0</v>
      </c>
      <c r="H4" s="3" t="n">
        <v>0.008</v>
      </c>
      <c r="I4" s="3" t="n">
        <v>0.02</v>
      </c>
    </row>
    <row r="5">
      <c r="A5" s="2" t="inlineStr">
        <is>
          <t>2022-Q4</t>
        </is>
      </c>
      <c r="B5" s="3" t="n">
        <v>0.008</v>
      </c>
      <c r="C5" s="3" t="n">
        <v>0.01</v>
      </c>
      <c r="D5" s="3" t="n">
        <v>0</v>
      </c>
      <c r="E5" s="3" t="n">
        <v>0</v>
      </c>
      <c r="F5" s="3" t="n">
        <v>0.003</v>
      </c>
      <c r="G5" s="3" t="n">
        <v>0</v>
      </c>
      <c r="H5" s="3" t="n">
        <v>0.012</v>
      </c>
      <c r="I5" s="3" t="n">
        <v>0.033</v>
      </c>
    </row>
    <row r="6">
      <c r="A6" s="2" t="inlineStr">
        <is>
          <t>2023-Q1</t>
        </is>
      </c>
      <c r="B6" s="3" t="n">
        <v>0.015</v>
      </c>
      <c r="C6" s="3" t="n">
        <v>0.025</v>
      </c>
      <c r="D6" s="3" t="n">
        <v>0</v>
      </c>
      <c r="E6" s="3" t="n">
        <v>0</v>
      </c>
      <c r="F6" s="3" t="n">
        <v>0.005</v>
      </c>
      <c r="G6" s="3" t="n">
        <v>0</v>
      </c>
      <c r="H6" s="3" t="n">
        <v>0.005</v>
      </c>
      <c r="I6" s="3" t="n">
        <v>0.05</v>
      </c>
    </row>
    <row r="7">
      <c r="A7" s="2" t="inlineStr">
        <is>
          <t>2023-Q2</t>
        </is>
      </c>
      <c r="B7" s="3" t="n">
        <v>0.03</v>
      </c>
      <c r="C7" s="3" t="n">
        <v>0.05</v>
      </c>
      <c r="D7" s="3" t="n">
        <v>0.001</v>
      </c>
      <c r="E7" s="3" t="n">
        <v>0</v>
      </c>
      <c r="F7" s="3" t="n">
        <v>0.008</v>
      </c>
      <c r="G7" s="3" t="n">
        <v>0</v>
      </c>
      <c r="H7" s="3" t="n">
        <v>0.011</v>
      </c>
      <c r="I7" s="3" t="n">
        <v>0.1</v>
      </c>
    </row>
    <row r="8">
      <c r="A8" s="2" t="inlineStr">
        <is>
          <t>2023-Q3</t>
        </is>
      </c>
      <c r="B8" s="3" t="n">
        <v>0.04</v>
      </c>
      <c r="C8" s="3" t="n">
        <v>0.08</v>
      </c>
      <c r="D8" s="3" t="n">
        <v>0.003</v>
      </c>
      <c r="E8" s="3" t="n">
        <v>0.005</v>
      </c>
      <c r="F8" s="3" t="n">
        <v>0.012</v>
      </c>
      <c r="G8" s="3" t="n">
        <v>0.002</v>
      </c>
      <c r="H8" s="3" t="n">
        <v>0.02</v>
      </c>
      <c r="I8" s="3" t="n">
        <v>0.162</v>
      </c>
    </row>
    <row r="9">
      <c r="A9" s="2" t="inlineStr">
        <is>
          <t>2023-Q4</t>
        </is>
      </c>
      <c r="B9" s="3" t="n">
        <v>0.06</v>
      </c>
      <c r="C9" s="3" t="n">
        <v>0.15</v>
      </c>
      <c r="D9" s="3" t="n">
        <v>0.005</v>
      </c>
      <c r="E9" s="3" t="n">
        <v>0.01</v>
      </c>
      <c r="F9" s="3" t="n">
        <v>0.02</v>
      </c>
      <c r="G9" s="3" t="n">
        <v>0.005</v>
      </c>
      <c r="H9" s="3" t="n">
        <v>0.03</v>
      </c>
      <c r="I9" s="3" t="n">
        <v>0.28</v>
      </c>
    </row>
    <row r="10">
      <c r="A10" s="2" t="inlineStr">
        <is>
          <t>2024-Q1</t>
        </is>
      </c>
      <c r="B10" s="3" t="n">
        <v>0.1</v>
      </c>
      <c r="C10" s="3" t="n">
        <v>0.25</v>
      </c>
      <c r="D10" s="3" t="n">
        <v>0.01</v>
      </c>
      <c r="E10" s="3" t="n">
        <v>0.02</v>
      </c>
      <c r="F10" s="3" t="n">
        <v>0.03</v>
      </c>
      <c r="G10" s="3" t="n">
        <v>0.01</v>
      </c>
      <c r="H10" s="3" t="n">
        <v>0.03</v>
      </c>
      <c r="I10" s="3" t="n">
        <v>0.45</v>
      </c>
    </row>
    <row r="11">
      <c r="A11" s="2" t="inlineStr">
        <is>
          <t>2024-Q2</t>
        </is>
      </c>
      <c r="B11" s="3" t="n">
        <v>0.2</v>
      </c>
      <c r="C11" s="3" t="n">
        <v>0.35</v>
      </c>
      <c r="D11" s="3" t="n">
        <v>0.02</v>
      </c>
      <c r="E11" s="3" t="n">
        <v>0.04</v>
      </c>
      <c r="F11" s="3" t="n">
        <v>0.05</v>
      </c>
      <c r="G11" s="3" t="n">
        <v>0.02</v>
      </c>
      <c r="H11" s="3" t="n">
        <v>0.04</v>
      </c>
      <c r="I11" s="3" t="n">
        <v>0.72</v>
      </c>
    </row>
    <row r="12">
      <c r="A12" s="2" t="inlineStr">
        <is>
          <t>2024-Q3</t>
        </is>
      </c>
      <c r="B12" s="3" t="n">
        <v>0.35</v>
      </c>
      <c r="C12" s="3" t="n">
        <v>0.45</v>
      </c>
      <c r="D12" s="3" t="n">
        <v>0.04</v>
      </c>
      <c r="E12" s="3" t="n">
        <v>0.06</v>
      </c>
      <c r="F12" s="3" t="n">
        <v>0.08</v>
      </c>
      <c r="G12" s="3" t="n">
        <v>0.03</v>
      </c>
      <c r="H12" s="3" t="n">
        <v>0.06</v>
      </c>
      <c r="I12" s="3" t="n">
        <v>1.07</v>
      </c>
    </row>
    <row r="13">
      <c r="A13" s="2" t="inlineStr">
        <is>
          <t>2024-Q4</t>
        </is>
      </c>
      <c r="B13" s="3" t="n">
        <v>0.55</v>
      </c>
      <c r="C13" s="3" t="n">
        <v>0.7</v>
      </c>
      <c r="D13" s="3" t="n">
        <v>0.08</v>
      </c>
      <c r="E13" s="3" t="n">
        <v>0.1</v>
      </c>
      <c r="F13" s="3" t="n">
        <v>0.12</v>
      </c>
      <c r="G13" s="3" t="n">
        <v>0.05</v>
      </c>
      <c r="H13" s="3" t="n">
        <v>0.1</v>
      </c>
      <c r="I13" s="3" t="n">
        <v>1.7</v>
      </c>
    </row>
    <row r="14">
      <c r="A14" s="2" t="inlineStr">
        <is>
          <t>2025-Q1</t>
        </is>
      </c>
      <c r="B14" s="3" t="n">
        <v>0.9</v>
      </c>
      <c r="C14" s="3" t="n">
        <v>1.2</v>
      </c>
      <c r="D14" s="3" t="n">
        <v>0.15</v>
      </c>
      <c r="E14" s="3" t="n">
        <v>0.15</v>
      </c>
      <c r="F14" s="3" t="n">
        <v>0.2</v>
      </c>
      <c r="G14" s="3" t="n">
        <v>0.1</v>
      </c>
      <c r="H14" s="3" t="n">
        <v>0.15</v>
      </c>
      <c r="I14" s="3" t="n">
        <v>2.85</v>
      </c>
    </row>
    <row r="15">
      <c r="A15" s="2" t="inlineStr">
        <is>
          <t>2025-Q2</t>
        </is>
      </c>
      <c r="B15" s="3" t="n">
        <v>1.5</v>
      </c>
      <c r="C15" s="3" t="n">
        <v>1.8</v>
      </c>
      <c r="D15" s="3" t="n">
        <v>0.25</v>
      </c>
      <c r="E15" s="3" t="n">
        <v>0.25</v>
      </c>
      <c r="F15" s="3" t="n">
        <v>0.3</v>
      </c>
      <c r="G15" s="3" t="n">
        <v>0.2</v>
      </c>
      <c r="H15" s="3" t="n">
        <v>0.2</v>
      </c>
      <c r="I15" s="3" t="n">
        <v>4.5</v>
      </c>
    </row>
    <row r="16">
      <c r="A16" s="2" t="inlineStr">
        <is>
          <t>2025-Q3</t>
        </is>
      </c>
      <c r="B16" s="3" t="n">
        <v>2.2</v>
      </c>
      <c r="C16" s="3" t="n">
        <v>2.7</v>
      </c>
      <c r="D16" s="3" t="n">
        <v>0.4</v>
      </c>
      <c r="E16" s="3" t="n">
        <v>0.4</v>
      </c>
      <c r="F16" s="3" t="n">
        <v>0.5</v>
      </c>
      <c r="G16" s="3" t="n">
        <v>0.4</v>
      </c>
      <c r="H16" s="3" t="n">
        <v>0.3</v>
      </c>
      <c r="I16" s="3" t="n">
        <v>6.9</v>
      </c>
    </row>
    <row r="17">
      <c r="A17" s="2" t="inlineStr">
        <is>
          <t>2025-Q4</t>
        </is>
      </c>
      <c r="B17" s="3" t="n">
        <v>3.5</v>
      </c>
      <c r="C17" s="3" t="n">
        <v>4.5</v>
      </c>
      <c r="D17" s="3" t="n">
        <v>0.7</v>
      </c>
      <c r="E17" s="3" t="n">
        <v>0.8</v>
      </c>
      <c r="F17" s="3" t="n">
        <v>0.8</v>
      </c>
      <c r="G17" s="3" t="n">
        <v>0.8</v>
      </c>
      <c r="H17" s="3" t="n">
        <v>0.5</v>
      </c>
      <c r="I17" s="3" t="n">
        <v>11.6</v>
      </c>
    </row>
    <row r="18">
      <c r="A18" s="2" t="inlineStr">
        <is>
          <t>2026-Q1</t>
        </is>
      </c>
      <c r="B18" s="3" t="n">
        <v>6.5</v>
      </c>
      <c r="C18" s="3" t="n">
        <v>8</v>
      </c>
      <c r="D18" s="3" t="n">
        <v>1.2</v>
      </c>
      <c r="E18" s="3" t="n">
        <v>1.5</v>
      </c>
      <c r="F18" s="3" t="n">
        <v>1.3</v>
      </c>
      <c r="G18" s="3" t="n">
        <v>1.5</v>
      </c>
      <c r="H18" s="3" t="n">
        <v>0.8</v>
      </c>
      <c r="I18" s="3" t="n">
        <v>20.8</v>
      </c>
    </row>
    <row r="21">
      <c r="A21" s="12" t="inlineStr">
        <is>
          <t>Enterprise API Market Share (% of spend)</t>
        </is>
      </c>
    </row>
    <row r="22">
      <c r="A22" s="1" t="inlineStr">
        <is>
          <t>Provider</t>
        </is>
      </c>
      <c r="B22" s="1" t="inlineStr">
        <is>
          <t>2023</t>
        </is>
      </c>
      <c r="C22" s="1" t="inlineStr">
        <is>
          <t>2024</t>
        </is>
      </c>
      <c r="D22" s="1" t="inlineStr">
        <is>
          <t>Mid-2025</t>
        </is>
      </c>
      <c r="E22" s="1" t="inlineStr">
        <is>
          <t>Source</t>
        </is>
      </c>
    </row>
    <row r="23">
      <c r="A23" s="2" t="inlineStr">
        <is>
          <t>OpenAI</t>
        </is>
      </c>
      <c r="B23" s="4" t="inlineStr">
        <is>
          <t>50%</t>
        </is>
      </c>
      <c r="C23" s="4" t="inlineStr">
        <is>
          <t>40%</t>
        </is>
      </c>
      <c r="D23" s="4" t="inlineStr">
        <is>
          <t>25%</t>
        </is>
      </c>
      <c r="E23" s="4" t="inlineStr">
        <is>
          <t>Menlo Ventures</t>
        </is>
      </c>
    </row>
    <row r="24">
      <c r="A24" s="2" t="inlineStr">
        <is>
          <t>Anthropic</t>
        </is>
      </c>
      <c r="B24" s="4" t="inlineStr">
        <is>
          <t>12%</t>
        </is>
      </c>
      <c r="C24" s="4" t="inlineStr">
        <is>
          <t>25%</t>
        </is>
      </c>
      <c r="D24" s="4" t="inlineStr">
        <is>
          <t>32%</t>
        </is>
      </c>
      <c r="E24" s="4" t="inlineStr">
        <is>
          <t>Menlo Ventures</t>
        </is>
      </c>
    </row>
    <row r="25">
      <c r="A25" s="2" t="inlineStr">
        <is>
          <t>Google</t>
        </is>
      </c>
      <c r="B25" s="4" t="inlineStr">
        <is>
          <t>7%</t>
        </is>
      </c>
      <c r="C25" s="4" t="inlineStr">
        <is>
          <t>12%</t>
        </is>
      </c>
      <c r="D25" s="4" t="inlineStr">
        <is>
          <t>20%</t>
        </is>
      </c>
      <c r="E25" s="4" t="inlineStr">
        <is>
          <t>Menlo Ventures</t>
        </is>
      </c>
    </row>
    <row r="26">
      <c r="A26" s="2" t="inlineStr">
        <is>
          <t>Meta / OSS</t>
        </is>
      </c>
      <c r="B26" s="4" t="inlineStr">
        <is>
          <t>16%</t>
        </is>
      </c>
      <c r="C26" s="4" t="inlineStr">
        <is>
          <t>12%</t>
        </is>
      </c>
      <c r="D26" s="4" t="inlineStr">
        <is>
          <t>9%</t>
        </is>
      </c>
      <c r="E26" s="4" t="inlineStr">
        <is>
          <t>Menlo Ventures</t>
        </is>
      </c>
    </row>
    <row r="27">
      <c r="A27" s="2" t="inlineStr">
        <is>
          <t>Other</t>
        </is>
      </c>
      <c r="B27" s="4" t="inlineStr">
        <is>
          <t>15%</t>
        </is>
      </c>
      <c r="C27" s="4" t="inlineStr">
        <is>
          <t>11%</t>
        </is>
      </c>
      <c r="D27" s="4" t="inlineStr">
        <is>
          <t>14%</t>
        </is>
      </c>
      <c r="E27" s="4" t="inlineStr">
        <is>
          <t>Menlo Ventures</t>
        </is>
      </c>
    </row>
  </sheetData>
  <mergeCells count="1">
    <mergeCell ref="A21:E2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333333"/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50" customWidth="1" min="9" max="9"/>
  </cols>
  <sheetData>
    <row r="1">
      <c r="A1" s="1" t="inlineStr">
        <is>
          <t>Quarter</t>
        </is>
      </c>
      <c r="B1" s="1" t="inlineStr">
        <is>
          <t>Git Pushes
(Global)</t>
        </is>
      </c>
      <c r="C1" s="1" t="inlineStr">
        <is>
          <t>Push QoQ
Growth</t>
        </is>
      </c>
      <c r="D1" s="1" t="inlineStr">
        <is>
          <t>Push YoY
Growth</t>
        </is>
      </c>
      <c r="E1" s="1" t="inlineStr">
        <is>
          <t>Active
Developers</t>
        </is>
      </c>
      <c r="F1" s="1" t="inlineStr">
        <is>
          <t>Dev QoQ
Growth</t>
        </is>
      </c>
      <c r="G1" s="1" t="inlineStr">
        <is>
          <t>Total
Repositories</t>
        </is>
      </c>
      <c r="H1" s="1" t="inlineStr">
        <is>
          <t>Pushes per
Developer</t>
        </is>
      </c>
      <c r="I1" s="1" t="inlineStr">
        <is>
          <t>Source</t>
        </is>
      </c>
    </row>
    <row r="2">
      <c r="A2" s="2" t="inlineStr">
        <is>
          <t>2022-Q1</t>
        </is>
      </c>
      <c r="B2" s="3" t="n">
        <v>140572256</v>
      </c>
      <c r="C2" s="3" t="n">
        <v>0.09067307080704778</v>
      </c>
      <c r="D2" s="3" t="n">
        <v>0.1590825157777029</v>
      </c>
      <c r="E2" s="3" t="n">
        <v>89612163</v>
      </c>
      <c r="F2" s="3" t="n">
        <v>0.07120588237895831</v>
      </c>
      <c r="G2" s="3" t="n">
        <v>229733614</v>
      </c>
      <c r="H2" s="3" t="n">
        <v>1.57</v>
      </c>
      <c r="I2" s="4" t="inlineStr">
        <is>
          <t>GitHub Innovation Graph (official)</t>
        </is>
      </c>
    </row>
    <row r="3">
      <c r="A3" s="2" t="inlineStr">
        <is>
          <t>2022-Q2</t>
        </is>
      </c>
      <c r="B3" s="3" t="n">
        <v>149717365</v>
      </c>
      <c r="C3" s="3" t="n">
        <v>0.06505628678250708</v>
      </c>
      <c r="D3" s="3" t="n">
        <v>0.1738912074275534</v>
      </c>
      <c r="E3" s="3" t="n">
        <v>95043584</v>
      </c>
      <c r="F3" s="3" t="n">
        <v>0.06061031023210539</v>
      </c>
      <c r="G3" s="3" t="n">
        <v>243339989</v>
      </c>
      <c r="H3" s="3" t="n">
        <v>1.58</v>
      </c>
      <c r="I3" s="4" t="inlineStr">
        <is>
          <t>GitHub Innovation Graph (official)</t>
        </is>
      </c>
    </row>
    <row r="4">
      <c r="A4" s="2" t="inlineStr">
        <is>
          <t>2022-Q3</t>
        </is>
      </c>
      <c r="B4" s="3" t="n">
        <v>146835949</v>
      </c>
      <c r="C4" s="3" t="n">
        <v>-0.01924570339586196</v>
      </c>
      <c r="D4" s="3" t="n">
        <v>0.2642123768015416</v>
      </c>
      <c r="E4" s="3" t="n">
        <v>100334892</v>
      </c>
      <c r="F4" s="3" t="n">
        <v>0.05567243760504659</v>
      </c>
      <c r="G4" s="3" t="n">
        <v>256393118</v>
      </c>
      <c r="H4" s="3" t="n">
        <v>1.46</v>
      </c>
      <c r="I4" s="4" t="inlineStr">
        <is>
          <t>GitHub Innovation Graph (official)</t>
        </is>
      </c>
    </row>
    <row r="5">
      <c r="A5" s="2" t="inlineStr">
        <is>
          <t>2022-Q4</t>
        </is>
      </c>
      <c r="B5" s="3" t="n">
        <v>161464841</v>
      </c>
      <c r="C5" s="3" t="n">
        <v>0.09962745567163522</v>
      </c>
      <c r="D5" s="3" t="n">
        <v>0.252774615503373</v>
      </c>
      <c r="E5" s="3" t="n">
        <v>105809362</v>
      </c>
      <c r="F5" s="3" t="n">
        <v>0.05456197630630832</v>
      </c>
      <c r="G5" s="3" t="n">
        <v>269935545</v>
      </c>
      <c r="H5" s="3" t="n">
        <v>1.53</v>
      </c>
      <c r="I5" s="4" t="inlineStr">
        <is>
          <t>GitHub Innovation Graph (official)</t>
        </is>
      </c>
    </row>
    <row r="6">
      <c r="A6" s="2" t="inlineStr">
        <is>
          <t>2023-Q1</t>
        </is>
      </c>
      <c r="B6" s="3" t="n">
        <v>172765182</v>
      </c>
      <c r="C6" s="3" t="n">
        <v>0.06998638793444822</v>
      </c>
      <c r="D6" s="3" t="n">
        <v>0.2290133694660204</v>
      </c>
      <c r="E6" s="3" t="n">
        <v>112142497</v>
      </c>
      <c r="F6" s="3" t="n">
        <v>0.05985420269333064</v>
      </c>
      <c r="G6" s="3" t="n">
        <v>283851980</v>
      </c>
      <c r="H6" s="3" t="n">
        <v>1.54</v>
      </c>
      <c r="I6" s="4" t="inlineStr">
        <is>
          <t>GitHub Innovation Graph (official)</t>
        </is>
      </c>
    </row>
    <row r="7">
      <c r="A7" s="2" t="inlineStr">
        <is>
          <t>2023-Q2</t>
        </is>
      </c>
      <c r="B7" s="3" t="n">
        <v>175270480</v>
      </c>
      <c r="C7" s="3" t="n">
        <v>0.01450117420071373</v>
      </c>
      <c r="D7" s="3" t="n">
        <v>0.1706756928296194</v>
      </c>
      <c r="E7" s="3" t="n">
        <v>118863203</v>
      </c>
      <c r="F7" s="3" t="n">
        <v>0.05993005488365388</v>
      </c>
      <c r="G7" s="3" t="n">
        <v>298254607</v>
      </c>
      <c r="H7" s="3" t="n">
        <v>1.47</v>
      </c>
      <c r="I7" s="4" t="inlineStr">
        <is>
          <t>GitHub Innovation Graph (official)</t>
        </is>
      </c>
    </row>
    <row r="8">
      <c r="A8" s="2" t="inlineStr">
        <is>
          <t>2023-Q3</t>
        </is>
      </c>
      <c r="B8" s="3" t="n">
        <v>165466632</v>
      </c>
      <c r="C8" s="3" t="n">
        <v>-0.05593553460913669</v>
      </c>
      <c r="D8" s="3" t="n">
        <v>0.1268809384001734</v>
      </c>
      <c r="E8" s="3" t="n">
        <v>125462005</v>
      </c>
      <c r="F8" s="3" t="n">
        <v>0.0555159362481592</v>
      </c>
      <c r="G8" s="3" t="n">
        <v>311778148</v>
      </c>
      <c r="H8" s="3" t="n">
        <v>1.32</v>
      </c>
      <c r="I8" s="4" t="inlineStr">
        <is>
          <t>GitHub Innovation Graph (official)</t>
        </is>
      </c>
    </row>
    <row r="9">
      <c r="A9" s="2" t="inlineStr">
        <is>
          <t>2023-Q4</t>
        </is>
      </c>
      <c r="B9" s="3" t="n">
        <v>178868690</v>
      </c>
      <c r="C9" s="3" t="n">
        <v>0.08099553268238391</v>
      </c>
      <c r="D9" s="3" t="n">
        <v>0.1077872364795505</v>
      </c>
      <c r="E9" s="3" t="n">
        <v>131883095</v>
      </c>
      <c r="F9" s="3" t="n">
        <v>0.05117955830532117</v>
      </c>
      <c r="G9" s="3" t="n">
        <v>326068851</v>
      </c>
      <c r="H9" s="3" t="n">
        <v>1.36</v>
      </c>
      <c r="I9" s="4" t="inlineStr">
        <is>
          <t>GitHub Innovation Graph (official)</t>
        </is>
      </c>
    </row>
    <row r="10">
      <c r="A10" s="2" t="inlineStr">
        <is>
          <t>2024-Q1</t>
        </is>
      </c>
      <c r="B10" s="3" t="n">
        <v>184167232</v>
      </c>
      <c r="C10" s="3" t="n">
        <v>0.02962252365128859</v>
      </c>
      <c r="D10" s="3" t="n">
        <v>0.06599738366264107</v>
      </c>
      <c r="E10" s="3" t="n">
        <v>139575994</v>
      </c>
      <c r="F10" s="3" t="n">
        <v>0.05833119855126245</v>
      </c>
      <c r="G10" s="3" t="n">
        <v>340737253</v>
      </c>
      <c r="H10" s="3" t="n">
        <v>1.32</v>
      </c>
      <c r="I10" s="4" t="inlineStr">
        <is>
          <t>GitHub Innovation Graph (official)</t>
        </is>
      </c>
    </row>
    <row r="11">
      <c r="A11" s="2" t="inlineStr">
        <is>
          <t>2024-Q2</t>
        </is>
      </c>
      <c r="B11" s="3" t="n">
        <v>189331668</v>
      </c>
      <c r="C11" s="3" t="n">
        <v>0.02804210034497334</v>
      </c>
      <c r="D11" s="3" t="n">
        <v>0.08022564895126671</v>
      </c>
      <c r="E11" s="3" t="n">
        <v>145646544</v>
      </c>
      <c r="F11" s="3" t="n">
        <v>0.04349279432679509</v>
      </c>
      <c r="G11" s="3" t="n">
        <v>355510606</v>
      </c>
      <c r="H11" s="3" t="n">
        <v>1.3</v>
      </c>
      <c r="I11" s="4" t="inlineStr">
        <is>
          <t>GitHub Innovation Graph (official)</t>
        </is>
      </c>
    </row>
    <row r="12">
      <c r="A12" s="2" t="inlineStr">
        <is>
          <t>2024-Q3</t>
        </is>
      </c>
      <c r="B12" s="3" t="n">
        <v>179232651</v>
      </c>
      <c r="C12" s="3" t="n">
        <v>-0.05334034769080465</v>
      </c>
      <c r="D12" s="3" t="n">
        <v>0.08319513628584652</v>
      </c>
      <c r="E12" s="3" t="n">
        <v>151993922</v>
      </c>
      <c r="F12" s="3" t="n">
        <v>0.04358069766488937</v>
      </c>
      <c r="G12" s="3" t="n">
        <v>369639247</v>
      </c>
      <c r="H12" s="3" t="n">
        <v>1.18</v>
      </c>
      <c r="I12" s="4" t="inlineStr">
        <is>
          <t>GitHub Innovation Graph (official)</t>
        </is>
      </c>
    </row>
    <row r="13">
      <c r="A13" s="2" t="inlineStr">
        <is>
          <t>2024-Q4</t>
        </is>
      </c>
      <c r="B13" s="3" t="n">
        <v>200262211</v>
      </c>
      <c r="C13" s="3" t="n">
        <v>0.1173310771372789</v>
      </c>
      <c r="D13" s="3" t="n">
        <v>0.1196046161013422</v>
      </c>
      <c r="E13" s="3" t="n">
        <v>159142080</v>
      </c>
      <c r="F13" s="3" t="n">
        <v>0.04702923581378471</v>
      </c>
      <c r="G13" s="3" t="n">
        <v>385466517</v>
      </c>
      <c r="H13" s="3" t="n">
        <v>1.26</v>
      </c>
      <c r="I13" s="4" t="inlineStr">
        <is>
          <t>GitHub Innovation Graph (official)</t>
        </is>
      </c>
    </row>
    <row r="14">
      <c r="A14" s="2" t="inlineStr">
        <is>
          <t>2025-Q1</t>
        </is>
      </c>
      <c r="B14" s="3" t="n">
        <v>213071277</v>
      </c>
      <c r="C14" s="3" t="n">
        <v>0.06396147299102783</v>
      </c>
      <c r="D14" s="3" t="n">
        <v>0.1569445589538969</v>
      </c>
      <c r="E14" s="3" t="n">
        <v>167884897</v>
      </c>
      <c r="F14" s="3" t="n">
        <v>0.05493717940597476</v>
      </c>
      <c r="G14" s="3" t="n">
        <v>402290482</v>
      </c>
      <c r="H14" s="3" t="n">
        <v>1.27</v>
      </c>
      <c r="I14" s="4" t="inlineStr">
        <is>
          <t>GitHub Innovation Graph (official)</t>
        </is>
      </c>
    </row>
    <row r="15">
      <c r="A15" s="2" t="inlineStr">
        <is>
          <t>2025-Q2</t>
        </is>
      </c>
      <c r="B15" s="3" t="n">
        <v>247828515</v>
      </c>
      <c r="C15" s="3" t="n">
        <v>0.1631249340097587</v>
      </c>
      <c r="D15" s="3" t="n">
        <v>0.3089649376563883</v>
      </c>
      <c r="E15" s="3" t="n">
        <v>177219553</v>
      </c>
      <c r="F15" s="3" t="n">
        <v>0.05560152322695244</v>
      </c>
      <c r="G15" s="3" t="n">
        <v>420993825</v>
      </c>
      <c r="H15" s="3" t="n">
        <v>1.4</v>
      </c>
      <c r="I15" s="4" t="inlineStr">
        <is>
          <t>GitHub Innovation Graph (official)</t>
        </is>
      </c>
    </row>
    <row r="16">
      <c r="A16" s="2" t="inlineStr">
        <is>
          <t>2025-Q3</t>
        </is>
      </c>
      <c r="B16" s="3" t="n">
        <v>250894326</v>
      </c>
      <c r="C16" s="3" t="n">
        <v>0.01237069511553179</v>
      </c>
      <c r="D16" s="3" t="n">
        <v>0.3998248901646833</v>
      </c>
      <c r="E16" s="3" t="n">
        <v>189778233</v>
      </c>
      <c r="F16" s="3" t="n">
        <v>0.07086509240884942</v>
      </c>
      <c r="G16" s="3" t="n">
        <v>440152951</v>
      </c>
      <c r="H16" s="3" t="n">
        <v>1.32</v>
      </c>
      <c r="I16" s="4" t="inlineStr">
        <is>
          <t>GitHub Innovation Graph (official)</t>
        </is>
      </c>
    </row>
    <row r="17">
      <c r="A17" s="2" t="inlineStr">
        <is>
          <t>2025-Q4</t>
        </is>
      </c>
      <c r="B17" s="3" t="n">
        <v>230201078</v>
      </c>
      <c r="C17" s="3" t="n">
        <v>-0.08247794332343727</v>
      </c>
      <c r="D17" s="3" t="n">
        <v>0.1494983344611132</v>
      </c>
      <c r="E17" s="3" t="n">
        <v>198000000</v>
      </c>
      <c r="F17" s="3" t="n">
        <v>0.04332302430068458</v>
      </c>
      <c r="G17" s="3" t="n">
        <v>460000000</v>
      </c>
      <c r="H17" s="3" t="n">
        <v>1.16</v>
      </c>
      <c r="I17" s="4" t="inlineStr">
        <is>
          <t>Estimated from Octoverse 2025 (~1B commits, +25.1% YoY)</t>
        </is>
      </c>
    </row>
    <row r="18">
      <c r="A18" s="2" t="inlineStr">
        <is>
          <t>2026-Q1</t>
        </is>
      </c>
      <c r="B18" s="3" t="n">
        <v>272731234</v>
      </c>
      <c r="C18" s="3" t="n">
        <v>0.1847522017251371</v>
      </c>
      <c r="D18" s="3" t="n">
        <v>0.2799999973717715</v>
      </c>
      <c r="E18" s="3" t="n">
        <v>210000000</v>
      </c>
      <c r="F18" s="3" t="n">
        <v>0.06060606060606055</v>
      </c>
      <c r="G18" s="3" t="n">
        <v>482000000</v>
      </c>
      <c r="H18" s="3" t="n">
        <v>1.3</v>
      </c>
      <c r="I18" s="4" t="inlineStr">
        <is>
          <t>Estimated (~28% YoY growth trajectory)</t>
        </is>
      </c>
    </row>
    <row r="21">
      <c r="A21" s="12" t="inlineStr">
        <is>
          <t>Annual Summary</t>
        </is>
      </c>
    </row>
    <row r="22">
      <c r="A22" s="1" t="inlineStr">
        <is>
          <t>Year</t>
        </is>
      </c>
      <c r="B22" s="1" t="inlineStr">
        <is>
          <t>Total Pushes</t>
        </is>
      </c>
      <c r="C22" s="1" t="inlineStr">
        <is>
          <t>YoY Growth</t>
        </is>
      </c>
      <c r="D22" s="1" t="inlineStr">
        <is>
          <t>Active Devs (YE)</t>
        </is>
      </c>
      <c r="E22" s="1" t="inlineStr">
        <is>
          <t>Source</t>
        </is>
      </c>
    </row>
    <row r="23">
      <c r="A23" s="2" t="n">
        <v>2022</v>
      </c>
      <c r="B23" s="3" t="n">
        <v>598590411</v>
      </c>
      <c r="C23" s="4" t="n"/>
      <c r="D23" s="3" t="n">
        <v>105809362</v>
      </c>
      <c r="E23" s="4" t="inlineStr">
        <is>
          <t>Innovation Graph</t>
        </is>
      </c>
    </row>
    <row r="24">
      <c r="A24" s="2" t="n">
        <v>2023</v>
      </c>
      <c r="B24" s="3" t="n">
        <v>692370984</v>
      </c>
      <c r="C24" s="3" t="n">
        <v>0.1566690198784357</v>
      </c>
      <c r="D24" s="3" t="n">
        <v>131883095</v>
      </c>
      <c r="E24" s="4" t="inlineStr">
        <is>
          <t>Innovation Graph</t>
        </is>
      </c>
    </row>
    <row r="25">
      <c r="A25" s="2" t="n">
        <v>2024</v>
      </c>
      <c r="B25" s="3" t="n">
        <v>752993762</v>
      </c>
      <c r="C25" s="3" t="n">
        <v>0.08755823019873987</v>
      </c>
      <c r="D25" s="3" t="n">
        <v>159142080</v>
      </c>
      <c r="E25" s="4" t="inlineStr">
        <is>
          <t>Innovation Graph</t>
        </is>
      </c>
    </row>
    <row r="26">
      <c r="A26" s="2" t="n">
        <v>2025</v>
      </c>
      <c r="B26" s="3" t="n">
        <v>941995196</v>
      </c>
      <c r="C26" s="3" t="n">
        <v>0.2509999996520555</v>
      </c>
      <c r="D26" s="3" t="n">
        <v>198000000</v>
      </c>
      <c r="E26" s="4" t="inlineStr">
        <is>
          <t>Octoverse 2025: ~1B commits, +25.1% YoY</t>
        </is>
      </c>
    </row>
  </sheetData>
  <mergeCells count="1">
    <mergeCell ref="A21:E2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2026-04-04T23:41:50Z</dcterms:created>
  <dcterms:modified xsi:type="dcterms:W3CDTF">2026-04-04T23:41:50Z</dcterms:modified>
</cp:coreProperties>
</file>