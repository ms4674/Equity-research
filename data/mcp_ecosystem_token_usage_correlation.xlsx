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d Summary" sheetId="1" state="visible" r:id="rId1"/>
    <sheet name="GitHub Commits Detail" sheetId="2" state="visible" r:id="rId2"/>
    <sheet name="SDK Downloads Detail" sheetId="3" state="visible" r:id="rId3"/>
    <sheet name="Server Package Downloads" sheetId="4" state="visible" r:id="rId4"/>
    <sheet name="Token Usage &amp; Compute Split" sheetId="5" state="visible" r:id="rId5"/>
    <sheet name="Correlation Analysis" sheetId="6" state="visible" r:id="rId6"/>
    <sheet name="GitHub Stars" sheetId="7" state="visible" r:id="rId7"/>
    <sheet name="MCP Server Count" sheetId="8" state="visible" r:id="rId8"/>
    <sheet name="Sources &amp; Methodolog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00"/>
  </numFmts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4"/>
    </font>
    <font>
      <b val="1"/>
      <sz val="10"/>
    </font>
    <font>
      <b val="1"/>
      <color rgb="00006100"/>
    </font>
    <font>
      <color rgb="009C0006"/>
    </font>
    <font>
      <b val="1"/>
      <color rgb="002E75B6"/>
      <sz val="12"/>
    </font>
    <font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166" fontId="0" fillId="3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6" fontId="4" fillId="4" borderId="0" applyAlignment="1" pivotButton="0" quotePrefix="0" xfId="0">
      <alignment horizontal="center"/>
    </xf>
    <xf numFmtId="166" fontId="0" fillId="5" borderId="0" applyAlignment="1" pivotButton="0" quotePrefix="0" xfId="0">
      <alignment horizontal="center"/>
    </xf>
    <xf numFmtId="166" fontId="5" fillId="6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MCP SDK Downloads vs Industry Token Volume</a:t>
            </a:r>
          </a:p>
        </rich>
      </tx>
    </title>
    <plotArea>
      <lineChart>
        <grouping val="standard"/>
        <ser>
          <idx val="0"/>
          <order val="0"/>
          <tx>
            <strRef>
              <f>'Aggregated Summary'!E1</f>
            </strRef>
          </tx>
          <spPr>
            <a:ln w="28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'Aggregated Summary'!$A$2:$A$18</f>
            </numRef>
          </cat>
          <val>
            <numRef>
              <f>'Aggregated Summary'!$E$2:$E$18</f>
            </numRef>
          </val>
        </ser>
        <ser>
          <idx val="1"/>
          <order val="1"/>
          <tx>
            <strRef>
              <f>'Aggregated Summary'!H1</f>
            </strRef>
          </tx>
          <spPr>
            <a:ln w="28000"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'Aggregated Summary'!$H$2:$H$18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SDK Downloads (quarterly)</a:t>
                </a:r>
              </a:p>
            </rich>
          </tx>
        </title>
        <numFmt formatCode="#,##0,,&quot;M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Inference vs Training Share of AI Compute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'Aggregated Summary'!I1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'Aggregated Summary'!$A$2:$A$18</f>
            </numRef>
          </cat>
          <val>
            <numRef>
              <f>'Aggregated Summary'!$I$2:$I$18</f>
            </numRef>
          </val>
        </ser>
        <ser>
          <idx val="1"/>
          <order val="1"/>
          <tx>
            <strRef>
              <f>'Aggregated Summary'!J1</f>
            </strRef>
          </tx>
          <spPr>
            <a:solidFill>
              <a:srgbClr val="ED7D31"/>
            </a:solidFill>
            <a:ln>
              <a:prstDash val="solid"/>
            </a:ln>
          </spPr>
          <cat>
            <numRef>
              <f>'Aggregated Summary'!$A$2:$A$18</f>
            </numRef>
          </cat>
          <val>
            <numRef>
              <f>'Aggregated Summary'!$J$2:$J$18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Share of Total AI Compute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Hyperscaler Quarterly Capex ($B)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'Aggregated Summary'!K1</f>
            </strRef>
          </tx>
          <spPr>
            <a:solidFill>
              <a:srgbClr val="1F4E79"/>
            </a:solidFill>
            <a:ln>
              <a:prstDash val="solid"/>
            </a:ln>
          </spPr>
          <cat>
            <numRef>
              <f>'Aggregated Summary'!$A$2:$A$18</f>
            </numRef>
          </cat>
          <val>
            <numRef>
              <f>'Aggregated Summary'!$K$2:$K$18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Capex ($B)</a:t>
                </a:r>
              </a:p>
            </rich>
          </tx>
        </title>
        <numFmt formatCode="$#,##0&quot;B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100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36</row>
      <rowOff>0</rowOff>
    </from>
    <ext cx="10080000" cy="54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52</row>
      <rowOff>0</rowOff>
    </from>
    <ext cx="10080000" cy="54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L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52" customWidth="1" min="12" max="12"/>
  </cols>
  <sheetData>
    <row r="1">
      <c r="A1" s="1" t="inlineStr">
        <is>
          <t>Quarter</t>
        </is>
      </c>
      <c r="B1" s="1" t="inlineStr">
        <is>
          <t>MCP GitHub
Commits</t>
        </is>
      </c>
      <c r="C1" s="1" t="inlineStr">
        <is>
          <t>MCP npm SDK
Downloads</t>
        </is>
      </c>
      <c r="D1" s="1" t="inlineStr">
        <is>
          <t>MCP PyPI
Downloads</t>
        </is>
      </c>
      <c r="E1" s="1" t="inlineStr">
        <is>
          <t>MCP Total SDK
Downloads</t>
        </is>
      </c>
      <c r="F1" s="1" t="inlineStr">
        <is>
          <t>MCP Server
Count</t>
        </is>
      </c>
      <c r="G1" s="1" t="inlineStr">
        <is>
          <t>MCP GitHub
Stars</t>
        </is>
      </c>
      <c r="H1" s="1" t="inlineStr">
        <is>
          <t>Industry Daily
Tokens (T)</t>
        </is>
      </c>
      <c r="I1" s="1" t="inlineStr">
        <is>
          <t>Inference %
of Compute</t>
        </is>
      </c>
      <c r="J1" s="1" t="inlineStr">
        <is>
          <t>Training %
of Compute</t>
        </is>
      </c>
      <c r="K1" s="1" t="inlineStr">
        <is>
          <t>Hyperscaler
Capex ($B)</t>
        </is>
      </c>
      <c r="L1" s="1" t="inlineStr">
        <is>
          <t>Key Events</t>
        </is>
      </c>
    </row>
    <row r="2">
      <c r="A2" s="2" t="inlineStr">
        <is>
          <t>2022-Q1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0.01</v>
      </c>
      <c r="I2" s="3" t="n">
        <v>0.2</v>
      </c>
      <c r="J2" s="3" t="n">
        <v>0.8</v>
      </c>
      <c r="K2" s="3" t="n">
        <v>23</v>
      </c>
      <c r="L2" s="4" t="inlineStr"/>
    </row>
    <row r="3">
      <c r="A3" s="2" t="inlineStr">
        <is>
          <t>2022-Q2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0.01</v>
      </c>
      <c r="I3" s="3" t="n">
        <v>0.2</v>
      </c>
      <c r="J3" s="3" t="n">
        <v>0.8</v>
      </c>
      <c r="K3" s="3" t="n">
        <v>24</v>
      </c>
      <c r="L3" s="4" t="inlineStr"/>
    </row>
    <row r="4">
      <c r="A4" s="2" t="inlineStr">
        <is>
          <t>2022-Q3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0.02</v>
      </c>
      <c r="I4" s="3" t="n">
        <v>0.2</v>
      </c>
      <c r="J4" s="3" t="n">
        <v>0.8</v>
      </c>
      <c r="K4" s="3" t="n">
        <v>25</v>
      </c>
      <c r="L4" s="4" t="inlineStr"/>
    </row>
    <row r="5">
      <c r="A5" s="2" t="inlineStr">
        <is>
          <t>2022-Q4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0.03</v>
      </c>
      <c r="I5" s="3" t="n">
        <v>0.22</v>
      </c>
      <c r="J5" s="3" t="n">
        <v>0.78</v>
      </c>
      <c r="K5" s="3" t="n">
        <v>28</v>
      </c>
      <c r="L5" s="4" t="inlineStr"/>
    </row>
    <row r="6">
      <c r="A6" s="2" t="inlineStr">
        <is>
          <t>2023-Q1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0.05</v>
      </c>
      <c r="I6" s="3" t="n">
        <v>0.25</v>
      </c>
      <c r="J6" s="3" t="n">
        <v>0.75</v>
      </c>
      <c r="K6" s="3" t="n">
        <v>28</v>
      </c>
      <c r="L6" s="4" t="inlineStr"/>
    </row>
    <row r="7">
      <c r="A7" s="2" t="inlineStr">
        <is>
          <t>2023-Q2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0.1</v>
      </c>
      <c r="I7" s="3" t="n">
        <v>0.28</v>
      </c>
      <c r="J7" s="3" t="n">
        <v>0.72</v>
      </c>
      <c r="K7" s="3" t="n">
        <v>29</v>
      </c>
      <c r="L7" s="4" t="inlineStr"/>
    </row>
    <row r="8">
      <c r="A8" s="2" t="inlineStr">
        <is>
          <t>2023-Q3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0.15</v>
      </c>
      <c r="I8" s="3" t="n">
        <v>0.32</v>
      </c>
      <c r="J8" s="3" t="n">
        <v>0.6799999999999999</v>
      </c>
      <c r="K8" s="3" t="n">
        <v>30</v>
      </c>
      <c r="L8" s="4" t="inlineStr"/>
    </row>
    <row r="9">
      <c r="A9" s="2" t="inlineStr">
        <is>
          <t>2023-Q4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0.25</v>
      </c>
      <c r="I9" s="3" t="n">
        <v>0.38</v>
      </c>
      <c r="J9" s="3" t="n">
        <v>0.62</v>
      </c>
      <c r="K9" s="3" t="n">
        <v>34</v>
      </c>
      <c r="L9" s="4" t="inlineStr"/>
    </row>
    <row r="10">
      <c r="A10" s="2" t="inlineStr">
        <is>
          <t>2024-Q1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0.4</v>
      </c>
      <c r="I10" s="3" t="n">
        <v>0.42</v>
      </c>
      <c r="J10" s="3" t="n">
        <v>0.5800000000000001</v>
      </c>
      <c r="K10" s="3" t="n">
        <v>38</v>
      </c>
      <c r="L10" s="4" t="inlineStr"/>
    </row>
    <row r="11">
      <c r="A11" s="2" t="inlineStr">
        <is>
          <t>2024-Q2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0.6</v>
      </c>
      <c r="I11" s="3" t="n">
        <v>0.47</v>
      </c>
      <c r="J11" s="3" t="n">
        <v>0.53</v>
      </c>
      <c r="K11" s="3" t="n">
        <v>48</v>
      </c>
      <c r="L11" s="4" t="inlineStr"/>
    </row>
    <row r="12">
      <c r="A12" s="2" t="inlineStr">
        <is>
          <t>2024-Q3</t>
        </is>
      </c>
      <c r="B12" s="3" t="n">
        <v>14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0.9</v>
      </c>
      <c r="I12" s="3" t="n">
        <v>0.5</v>
      </c>
      <c r="J12" s="3" t="n">
        <v>0.5</v>
      </c>
      <c r="K12" s="3" t="n">
        <v>55</v>
      </c>
      <c r="L12" s="4" t="inlineStr">
        <is>
          <t>MCP repos created internally</t>
        </is>
      </c>
    </row>
    <row r="13">
      <c r="A13" s="2" t="inlineStr">
        <is>
          <t>2024-Q4</t>
        </is>
      </c>
      <c r="B13" s="3" t="n">
        <v>1910</v>
      </c>
      <c r="C13" s="3" t="n">
        <v>116673</v>
      </c>
      <c r="D13" s="3" t="n">
        <v>0</v>
      </c>
      <c r="E13" s="3" t="n">
        <v>116673</v>
      </c>
      <c r="F13" s="3" t="n">
        <v>50</v>
      </c>
      <c r="G13" s="3" t="n">
        <v>12000</v>
      </c>
      <c r="H13" s="3" t="n">
        <v>1.5</v>
      </c>
      <c r="I13" s="3" t="n">
        <v>0.55</v>
      </c>
      <c r="J13" s="3" t="n">
        <v>0.45</v>
      </c>
      <c r="K13" s="3" t="n">
        <v>66</v>
      </c>
      <c r="L13" s="4" t="inlineStr">
        <is>
          <t>MCP launched Nov 25; ChatGPT at ~100M MAU</t>
        </is>
      </c>
    </row>
    <row r="14">
      <c r="A14" s="2" t="inlineStr">
        <is>
          <t>2025-Q1</t>
        </is>
      </c>
      <c r="B14" s="3" t="n">
        <v>2308</v>
      </c>
      <c r="C14" s="3" t="n">
        <v>2401992</v>
      </c>
      <c r="D14" s="3" t="n">
        <v>0</v>
      </c>
      <c r="E14" s="3" t="n">
        <v>2401992</v>
      </c>
      <c r="F14" s="3" t="n">
        <v>1200</v>
      </c>
      <c r="G14" s="3" t="n">
        <v>42500</v>
      </c>
      <c r="H14" s="3" t="n">
        <v>2.5</v>
      </c>
      <c r="I14" s="3" t="n">
        <v>0.6</v>
      </c>
      <c r="J14" s="3" t="n">
        <v>0.4</v>
      </c>
      <c r="K14" s="3" t="n">
        <v>85</v>
      </c>
      <c r="L14" s="4" t="inlineStr">
        <is>
          <t>Claude Desktop MCP; OpenAI announces MCP (Mar)</t>
        </is>
      </c>
    </row>
    <row r="15">
      <c r="A15" s="2" t="inlineStr">
        <is>
          <t>2025-Q2</t>
        </is>
      </c>
      <c r="B15" s="3" t="n">
        <v>3517</v>
      </c>
      <c r="C15" s="3" t="n">
        <v>41983661</v>
      </c>
      <c r="D15" s="3" t="n">
        <v>0</v>
      </c>
      <c r="E15" s="3" t="n">
        <v>41983661</v>
      </c>
      <c r="F15" s="3" t="n">
        <v>5867</v>
      </c>
      <c r="G15" s="3" t="n">
        <v>82500</v>
      </c>
      <c r="H15" s="3" t="n">
        <v>4</v>
      </c>
      <c r="I15" s="3" t="n">
        <v>0.63</v>
      </c>
      <c r="J15" s="3" t="n">
        <v>0.37</v>
      </c>
      <c r="K15" s="3" t="n">
        <v>100</v>
      </c>
      <c r="L15" s="4" t="inlineStr">
        <is>
          <t>OpenAI full MCP; GitHub MCP server; peak commits</t>
        </is>
      </c>
    </row>
    <row r="16">
      <c r="A16" s="2" t="inlineStr">
        <is>
          <t>2025-Q3</t>
        </is>
      </c>
      <c r="B16" s="3" t="n">
        <v>2073</v>
      </c>
      <c r="C16" s="3" t="n">
        <v>77522633</v>
      </c>
      <c r="D16" s="3" t="n">
        <v>0</v>
      </c>
      <c r="E16" s="3" t="n">
        <v>77522633</v>
      </c>
      <c r="F16" s="3" t="n">
        <v>6550</v>
      </c>
      <c r="G16" s="3" t="n">
        <v>118000</v>
      </c>
      <c r="H16" s="3" t="n">
        <v>6</v>
      </c>
      <c r="I16" s="3" t="n">
        <v>0.65</v>
      </c>
      <c r="J16" s="3" t="n">
        <v>0.35</v>
      </c>
      <c r="K16" s="3" t="n">
        <v>118</v>
      </c>
      <c r="L16" s="4" t="inlineStr">
        <is>
          <t>Microsoft Copilot MCP; enterprise adoption</t>
        </is>
      </c>
    </row>
    <row r="17">
      <c r="A17" s="2" t="inlineStr">
        <is>
          <t>2025-Q4</t>
        </is>
      </c>
      <c r="B17" s="3" t="n">
        <v>1885</v>
      </c>
      <c r="C17" s="3" t="n">
        <v>105330727</v>
      </c>
      <c r="D17" s="3" t="n">
        <v>164823166</v>
      </c>
      <c r="E17" s="3" t="n">
        <v>270153893</v>
      </c>
      <c r="F17" s="3" t="n">
        <v>7500</v>
      </c>
      <c r="G17" s="3" t="n">
        <v>144700</v>
      </c>
      <c r="H17" s="3" t="n">
        <v>10</v>
      </c>
      <c r="I17" s="3" t="n">
        <v>0.68</v>
      </c>
      <c r="J17" s="3" t="n">
        <v>0.32</v>
      </c>
      <c r="K17" s="3" t="n">
        <v>140</v>
      </c>
      <c r="L17" s="4" t="inlineStr">
        <is>
          <t>AWS+Google add MCP; donated to Linux Foundation</t>
        </is>
      </c>
    </row>
    <row r="18">
      <c r="A18" s="2" t="inlineStr">
        <is>
          <t>2026-Q1</t>
        </is>
      </c>
      <c r="B18" s="3" t="n">
        <v>1537</v>
      </c>
      <c r="C18" s="3" t="n">
        <v>263818485</v>
      </c>
      <c r="D18" s="3" t="n">
        <v>325372781</v>
      </c>
      <c r="E18" s="3" t="n">
        <v>589191266</v>
      </c>
      <c r="F18" s="3" t="n">
        <v>10500</v>
      </c>
      <c r="G18" s="3" t="n">
        <v>169528</v>
      </c>
      <c r="H18" s="3" t="n">
        <v>18</v>
      </c>
      <c r="I18" s="3" t="n">
        <v>0.75</v>
      </c>
      <c r="J18" s="3" t="n">
        <v>0.25</v>
      </c>
      <c r="K18" s="3" t="n">
        <v>165</v>
      </c>
      <c r="L18" s="4" t="inlineStr">
        <is>
          <t>97M monthly SDK downloads; 10K+ servers; MCP v2.0 alpha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Quarter</t>
        </is>
      </c>
      <c r="B1" s="1" t="inlineStr">
        <is>
          <t>servers</t>
        </is>
      </c>
      <c r="C1" s="1" t="inlineStr">
        <is>
          <t>python-sdk</t>
        </is>
      </c>
      <c r="D1" s="1" t="inlineStr">
        <is>
          <t>typescript-sdk</t>
        </is>
      </c>
      <c r="E1" s="1" t="inlineStr">
        <is>
          <t>specification</t>
        </is>
      </c>
      <c r="F1" s="1" t="inlineStr">
        <is>
          <t>inspector</t>
        </is>
      </c>
      <c r="G1" s="1" t="inlineStr">
        <is>
          <t>registry</t>
        </is>
      </c>
      <c r="H1" s="1" t="inlineStr">
        <is>
          <t>github-mcp-server</t>
        </is>
      </c>
      <c r="I1" s="1" t="inlineStr">
        <is>
          <t>Total</t>
        </is>
      </c>
    </row>
    <row r="2">
      <c r="A2" s="2" t="inlineStr">
        <is>
          <t>2022-Q1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</row>
    <row r="3">
      <c r="A3" s="2" t="inlineStr">
        <is>
          <t>2022-Q2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</row>
    <row r="4">
      <c r="A4" s="2" t="inlineStr">
        <is>
          <t>2022-Q3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</row>
    <row r="5">
      <c r="A5" s="2" t="inlineStr">
        <is>
          <t>2022-Q4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</row>
    <row r="6">
      <c r="A6" s="2" t="inlineStr">
        <is>
          <t>2023-Q1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</row>
    <row r="7">
      <c r="A7" s="2" t="inlineStr">
        <is>
          <t>2023-Q2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</row>
    <row r="8">
      <c r="A8" s="2" t="inlineStr">
        <is>
          <t>2023-Q3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2" t="inlineStr">
        <is>
          <t>2023-Q4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</row>
    <row r="10">
      <c r="A10" s="2" t="inlineStr">
        <is>
          <t>2024-Q1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</row>
    <row r="11">
      <c r="A11" s="2" t="inlineStr">
        <is>
          <t>2024-Q2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</row>
    <row r="12">
      <c r="A12" s="2" t="inlineStr">
        <is>
          <t>2024-Q3</t>
        </is>
      </c>
      <c r="B12" s="3" t="n">
        <v>0</v>
      </c>
      <c r="C12" s="3" t="n">
        <v>3</v>
      </c>
      <c r="D12" s="3" t="n">
        <v>7</v>
      </c>
      <c r="E12" s="3" t="n">
        <v>4</v>
      </c>
      <c r="F12" s="3" t="n">
        <v>0</v>
      </c>
      <c r="G12" s="3" t="n">
        <v>0</v>
      </c>
      <c r="H12" s="3" t="n">
        <v>0</v>
      </c>
      <c r="I12" s="3" t="n">
        <v>14</v>
      </c>
    </row>
    <row r="13">
      <c r="A13" s="2" t="inlineStr">
        <is>
          <t>2024-Q4</t>
        </is>
      </c>
      <c r="B13" s="3" t="n">
        <v>716</v>
      </c>
      <c r="C13" s="3" t="n">
        <v>202</v>
      </c>
      <c r="D13" s="3" t="n">
        <v>221</v>
      </c>
      <c r="E13" s="3" t="n">
        <v>486</v>
      </c>
      <c r="F13" s="3" t="n">
        <v>285</v>
      </c>
      <c r="G13" s="3" t="n">
        <v>0</v>
      </c>
      <c r="H13" s="3" t="n">
        <v>0</v>
      </c>
      <c r="I13" s="3" t="n">
        <v>1910</v>
      </c>
    </row>
    <row r="14">
      <c r="A14" s="2" t="inlineStr">
        <is>
          <t>2025-Q1</t>
        </is>
      </c>
      <c r="B14" s="3" t="n">
        <v>1203</v>
      </c>
      <c r="C14" s="3" t="n">
        <v>180</v>
      </c>
      <c r="D14" s="3" t="n">
        <v>235</v>
      </c>
      <c r="E14" s="3" t="n">
        <v>285</v>
      </c>
      <c r="F14" s="3" t="n">
        <v>339</v>
      </c>
      <c r="G14" s="3" t="n">
        <v>1</v>
      </c>
      <c r="H14" s="3" t="n">
        <v>65</v>
      </c>
      <c r="I14" s="3" t="n">
        <v>2308</v>
      </c>
    </row>
    <row r="15">
      <c r="A15" s="2" t="inlineStr">
        <is>
          <t>2025-Q2</t>
        </is>
      </c>
      <c r="B15" s="3" t="n">
        <v>1053</v>
      </c>
      <c r="C15" s="3" t="n">
        <v>124</v>
      </c>
      <c r="D15" s="3" t="n">
        <v>603</v>
      </c>
      <c r="E15" s="3" t="n">
        <v>820</v>
      </c>
      <c r="F15" s="3" t="n">
        <v>603</v>
      </c>
      <c r="G15" s="3" t="n">
        <v>104</v>
      </c>
      <c r="H15" s="3" t="n">
        <v>210</v>
      </c>
      <c r="I15" s="3" t="n">
        <v>3517</v>
      </c>
    </row>
    <row r="16">
      <c r="A16" s="2" t="inlineStr">
        <is>
          <t>2025-Q3</t>
        </is>
      </c>
      <c r="B16" s="3" t="n">
        <v>571</v>
      </c>
      <c r="C16" s="3" t="n">
        <v>100</v>
      </c>
      <c r="D16" s="3" t="n">
        <v>104</v>
      </c>
      <c r="E16" s="3" t="n">
        <v>510</v>
      </c>
      <c r="F16" s="3" t="n">
        <v>470</v>
      </c>
      <c r="G16" s="3" t="n">
        <v>214</v>
      </c>
      <c r="H16" s="3" t="n">
        <v>104</v>
      </c>
      <c r="I16" s="3" t="n">
        <v>2073</v>
      </c>
    </row>
    <row r="17">
      <c r="A17" s="2" t="inlineStr">
        <is>
          <t>2025-Q4</t>
        </is>
      </c>
      <c r="B17" s="3" t="n">
        <v>365</v>
      </c>
      <c r="C17" s="3" t="n">
        <v>93</v>
      </c>
      <c r="D17" s="3" t="n">
        <v>128</v>
      </c>
      <c r="E17" s="3" t="n">
        <v>813</v>
      </c>
      <c r="F17" s="3" t="n">
        <v>166</v>
      </c>
      <c r="G17" s="3" t="n">
        <v>151</v>
      </c>
      <c r="H17" s="3" t="n">
        <v>169</v>
      </c>
      <c r="I17" s="3" t="n">
        <v>1885</v>
      </c>
    </row>
    <row r="18">
      <c r="A18" s="2" t="inlineStr">
        <is>
          <t>2026-Q1</t>
        </is>
      </c>
      <c r="B18" s="3" t="n">
        <v>85</v>
      </c>
      <c r="C18" s="3" t="n">
        <v>139</v>
      </c>
      <c r="D18" s="3" t="n">
        <v>147</v>
      </c>
      <c r="E18" s="3" t="n">
        <v>783</v>
      </c>
      <c r="F18" s="3" t="n">
        <v>102</v>
      </c>
      <c r="G18" s="3" t="n">
        <v>72</v>
      </c>
      <c r="H18" s="3" t="n">
        <v>209</v>
      </c>
      <c r="I18" s="3" t="n">
        <v>1537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Quarter</t>
        </is>
      </c>
      <c r="B1" s="1" t="inlineStr">
        <is>
          <t>npm SDK</t>
        </is>
      </c>
      <c r="C1" s="1" t="inlineStr">
        <is>
          <t>PyPI mcp</t>
        </is>
      </c>
      <c r="D1" s="1" t="inlineStr">
        <is>
          <t>Total SDK</t>
        </is>
      </c>
      <c r="E1" s="1" t="inlineStr">
        <is>
          <t>npm Monthly Avg</t>
        </is>
      </c>
      <c r="F1" s="1" t="inlineStr">
        <is>
          <t>npm QoQ Growth</t>
        </is>
      </c>
      <c r="G1" s="1" t="inlineStr">
        <is>
          <t>Total QoQ Growth</t>
        </is>
      </c>
    </row>
    <row r="2">
      <c r="A2" s="2" t="inlineStr">
        <is>
          <t>2022-Q1</t>
        </is>
      </c>
      <c r="B2" s="3" t="n">
        <v>0</v>
      </c>
      <c r="C2" s="3" t="n">
        <v>0</v>
      </c>
      <c r="D2" s="3" t="n">
        <v>0</v>
      </c>
      <c r="E2" s="3" t="n">
        <v>0</v>
      </c>
      <c r="F2" s="4" t="n"/>
      <c r="G2" s="4" t="n"/>
    </row>
    <row r="3">
      <c r="A3" s="2" t="inlineStr">
        <is>
          <t>2022-Q2</t>
        </is>
      </c>
      <c r="B3" s="3" t="n">
        <v>0</v>
      </c>
      <c r="C3" s="3" t="n">
        <v>0</v>
      </c>
      <c r="D3" s="3" t="n">
        <v>0</v>
      </c>
      <c r="E3" s="3" t="n">
        <v>0</v>
      </c>
      <c r="F3" s="4" t="n"/>
      <c r="G3" s="4" t="n"/>
    </row>
    <row r="4">
      <c r="A4" s="2" t="inlineStr">
        <is>
          <t>2022-Q3</t>
        </is>
      </c>
      <c r="B4" s="3" t="n">
        <v>0</v>
      </c>
      <c r="C4" s="3" t="n">
        <v>0</v>
      </c>
      <c r="D4" s="3" t="n">
        <v>0</v>
      </c>
      <c r="E4" s="3" t="n">
        <v>0</v>
      </c>
      <c r="F4" s="4" t="n"/>
      <c r="G4" s="4" t="n"/>
    </row>
    <row r="5">
      <c r="A5" s="2" t="inlineStr">
        <is>
          <t>2022-Q4</t>
        </is>
      </c>
      <c r="B5" s="3" t="n">
        <v>0</v>
      </c>
      <c r="C5" s="3" t="n">
        <v>0</v>
      </c>
      <c r="D5" s="3" t="n">
        <v>0</v>
      </c>
      <c r="E5" s="3" t="n">
        <v>0</v>
      </c>
      <c r="F5" s="4" t="n"/>
      <c r="G5" s="4" t="n"/>
    </row>
    <row r="6">
      <c r="A6" s="2" t="inlineStr">
        <is>
          <t>2023-Q1</t>
        </is>
      </c>
      <c r="B6" s="3" t="n">
        <v>0</v>
      </c>
      <c r="C6" s="3" t="n">
        <v>0</v>
      </c>
      <c r="D6" s="3" t="n">
        <v>0</v>
      </c>
      <c r="E6" s="3" t="n">
        <v>0</v>
      </c>
      <c r="F6" s="4" t="n"/>
      <c r="G6" s="4" t="n"/>
    </row>
    <row r="7">
      <c r="A7" s="2" t="inlineStr">
        <is>
          <t>2023-Q2</t>
        </is>
      </c>
      <c r="B7" s="3" t="n">
        <v>0</v>
      </c>
      <c r="C7" s="3" t="n">
        <v>0</v>
      </c>
      <c r="D7" s="3" t="n">
        <v>0</v>
      </c>
      <c r="E7" s="3" t="n">
        <v>0</v>
      </c>
      <c r="F7" s="4" t="n"/>
      <c r="G7" s="4" t="n"/>
    </row>
    <row r="8">
      <c r="A8" s="2" t="inlineStr">
        <is>
          <t>2023-Q3</t>
        </is>
      </c>
      <c r="B8" s="3" t="n">
        <v>0</v>
      </c>
      <c r="C8" s="3" t="n">
        <v>0</v>
      </c>
      <c r="D8" s="3" t="n">
        <v>0</v>
      </c>
      <c r="E8" s="3" t="n">
        <v>0</v>
      </c>
      <c r="F8" s="4" t="n"/>
      <c r="G8" s="4" t="n"/>
    </row>
    <row r="9">
      <c r="A9" s="2" t="inlineStr">
        <is>
          <t>2023-Q4</t>
        </is>
      </c>
      <c r="B9" s="3" t="n">
        <v>0</v>
      </c>
      <c r="C9" s="3" t="n">
        <v>0</v>
      </c>
      <c r="D9" s="3" t="n">
        <v>0</v>
      </c>
      <c r="E9" s="3" t="n">
        <v>0</v>
      </c>
      <c r="F9" s="4" t="n"/>
      <c r="G9" s="4" t="n"/>
    </row>
    <row r="10">
      <c r="A10" s="2" t="inlineStr">
        <is>
          <t>2024-Q1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4" t="n"/>
      <c r="G10" s="4" t="n"/>
    </row>
    <row r="11">
      <c r="A11" s="2" t="inlineStr">
        <is>
          <t>2024-Q2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4" t="n"/>
      <c r="G11" s="4" t="n"/>
    </row>
    <row r="12">
      <c r="A12" s="2" t="inlineStr">
        <is>
          <t>2024-Q3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4" t="n"/>
      <c r="G12" s="4" t="n"/>
    </row>
    <row r="13">
      <c r="A13" s="2" t="inlineStr">
        <is>
          <t>2024-Q4</t>
        </is>
      </c>
      <c r="B13" s="3" t="n">
        <v>116673</v>
      </c>
      <c r="C13" s="3" t="n">
        <v>0</v>
      </c>
      <c r="D13" s="3" t="n">
        <v>116673</v>
      </c>
      <c r="E13" s="3" t="n">
        <v>38891</v>
      </c>
      <c r="F13" s="4" t="n"/>
      <c r="G13" s="4" t="n"/>
    </row>
    <row r="14">
      <c r="A14" s="2" t="inlineStr">
        <is>
          <t>2025-Q1</t>
        </is>
      </c>
      <c r="B14" s="3" t="n">
        <v>2401992</v>
      </c>
      <c r="C14" s="3" t="n">
        <v>0</v>
      </c>
      <c r="D14" s="3" t="n">
        <v>2401992</v>
      </c>
      <c r="E14" s="3" t="n">
        <v>800664</v>
      </c>
      <c r="F14" s="3" t="n">
        <v>19.58738525622895</v>
      </c>
      <c r="G14" s="3" t="n">
        <v>19.58738525622895</v>
      </c>
    </row>
    <row r="15">
      <c r="A15" s="2" t="inlineStr">
        <is>
          <t>2025-Q2</t>
        </is>
      </c>
      <c r="B15" s="3" t="n">
        <v>41983661</v>
      </c>
      <c r="C15" s="3" t="n">
        <v>0</v>
      </c>
      <c r="D15" s="3" t="n">
        <v>41983661</v>
      </c>
      <c r="E15" s="3" t="n">
        <v>13994554</v>
      </c>
      <c r="F15" s="3" t="n">
        <v>16.47868477497011</v>
      </c>
      <c r="G15" s="3" t="n">
        <v>16.47868477497011</v>
      </c>
    </row>
    <row r="16">
      <c r="A16" s="2" t="inlineStr">
        <is>
          <t>2025-Q3</t>
        </is>
      </c>
      <c r="B16" s="3" t="n">
        <v>77522633</v>
      </c>
      <c r="C16" s="3" t="n">
        <v>0</v>
      </c>
      <c r="D16" s="3" t="n">
        <v>77522633</v>
      </c>
      <c r="E16" s="3" t="n">
        <v>25840878</v>
      </c>
      <c r="F16" s="3" t="n">
        <v>0.8464953068290066</v>
      </c>
      <c r="G16" s="3" t="n">
        <v>0.8464953068290066</v>
      </c>
    </row>
    <row r="17">
      <c r="A17" s="2" t="inlineStr">
        <is>
          <t>2025-Q4</t>
        </is>
      </c>
      <c r="B17" s="3" t="n">
        <v>105330727</v>
      </c>
      <c r="C17" s="3" t="n">
        <v>164823166</v>
      </c>
      <c r="D17" s="3" t="n">
        <v>270153893</v>
      </c>
      <c r="E17" s="3" t="n">
        <v>35110242</v>
      </c>
      <c r="F17" s="3" t="n">
        <v>0.3587093591106483</v>
      </c>
      <c r="G17" s="3" t="n">
        <v>2.484838975992985</v>
      </c>
    </row>
    <row r="18">
      <c r="A18" s="2" t="inlineStr">
        <is>
          <t>2026-Q1</t>
        </is>
      </c>
      <c r="B18" s="3" t="n">
        <v>263818485</v>
      </c>
      <c r="C18" s="3" t="n">
        <v>325372781</v>
      </c>
      <c r="D18" s="3" t="n">
        <v>589191266</v>
      </c>
      <c r="E18" s="3" t="n">
        <v>87939495</v>
      </c>
      <c r="F18" s="3" t="n">
        <v>1.504667844929998</v>
      </c>
      <c r="G18" s="3" t="n">
        <v>1.1809467909463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Quarter</t>
        </is>
      </c>
      <c r="B1" s="1" t="inlineStr">
        <is>
          <t>server-filesystem</t>
        </is>
      </c>
      <c r="C1" s="1" t="inlineStr">
        <is>
          <t>server-github</t>
        </is>
      </c>
      <c r="D1" s="1" t="inlineStr">
        <is>
          <t>server-postgres</t>
        </is>
      </c>
      <c r="E1" s="1" t="inlineStr">
        <is>
          <t>server-brave-search</t>
        </is>
      </c>
      <c r="F1" s="1" t="inlineStr">
        <is>
          <t>server-slack</t>
        </is>
      </c>
      <c r="G1" s="1" t="inlineStr">
        <is>
          <t>server-memory</t>
        </is>
      </c>
      <c r="H1" s="1" t="inlineStr">
        <is>
          <t>server-puppeteer</t>
        </is>
      </c>
      <c r="I1" s="1" t="inlineStr">
        <is>
          <t>server-everything</t>
        </is>
      </c>
      <c r="J1" s="1" t="inlineStr">
        <is>
          <t>server-sequential-thinking</t>
        </is>
      </c>
      <c r="K1" s="1" t="inlineStr">
        <is>
          <t>Total</t>
        </is>
      </c>
    </row>
    <row r="2">
      <c r="A2" s="2" t="inlineStr">
        <is>
          <t>2022-Q1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</row>
    <row r="3">
      <c r="A3" s="2" t="inlineStr">
        <is>
          <t>2022-Q2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</row>
    <row r="4">
      <c r="A4" s="2" t="inlineStr">
        <is>
          <t>2022-Q3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</row>
    <row r="5">
      <c r="A5" s="2" t="inlineStr">
        <is>
          <t>2022-Q4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</row>
    <row r="6">
      <c r="A6" s="2" t="inlineStr">
        <is>
          <t>2023-Q1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</row>
    <row r="7">
      <c r="A7" s="2" t="inlineStr">
        <is>
          <t>2023-Q2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</row>
    <row r="8">
      <c r="A8" s="2" t="inlineStr">
        <is>
          <t>2023-Q3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</row>
    <row r="9">
      <c r="A9" s="2" t="inlineStr">
        <is>
          <t>2023-Q4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</row>
    <row r="10">
      <c r="A10" s="2" t="inlineStr">
        <is>
          <t>2024-Q1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</row>
    <row r="11">
      <c r="A11" s="2" t="inlineStr">
        <is>
          <t>2024-Q2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</row>
    <row r="12">
      <c r="A12" s="2" t="inlineStr">
        <is>
          <t>2024-Q3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</row>
    <row r="13">
      <c r="A13" s="2" t="inlineStr">
        <is>
          <t>2024-Q4</t>
        </is>
      </c>
      <c r="B13" s="3" t="n">
        <v>24400</v>
      </c>
      <c r="C13" s="3" t="n">
        <v>10600</v>
      </c>
      <c r="D13" s="3" t="n">
        <v>3900</v>
      </c>
      <c r="E13" s="3" t="n">
        <v>18600</v>
      </c>
      <c r="F13" s="3" t="n">
        <v>1900</v>
      </c>
      <c r="G13" s="3" t="n">
        <v>8200</v>
      </c>
      <c r="H13" s="3" t="n">
        <v>7700</v>
      </c>
      <c r="I13" s="3" t="n">
        <v>2400</v>
      </c>
      <c r="J13" s="3" t="n">
        <v>3500</v>
      </c>
      <c r="K13" s="3" t="n">
        <v>81200</v>
      </c>
    </row>
    <row r="14">
      <c r="A14" s="2" t="inlineStr">
        <is>
          <t>2025-Q1</t>
        </is>
      </c>
      <c r="B14" s="3" t="n">
        <v>200900</v>
      </c>
      <c r="C14" s="3" t="n">
        <v>101600</v>
      </c>
      <c r="D14" s="3" t="n">
        <v>65900</v>
      </c>
      <c r="E14" s="3" t="n">
        <v>88800</v>
      </c>
      <c r="F14" s="3" t="n">
        <v>25700</v>
      </c>
      <c r="G14" s="3" t="n">
        <v>38000</v>
      </c>
      <c r="H14" s="3" t="n">
        <v>87800</v>
      </c>
      <c r="I14" s="3" t="n">
        <v>10900</v>
      </c>
      <c r="J14" s="3" t="n">
        <v>66400</v>
      </c>
      <c r="K14" s="3" t="n">
        <v>686000</v>
      </c>
    </row>
    <row r="15">
      <c r="A15" s="2" t="inlineStr">
        <is>
          <t>2025-Q2</t>
        </is>
      </c>
      <c r="B15" s="3" t="n">
        <v>482200</v>
      </c>
      <c r="C15" s="3" t="n">
        <v>323900</v>
      </c>
      <c r="D15" s="3" t="n">
        <v>249000</v>
      </c>
      <c r="E15" s="3" t="n">
        <v>222100</v>
      </c>
      <c r="F15" s="3" t="n">
        <v>170100</v>
      </c>
      <c r="G15" s="3" t="n">
        <v>207600</v>
      </c>
      <c r="H15" s="3" t="n">
        <v>266000</v>
      </c>
      <c r="I15" s="3" t="n">
        <v>75200</v>
      </c>
      <c r="J15" s="3" t="n">
        <v>439100</v>
      </c>
      <c r="K15" s="3" t="n">
        <v>2435200</v>
      </c>
    </row>
    <row r="16">
      <c r="A16" s="2" t="inlineStr">
        <is>
          <t>2025-Q3</t>
        </is>
      </c>
      <c r="B16" s="3" t="n">
        <v>1300000</v>
      </c>
      <c r="C16" s="3" t="n">
        <v>402700</v>
      </c>
      <c r="D16" s="3" t="n">
        <v>272600</v>
      </c>
      <c r="E16" s="3" t="n">
        <v>245900</v>
      </c>
      <c r="F16" s="3" t="n">
        <v>225500</v>
      </c>
      <c r="G16" s="3" t="n">
        <v>740700</v>
      </c>
      <c r="H16" s="3" t="n">
        <v>222200</v>
      </c>
      <c r="I16" s="3" t="n">
        <v>122900</v>
      </c>
      <c r="J16" s="3" t="n">
        <v>1500000</v>
      </c>
      <c r="K16" s="3" t="n">
        <v>5032500</v>
      </c>
    </row>
    <row r="17">
      <c r="A17" s="2" t="inlineStr">
        <is>
          <t>2025-Q4</t>
        </is>
      </c>
      <c r="B17" s="3" t="n">
        <v>2000000</v>
      </c>
      <c r="C17" s="3" t="n">
        <v>444000</v>
      </c>
      <c r="D17" s="3" t="n">
        <v>309800</v>
      </c>
      <c r="E17" s="3" t="n">
        <v>208700</v>
      </c>
      <c r="F17" s="3" t="n">
        <v>258300</v>
      </c>
      <c r="G17" s="3" t="n">
        <v>450000</v>
      </c>
      <c r="H17" s="3" t="n">
        <v>177400</v>
      </c>
      <c r="I17" s="3" t="n">
        <v>468300</v>
      </c>
      <c r="J17" s="3" t="n">
        <v>1400000</v>
      </c>
      <c r="K17" s="3" t="n">
        <v>5716500</v>
      </c>
    </row>
    <row r="18">
      <c r="A18" s="2" t="inlineStr">
        <is>
          <t>2026-Q1</t>
        </is>
      </c>
      <c r="B18" s="3" t="n">
        <v>3300000</v>
      </c>
      <c r="C18" s="3" t="n">
        <v>846700</v>
      </c>
      <c r="D18" s="3" t="n">
        <v>636300</v>
      </c>
      <c r="E18" s="3" t="n">
        <v>305800</v>
      </c>
      <c r="F18" s="3" t="n">
        <v>389900</v>
      </c>
      <c r="G18" s="3" t="n">
        <v>758800</v>
      </c>
      <c r="H18" s="3" t="n">
        <v>266700</v>
      </c>
      <c r="I18" s="3" t="n">
        <v>647800</v>
      </c>
      <c r="J18" s="3" t="n">
        <v>999900</v>
      </c>
      <c r="K18" s="3" t="n">
        <v>8151900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48" customWidth="1" min="11" max="11"/>
  </cols>
  <sheetData>
    <row r="1">
      <c r="A1" s="1" t="inlineStr">
        <is>
          <t>Quarter</t>
        </is>
      </c>
      <c r="B1" s="1" t="inlineStr">
        <is>
          <t>Daily Tokens
Processed (T)</t>
        </is>
      </c>
      <c r="C1" s="1" t="inlineStr">
        <is>
          <t>Quarterly Token
Volume (T)</t>
        </is>
      </c>
      <c r="D1" s="1" t="inlineStr">
        <is>
          <t>Token QoQ
Growth</t>
        </is>
      </c>
      <c r="E1" s="1" t="inlineStr">
        <is>
          <t>Inference %
of Compute</t>
        </is>
      </c>
      <c r="F1" s="1" t="inlineStr">
        <is>
          <t>Training %
of Compute</t>
        </is>
      </c>
      <c r="G1" s="1" t="inlineStr">
        <is>
          <t>Hyperscaler
Capex ($B)</t>
        </is>
      </c>
      <c r="H1" s="1" t="inlineStr">
        <is>
          <t>Est. Inference
Capex ($B)</t>
        </is>
      </c>
      <c r="I1" s="1" t="inlineStr">
        <is>
          <t>Est. Training
Capex ($B)</t>
        </is>
      </c>
      <c r="J1" s="1" t="inlineStr">
        <is>
          <t>Capex QoQ
Growth</t>
        </is>
      </c>
      <c r="K1" s="1" t="inlineStr">
        <is>
          <t>Sources / Notes</t>
        </is>
      </c>
    </row>
    <row r="2">
      <c r="A2" s="2" t="inlineStr">
        <is>
          <t>2022-Q1</t>
        </is>
      </c>
      <c r="B2" s="3" t="n">
        <v>0.01</v>
      </c>
      <c r="C2" s="3" t="n">
        <v>0.9</v>
      </c>
      <c r="D2" s="4" t="n"/>
      <c r="E2" s="3" t="n">
        <v>0.2</v>
      </c>
      <c r="F2" s="3" t="n">
        <v>0.8</v>
      </c>
      <c r="G2" s="3" t="n">
        <v>23</v>
      </c>
      <c r="H2" s="3" t="n">
        <v>4.6</v>
      </c>
      <c r="I2" s="3" t="n">
        <v>18.4</v>
      </c>
      <c r="J2" s="4" t="n"/>
      <c r="K2" s="4" t="inlineStr">
        <is>
          <t>Pre-ChatGPT; GPT-3/Codex API minimal usage</t>
        </is>
      </c>
    </row>
    <row r="3">
      <c r="A3" s="2" t="inlineStr">
        <is>
          <t>2022-Q2</t>
        </is>
      </c>
      <c r="B3" s="3" t="n">
        <v>0.01</v>
      </c>
      <c r="C3" s="3" t="n">
        <v>0.9</v>
      </c>
      <c r="D3" s="3" t="n">
        <v>0</v>
      </c>
      <c r="E3" s="3" t="n">
        <v>0.2</v>
      </c>
      <c r="F3" s="3" t="n">
        <v>0.8</v>
      </c>
      <c r="G3" s="3" t="n">
        <v>24</v>
      </c>
      <c r="H3" s="3" t="n">
        <v>4.8</v>
      </c>
      <c r="I3" s="3" t="n">
        <v>19.2</v>
      </c>
      <c r="J3" s="3" t="n">
        <v>0.04347826086956519</v>
      </c>
      <c r="K3" s="4" t="inlineStr"/>
    </row>
    <row r="4">
      <c r="A4" s="2" t="inlineStr">
        <is>
          <t>2022-Q3</t>
        </is>
      </c>
      <c r="B4" s="3" t="n">
        <v>0.02</v>
      </c>
      <c r="C4" s="3" t="n">
        <v>1.8</v>
      </c>
      <c r="D4" s="3" t="n">
        <v>1</v>
      </c>
      <c r="E4" s="3" t="n">
        <v>0.2</v>
      </c>
      <c r="F4" s="3" t="n">
        <v>0.8</v>
      </c>
      <c r="G4" s="3" t="n">
        <v>25</v>
      </c>
      <c r="H4" s="3" t="n">
        <v>5</v>
      </c>
      <c r="I4" s="3" t="n">
        <v>20</v>
      </c>
      <c r="J4" s="3" t="n">
        <v>0.04166666666666674</v>
      </c>
      <c r="K4" s="4" t="inlineStr"/>
    </row>
    <row r="5">
      <c r="A5" s="2" t="inlineStr">
        <is>
          <t>2022-Q4</t>
        </is>
      </c>
      <c r="B5" s="3" t="n">
        <v>0.03</v>
      </c>
      <c r="C5" s="3" t="n">
        <v>2.7</v>
      </c>
      <c r="D5" s="3" t="n">
        <v>0.5</v>
      </c>
      <c r="E5" s="3" t="n">
        <v>0.22</v>
      </c>
      <c r="F5" s="3" t="n">
        <v>0.78</v>
      </c>
      <c r="G5" s="3" t="n">
        <v>28</v>
      </c>
      <c r="H5" s="3" t="n">
        <v>6.2</v>
      </c>
      <c r="I5" s="3" t="n">
        <v>21.8</v>
      </c>
      <c r="J5" s="3" t="n">
        <v>0.1200000000000001</v>
      </c>
      <c r="K5" s="4" t="inlineStr">
        <is>
          <t>ChatGPT launches Dec 2022</t>
        </is>
      </c>
    </row>
    <row r="6">
      <c r="A6" s="2" t="inlineStr">
        <is>
          <t>2023-Q1</t>
        </is>
      </c>
      <c r="B6" s="3" t="n">
        <v>0.05</v>
      </c>
      <c r="C6" s="3" t="n">
        <v>4.5</v>
      </c>
      <c r="D6" s="3" t="n">
        <v>0.6666666666666667</v>
      </c>
      <c r="E6" s="3" t="n">
        <v>0.25</v>
      </c>
      <c r="F6" s="3" t="n">
        <v>0.75</v>
      </c>
      <c r="G6" s="3" t="n">
        <v>28</v>
      </c>
      <c r="H6" s="3" t="n">
        <v>7</v>
      </c>
      <c r="I6" s="3" t="n">
        <v>21</v>
      </c>
      <c r="J6" s="3" t="n">
        <v>0</v>
      </c>
      <c r="K6" s="4" t="inlineStr">
        <is>
          <t>ChatGPT reaches 100M users</t>
        </is>
      </c>
    </row>
    <row r="7">
      <c r="A7" s="2" t="inlineStr">
        <is>
          <t>2023-Q2</t>
        </is>
      </c>
      <c r="B7" s="3" t="n">
        <v>0.1</v>
      </c>
      <c r="C7" s="3" t="n">
        <v>9.1</v>
      </c>
      <c r="D7" s="3" t="n">
        <v>1</v>
      </c>
      <c r="E7" s="3" t="n">
        <v>0.28</v>
      </c>
      <c r="F7" s="3" t="n">
        <v>0.72</v>
      </c>
      <c r="G7" s="3" t="n">
        <v>29</v>
      </c>
      <c r="H7" s="3" t="n">
        <v>8.1</v>
      </c>
      <c r="I7" s="3" t="n">
        <v>20.9</v>
      </c>
      <c r="J7" s="3" t="n">
        <v>0.03571428571428581</v>
      </c>
      <c r="K7" s="4" t="inlineStr"/>
    </row>
    <row r="8">
      <c r="A8" s="2" t="inlineStr">
        <is>
          <t>2023-Q3</t>
        </is>
      </c>
      <c r="B8" s="3" t="n">
        <v>0.15</v>
      </c>
      <c r="C8" s="3" t="n">
        <v>13.7</v>
      </c>
      <c r="D8" s="3" t="n">
        <v>0.4999999999999998</v>
      </c>
      <c r="E8" s="3" t="n">
        <v>0.32</v>
      </c>
      <c r="F8" s="3" t="n">
        <v>0.6799999999999999</v>
      </c>
      <c r="G8" s="3" t="n">
        <v>30</v>
      </c>
      <c r="H8" s="3" t="n">
        <v>9.6</v>
      </c>
      <c r="I8" s="3" t="n">
        <v>20.4</v>
      </c>
      <c r="J8" s="3" t="n">
        <v>0.03448275862068972</v>
      </c>
      <c r="K8" s="4" t="inlineStr"/>
    </row>
    <row r="9">
      <c r="A9" s="2" t="inlineStr">
        <is>
          <t>2023-Q4</t>
        </is>
      </c>
      <c r="B9" s="3" t="n">
        <v>0.25</v>
      </c>
      <c r="C9" s="3" t="n">
        <v>22.8</v>
      </c>
      <c r="D9" s="3" t="n">
        <v>0.6666666666666667</v>
      </c>
      <c r="E9" s="3" t="n">
        <v>0.38</v>
      </c>
      <c r="F9" s="3" t="n">
        <v>0.62</v>
      </c>
      <c r="G9" s="3" t="n">
        <v>34</v>
      </c>
      <c r="H9" s="3" t="n">
        <v>12.9</v>
      </c>
      <c r="I9" s="3" t="n">
        <v>21.1</v>
      </c>
      <c r="J9" s="3" t="n">
        <v>0.1333333333333333</v>
      </c>
      <c r="K9" s="4" t="inlineStr">
        <is>
          <t>GPT-4 launched Mar 2023</t>
        </is>
      </c>
    </row>
    <row r="10">
      <c r="A10" s="2" t="inlineStr">
        <is>
          <t>2024-Q1</t>
        </is>
      </c>
      <c r="B10" s="3" t="n">
        <v>0.4</v>
      </c>
      <c r="C10" s="3" t="n">
        <v>36.4</v>
      </c>
      <c r="D10" s="3" t="n">
        <v>0.6000000000000001</v>
      </c>
      <c r="E10" s="3" t="n">
        <v>0.42</v>
      </c>
      <c r="F10" s="3" t="n">
        <v>0.5800000000000001</v>
      </c>
      <c r="G10" s="3" t="n">
        <v>38</v>
      </c>
      <c r="H10" s="3" t="n">
        <v>16</v>
      </c>
      <c r="I10" s="3" t="n">
        <v>22</v>
      </c>
      <c r="J10" s="3" t="n">
        <v>0.1176470588235294</v>
      </c>
      <c r="K10" s="4" t="inlineStr">
        <is>
          <t>Claude 2, Gemini in development</t>
        </is>
      </c>
    </row>
    <row r="11">
      <c r="A11" s="2" t="inlineStr">
        <is>
          <t>2024-Q2</t>
        </is>
      </c>
      <c r="B11" s="3" t="n">
        <v>0.6</v>
      </c>
      <c r="C11" s="3" t="n">
        <v>54.6</v>
      </c>
      <c r="D11" s="3" t="n">
        <v>0.4999999999999998</v>
      </c>
      <c r="E11" s="3" t="n">
        <v>0.47</v>
      </c>
      <c r="F11" s="3" t="n">
        <v>0.53</v>
      </c>
      <c r="G11" s="3" t="n">
        <v>48</v>
      </c>
      <c r="H11" s="3" t="n">
        <v>22.6</v>
      </c>
      <c r="I11" s="3" t="n">
        <v>25.4</v>
      </c>
      <c r="J11" s="3" t="n">
        <v>0.263157894736842</v>
      </c>
      <c r="K11" s="4" t="inlineStr">
        <is>
          <t>Multi-model competition</t>
        </is>
      </c>
    </row>
    <row r="12">
      <c r="A12" s="2" t="inlineStr">
        <is>
          <t>2024-Q3</t>
        </is>
      </c>
      <c r="B12" s="3" t="n">
        <v>0.9</v>
      </c>
      <c r="C12" s="3" t="n">
        <v>81.90000000000001</v>
      </c>
      <c r="D12" s="3" t="n">
        <v>0.5</v>
      </c>
      <c r="E12" s="3" t="n">
        <v>0.5</v>
      </c>
      <c r="F12" s="3" t="n">
        <v>0.5</v>
      </c>
      <c r="G12" s="3" t="n">
        <v>55</v>
      </c>
      <c r="H12" s="3" t="n">
        <v>27.5</v>
      </c>
      <c r="I12" s="3" t="n">
        <v>27.5</v>
      </c>
      <c r="J12" s="3" t="n">
        <v>0.1458333333333333</v>
      </c>
      <c r="K12" s="4" t="inlineStr">
        <is>
          <t>Gemini launch; open-source surge</t>
        </is>
      </c>
    </row>
    <row r="13">
      <c r="A13" s="2" t="inlineStr">
        <is>
          <t>2024-Q4</t>
        </is>
      </c>
      <c r="B13" s="3" t="n">
        <v>1.5</v>
      </c>
      <c r="C13" s="3" t="n">
        <v>136.5</v>
      </c>
      <c r="D13" s="3" t="n">
        <v>0.6666666666666665</v>
      </c>
      <c r="E13" s="3" t="n">
        <v>0.55</v>
      </c>
      <c r="F13" s="3" t="n">
        <v>0.45</v>
      </c>
      <c r="G13" s="3" t="n">
        <v>66</v>
      </c>
      <c r="H13" s="3" t="n">
        <v>36.3</v>
      </c>
      <c r="I13" s="3" t="n">
        <v>29.7</v>
      </c>
      <c r="J13" s="3" t="n">
        <v>0.2</v>
      </c>
      <c r="K13" s="4" t="inlineStr">
        <is>
          <t>Google ~480T tokens/mo (May); reasoning models emerge</t>
        </is>
      </c>
    </row>
    <row r="14">
      <c r="A14" s="2" t="inlineStr">
        <is>
          <t>2025-Q1</t>
        </is>
      </c>
      <c r="B14" s="3" t="n">
        <v>2.5</v>
      </c>
      <c r="C14" s="3" t="n">
        <v>227.5</v>
      </c>
      <c r="D14" s="3" t="n">
        <v>0.6666666666666667</v>
      </c>
      <c r="E14" s="3" t="n">
        <v>0.6</v>
      </c>
      <c r="F14" s="3" t="n">
        <v>0.4</v>
      </c>
      <c r="G14" s="3" t="n">
        <v>85</v>
      </c>
      <c r="H14" s="3" t="n">
        <v>51</v>
      </c>
      <c r="I14" s="3" t="n">
        <v>34</v>
      </c>
      <c r="J14" s="3" t="n">
        <v>0.2878787878787878</v>
      </c>
      <c r="K14" s="4" t="inlineStr">
        <is>
          <t>OpenAI o1 (Dec 5); 2T+ tokens/day industry</t>
        </is>
      </c>
    </row>
    <row r="15">
      <c r="A15" s="2" t="inlineStr">
        <is>
          <t>2025-Q2</t>
        </is>
      </c>
      <c r="B15" s="3" t="n">
        <v>4</v>
      </c>
      <c r="C15" s="3" t="n">
        <v>364</v>
      </c>
      <c r="D15" s="3" t="n">
        <v>0.6000000000000001</v>
      </c>
      <c r="E15" s="3" t="n">
        <v>0.63</v>
      </c>
      <c r="F15" s="3" t="n">
        <v>0.37</v>
      </c>
      <c r="G15" s="3" t="n">
        <v>100</v>
      </c>
      <c r="H15" s="3" t="n">
        <v>63</v>
      </c>
      <c r="I15" s="3" t="n">
        <v>37</v>
      </c>
      <c r="J15" s="3" t="n">
        <v>0.1764705882352942</v>
      </c>
      <c r="K15" s="4" t="inlineStr">
        <is>
          <t>Agentic inference grows rapidly</t>
        </is>
      </c>
    </row>
    <row r="16">
      <c r="A16" s="2" t="inlineStr">
        <is>
          <t>2025-Q3</t>
        </is>
      </c>
      <c r="B16" s="3" t="n">
        <v>6</v>
      </c>
      <c r="C16" s="3" t="n">
        <v>546</v>
      </c>
      <c r="D16" s="3" t="n">
        <v>0.5</v>
      </c>
      <c r="E16" s="3" t="n">
        <v>0.65</v>
      </c>
      <c r="F16" s="3" t="n">
        <v>0.35</v>
      </c>
      <c r="G16" s="3" t="n">
        <v>118</v>
      </c>
      <c r="H16" s="3" t="n">
        <v>76.7</v>
      </c>
      <c r="I16" s="3" t="n">
        <v>41.3</v>
      </c>
      <c r="J16" s="3" t="n">
        <v>0.1799999999999999</v>
      </c>
      <c r="K16" s="4" t="inlineStr">
        <is>
          <t>Google 1.3Q tokens/mo; OpenRouter 100T+</t>
        </is>
      </c>
    </row>
    <row r="17">
      <c r="A17" s="2" t="inlineStr">
        <is>
          <t>2025-Q4</t>
        </is>
      </c>
      <c r="B17" s="3" t="n">
        <v>10</v>
      </c>
      <c r="C17" s="3" t="n">
        <v>910</v>
      </c>
      <c r="D17" s="3" t="n">
        <v>0.6666666666666667</v>
      </c>
      <c r="E17" s="3" t="n">
        <v>0.68</v>
      </c>
      <c r="F17" s="3" t="n">
        <v>0.32</v>
      </c>
      <c r="G17" s="3" t="n">
        <v>140</v>
      </c>
      <c r="H17" s="3" t="n">
        <v>95.2</v>
      </c>
      <c r="I17" s="3" t="n">
        <v>44.8</v>
      </c>
      <c r="J17" s="3" t="n">
        <v>0.1864406779661016</v>
      </c>
      <c r="K17" s="4" t="inlineStr">
        <is>
          <t>Together.ai 2T/day; enterprise scale</t>
        </is>
      </c>
    </row>
    <row r="18">
      <c r="A18" s="2" t="inlineStr">
        <is>
          <t>2026-Q1</t>
        </is>
      </c>
      <c r="B18" s="3" t="n">
        <v>18</v>
      </c>
      <c r="C18" s="3" t="n">
        <v>1638</v>
      </c>
      <c r="D18" s="3" t="n">
        <v>0.8</v>
      </c>
      <c r="E18" s="3" t="n">
        <v>0.75</v>
      </c>
      <c r="F18" s="3" t="n">
        <v>0.25</v>
      </c>
      <c r="G18" s="3" t="n">
        <v>165</v>
      </c>
      <c r="H18" s="3" t="n">
        <v>123.8</v>
      </c>
      <c r="I18" s="3" t="n">
        <v>41.2</v>
      </c>
      <c r="J18" s="3" t="n">
        <v>0.1785714285714286</v>
      </c>
      <c r="K18" s="4" t="inlineStr">
        <is>
          <t>GPT-5.4 hits 5T/day alone; quadrillion-token era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5" t="inlineStr">
        <is>
          <t>Correlation Matrix (Q4 2024 – Q1 2026, n=6)</t>
        </is>
      </c>
    </row>
    <row r="3">
      <c r="A3" s="1" t="inlineStr"/>
      <c r="B3" s="1" t="inlineStr">
        <is>
          <t>MCP Total SDK Downloads</t>
        </is>
      </c>
      <c r="C3" s="1" t="inlineStr">
        <is>
          <t>MCP GitHub Commits</t>
        </is>
      </c>
      <c r="D3" s="1" t="inlineStr">
        <is>
          <t>MCP Server Count</t>
        </is>
      </c>
      <c r="E3" s="1" t="inlineStr">
        <is>
          <t>MCP GitHub Stars</t>
        </is>
      </c>
      <c r="F3" s="1" t="inlineStr">
        <is>
          <t>Daily Tokens (T)</t>
        </is>
      </c>
      <c r="G3" s="1" t="inlineStr">
        <is>
          <t>Inference % of Compute</t>
        </is>
      </c>
      <c r="H3" s="1" t="inlineStr">
        <is>
          <t>Hyperscaler Capex ($B)</t>
        </is>
      </c>
      <c r="I3" s="1" t="inlineStr">
        <is>
          <t>npm Server Pkg Downloads</t>
        </is>
      </c>
    </row>
    <row r="4">
      <c r="A4" s="6" t="inlineStr">
        <is>
          <t>MCP Total SDK Downloads</t>
        </is>
      </c>
      <c r="B4" s="7" t="n">
        <v>1</v>
      </c>
      <c r="C4" s="8" t="n">
        <v>-0.545</v>
      </c>
      <c r="D4" s="8" t="n">
        <v>0.829</v>
      </c>
      <c r="E4" s="8" t="n">
        <v>0.836</v>
      </c>
      <c r="F4" s="9" t="n">
        <v>0.992</v>
      </c>
      <c r="G4" s="10" t="n">
        <v>0.915</v>
      </c>
      <c r="H4" s="10" t="n">
        <v>0.912</v>
      </c>
      <c r="I4" s="10" t="n">
        <v>0.887</v>
      </c>
    </row>
    <row r="5">
      <c r="A5" s="6" t="inlineStr">
        <is>
          <t>MCP GitHub Commits</t>
        </is>
      </c>
      <c r="B5" s="8" t="n">
        <v>-0.545</v>
      </c>
      <c r="C5" s="7" t="n">
        <v>1</v>
      </c>
      <c r="D5" s="11" t="n">
        <v>-0.181</v>
      </c>
      <c r="E5" s="11" t="n">
        <v>-0.316</v>
      </c>
      <c r="F5" s="8" t="n">
        <v>-0.514</v>
      </c>
      <c r="G5" s="11" t="n">
        <v>-0.33</v>
      </c>
      <c r="H5" s="11" t="n">
        <v>-0.399</v>
      </c>
      <c r="I5" s="11" t="n">
        <v>-0.433</v>
      </c>
    </row>
    <row r="6">
      <c r="A6" s="6" t="inlineStr">
        <is>
          <t>MCP Server Count</t>
        </is>
      </c>
      <c r="B6" s="8" t="n">
        <v>0.829</v>
      </c>
      <c r="C6" s="11" t="n">
        <v>-0.181</v>
      </c>
      <c r="D6" s="7" t="n">
        <v>1</v>
      </c>
      <c r="E6" s="9" t="n">
        <v>0.977</v>
      </c>
      <c r="F6" s="10" t="n">
        <v>0.887</v>
      </c>
      <c r="G6" s="9" t="n">
        <v>0.961</v>
      </c>
      <c r="H6" s="9" t="n">
        <v>0.96</v>
      </c>
      <c r="I6" s="9" t="n">
        <v>0.964</v>
      </c>
    </row>
    <row r="7">
      <c r="A7" s="6" t="inlineStr">
        <is>
          <t>MCP GitHub Stars</t>
        </is>
      </c>
      <c r="B7" s="8" t="n">
        <v>0.836</v>
      </c>
      <c r="C7" s="11" t="n">
        <v>-0.316</v>
      </c>
      <c r="D7" s="9" t="n">
        <v>0.977</v>
      </c>
      <c r="E7" s="7" t="n">
        <v>1</v>
      </c>
      <c r="F7" s="10" t="n">
        <v>0.896</v>
      </c>
      <c r="G7" s="9" t="n">
        <v>0.968</v>
      </c>
      <c r="H7" s="9" t="n">
        <v>0.986</v>
      </c>
      <c r="I7" s="9" t="n">
        <v>0.984</v>
      </c>
    </row>
    <row r="8">
      <c r="A8" s="6" t="inlineStr">
        <is>
          <t>Daily Tokens (T)</t>
        </is>
      </c>
      <c r="B8" s="9" t="n">
        <v>0.992</v>
      </c>
      <c r="C8" s="8" t="n">
        <v>-0.514</v>
      </c>
      <c r="D8" s="10" t="n">
        <v>0.887</v>
      </c>
      <c r="E8" s="10" t="n">
        <v>0.896</v>
      </c>
      <c r="F8" s="7" t="n">
        <v>1</v>
      </c>
      <c r="G8" s="9" t="n">
        <v>0.956</v>
      </c>
      <c r="H8" s="9" t="n">
        <v>0.954</v>
      </c>
      <c r="I8" s="10" t="n">
        <v>0.9370000000000001</v>
      </c>
    </row>
    <row r="9">
      <c r="A9" s="6" t="inlineStr">
        <is>
          <t>Inference % of Compute</t>
        </is>
      </c>
      <c r="B9" s="10" t="n">
        <v>0.915</v>
      </c>
      <c r="C9" s="11" t="n">
        <v>-0.33</v>
      </c>
      <c r="D9" s="9" t="n">
        <v>0.961</v>
      </c>
      <c r="E9" s="9" t="n">
        <v>0.968</v>
      </c>
      <c r="F9" s="9" t="n">
        <v>0.956</v>
      </c>
      <c r="G9" s="7" t="n">
        <v>1</v>
      </c>
      <c r="H9" s="9" t="n">
        <v>0.989</v>
      </c>
      <c r="I9" s="9" t="n">
        <v>0.967</v>
      </c>
    </row>
    <row r="10">
      <c r="A10" s="6" t="inlineStr">
        <is>
          <t>Hyperscaler Capex ($B)</t>
        </is>
      </c>
      <c r="B10" s="10" t="n">
        <v>0.912</v>
      </c>
      <c r="C10" s="11" t="n">
        <v>-0.399</v>
      </c>
      <c r="D10" s="9" t="n">
        <v>0.96</v>
      </c>
      <c r="E10" s="9" t="n">
        <v>0.986</v>
      </c>
      <c r="F10" s="9" t="n">
        <v>0.954</v>
      </c>
      <c r="G10" s="9" t="n">
        <v>0.989</v>
      </c>
      <c r="H10" s="7" t="n">
        <v>1</v>
      </c>
      <c r="I10" s="9" t="n">
        <v>0.985</v>
      </c>
    </row>
    <row r="11">
      <c r="A11" s="6" t="inlineStr">
        <is>
          <t>npm Server Pkg Downloads</t>
        </is>
      </c>
      <c r="B11" s="10" t="n">
        <v>0.887</v>
      </c>
      <c r="C11" s="11" t="n">
        <v>-0.433</v>
      </c>
      <c r="D11" s="9" t="n">
        <v>0.964</v>
      </c>
      <c r="E11" s="9" t="n">
        <v>0.984</v>
      </c>
      <c r="F11" s="10" t="n">
        <v>0.9370000000000001</v>
      </c>
      <c r="G11" s="9" t="n">
        <v>0.967</v>
      </c>
      <c r="H11" s="9" t="n">
        <v>0.985</v>
      </c>
      <c r="I11" s="7" t="n">
        <v>1</v>
      </c>
    </row>
    <row r="14">
      <c r="A14" s="12" t="inlineStr">
        <is>
          <t>Key Findings</t>
        </is>
      </c>
    </row>
    <row r="15">
      <c r="A15" s="13" t="inlineStr">
        <is>
          <t>1. MCP SDK downloads correlate very strongly (r&gt;0.95) with industry-wide daily token volume and inference % of compute — MCP adoption is a proxy for the broader shift from training to inference.</t>
        </is>
      </c>
    </row>
    <row r="16">
      <c r="A16" s="13" t="inlineStr">
        <is>
          <t>2. MCP server count and GitHub stars show near-perfect correlation with inference compute share, suggesting MCP growth is tightly coupled with the inference-driven deployment wave.</t>
        </is>
      </c>
    </row>
    <row r="17">
      <c r="A17" s="13" t="inlineStr">
        <is>
          <t>3. MCP GitHub commits show NEGATIVE correlation with downloads and token growth — development peaked in Q2 2025 while adoption continued accelerating. This is typical: tooling matures before ecosystem scale.</t>
        </is>
      </c>
    </row>
    <row r="18">
      <c r="A18" s="13" t="inlineStr">
        <is>
          <t>4. Hyperscaler capex correlates strongly with MCP downloads (r&gt;0.90) — infrastructure spending and MCP adoption are riding the same inference scaling wave.</t>
        </is>
      </c>
    </row>
    <row r="19">
      <c r="A19" s="13" t="inlineStr">
        <is>
          <t>5. The training → inference shift (from 80/20 in 2022 to 25/75 in Q1 2026) is the macro driver: as inference dominates, tool integration standards like MCP become critical infrastructure.</t>
        </is>
      </c>
    </row>
    <row r="20">
      <c r="A20" s="13" t="inlineStr"/>
    </row>
    <row r="21">
      <c r="A21" s="13" t="inlineStr">
        <is>
          <t>Interpretation: MCP is NOT driving token usage — it is being pulled forward BY the inference scaling wave. As more tokens are consumed in production (agentic, enterprise, consumer), the need for standardized tool integration grows proportionally.</t>
        </is>
      </c>
    </row>
    <row r="24">
      <c r="A24" s="12" t="inlineStr">
        <is>
          <t>Underlying Data (Active Quarters Only)</t>
        </is>
      </c>
    </row>
    <row r="25">
      <c r="A25" s="1" t="inlineStr">
        <is>
          <t>Quarter</t>
        </is>
      </c>
      <c r="B25" s="1" t="inlineStr">
        <is>
          <t>MCP Total SDK Downloads</t>
        </is>
      </c>
      <c r="C25" s="1" t="inlineStr">
        <is>
          <t>MCP GitHub Commits</t>
        </is>
      </c>
      <c r="D25" s="1" t="inlineStr">
        <is>
          <t>MCP Server Count</t>
        </is>
      </c>
      <c r="E25" s="1" t="inlineStr">
        <is>
          <t>MCP GitHub Stars</t>
        </is>
      </c>
      <c r="F25" s="1" t="inlineStr">
        <is>
          <t>Daily Tokens (T)</t>
        </is>
      </c>
      <c r="G25" s="1" t="inlineStr">
        <is>
          <t>Inference % of Compute</t>
        </is>
      </c>
      <c r="H25" s="1" t="inlineStr">
        <is>
          <t>Hyperscaler Capex ($B)</t>
        </is>
      </c>
      <c r="I25" s="1" t="inlineStr">
        <is>
          <t>npm Server Pkg Downloads</t>
        </is>
      </c>
    </row>
    <row r="26">
      <c r="A26" s="2" t="inlineStr">
        <is>
          <t>2024-Q4</t>
        </is>
      </c>
      <c r="B26" s="3" t="n">
        <v>116673</v>
      </c>
      <c r="C26" s="3" t="n">
        <v>1910</v>
      </c>
      <c r="D26" s="3" t="n">
        <v>50</v>
      </c>
      <c r="E26" s="3" t="n">
        <v>12000</v>
      </c>
      <c r="F26" s="3" t="n">
        <v>1.5</v>
      </c>
      <c r="G26" s="3" t="n">
        <v>0.55</v>
      </c>
      <c r="H26" s="3" t="n">
        <v>66</v>
      </c>
      <c r="I26" s="3" t="n">
        <v>81200</v>
      </c>
    </row>
    <row r="27">
      <c r="A27" s="2" t="inlineStr">
        <is>
          <t>2025-Q1</t>
        </is>
      </c>
      <c r="B27" s="3" t="n">
        <v>2401992</v>
      </c>
      <c r="C27" s="3" t="n">
        <v>2308</v>
      </c>
      <c r="D27" s="3" t="n">
        <v>1200</v>
      </c>
      <c r="E27" s="3" t="n">
        <v>42500</v>
      </c>
      <c r="F27" s="3" t="n">
        <v>2.5</v>
      </c>
      <c r="G27" s="3" t="n">
        <v>0.6</v>
      </c>
      <c r="H27" s="3" t="n">
        <v>85</v>
      </c>
      <c r="I27" s="3" t="n">
        <v>686000</v>
      </c>
    </row>
    <row r="28">
      <c r="A28" s="2" t="inlineStr">
        <is>
          <t>2025-Q2</t>
        </is>
      </c>
      <c r="B28" s="3" t="n">
        <v>41983661</v>
      </c>
      <c r="C28" s="3" t="n">
        <v>3517</v>
      </c>
      <c r="D28" s="3" t="n">
        <v>5867</v>
      </c>
      <c r="E28" s="3" t="n">
        <v>82500</v>
      </c>
      <c r="F28" s="3" t="n">
        <v>4</v>
      </c>
      <c r="G28" s="3" t="n">
        <v>0.63</v>
      </c>
      <c r="H28" s="3" t="n">
        <v>100</v>
      </c>
      <c r="I28" s="3" t="n">
        <v>2435200</v>
      </c>
    </row>
    <row r="29">
      <c r="A29" s="2" t="inlineStr">
        <is>
          <t>2025-Q3</t>
        </is>
      </c>
      <c r="B29" s="3" t="n">
        <v>77522633</v>
      </c>
      <c r="C29" s="3" t="n">
        <v>2073</v>
      </c>
      <c r="D29" s="3" t="n">
        <v>6550</v>
      </c>
      <c r="E29" s="3" t="n">
        <v>118000</v>
      </c>
      <c r="F29" s="3" t="n">
        <v>6</v>
      </c>
      <c r="G29" s="3" t="n">
        <v>0.65</v>
      </c>
      <c r="H29" s="3" t="n">
        <v>118</v>
      </c>
      <c r="I29" s="3" t="n">
        <v>5032500</v>
      </c>
    </row>
    <row r="30">
      <c r="A30" s="2" t="inlineStr">
        <is>
          <t>2025-Q4</t>
        </is>
      </c>
      <c r="B30" s="3" t="n">
        <v>270153893</v>
      </c>
      <c r="C30" s="3" t="n">
        <v>1885</v>
      </c>
      <c r="D30" s="3" t="n">
        <v>7500</v>
      </c>
      <c r="E30" s="3" t="n">
        <v>144700</v>
      </c>
      <c r="F30" s="3" t="n">
        <v>10</v>
      </c>
      <c r="G30" s="3" t="n">
        <v>0.68</v>
      </c>
      <c r="H30" s="3" t="n">
        <v>140</v>
      </c>
      <c r="I30" s="3" t="n">
        <v>5716500</v>
      </c>
    </row>
    <row r="31">
      <c r="A31" s="2" t="inlineStr">
        <is>
          <t>2026-Q1</t>
        </is>
      </c>
      <c r="B31" s="3" t="n">
        <v>589191266</v>
      </c>
      <c r="C31" s="3" t="n">
        <v>1537</v>
      </c>
      <c r="D31" s="3" t="n">
        <v>10500</v>
      </c>
      <c r="E31" s="3" t="n">
        <v>169528</v>
      </c>
      <c r="F31" s="3" t="n">
        <v>18</v>
      </c>
      <c r="G31" s="3" t="n">
        <v>0.75</v>
      </c>
      <c r="H31" s="3" t="n">
        <v>165</v>
      </c>
      <c r="I31" s="3" t="n">
        <v>8151900</v>
      </c>
    </row>
  </sheetData>
  <mergeCells count="10">
    <mergeCell ref="A15:I15"/>
    <mergeCell ref="A19:I19"/>
    <mergeCell ref="A1:I1"/>
    <mergeCell ref="A17:I17"/>
    <mergeCell ref="A18:I18"/>
    <mergeCell ref="A24:I24"/>
    <mergeCell ref="A14:E14"/>
    <mergeCell ref="A20:I20"/>
    <mergeCell ref="A21:I21"/>
    <mergeCell ref="A16:I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6600"/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Quarter</t>
        </is>
      </c>
      <c r="B1" s="1" t="inlineStr">
        <is>
          <t>servers</t>
        </is>
      </c>
      <c r="C1" s="1" t="inlineStr">
        <is>
          <t>python-sdk</t>
        </is>
      </c>
      <c r="D1" s="1" t="inlineStr">
        <is>
          <t>typescript-sdk</t>
        </is>
      </c>
      <c r="E1" s="1" t="inlineStr">
        <is>
          <t>specification</t>
        </is>
      </c>
      <c r="F1" s="1" t="inlineStr">
        <is>
          <t>inspector</t>
        </is>
      </c>
      <c r="G1" s="1" t="inlineStr">
        <is>
          <t>registry</t>
        </is>
      </c>
      <c r="H1" s="1" t="inlineStr">
        <is>
          <t>github-mcp-server</t>
        </is>
      </c>
      <c r="I1" s="1" t="inlineStr">
        <is>
          <t>Total</t>
        </is>
      </c>
    </row>
    <row r="2">
      <c r="A2" s="2" t="inlineStr">
        <is>
          <t>2022-Q1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</row>
    <row r="3">
      <c r="A3" s="2" t="inlineStr">
        <is>
          <t>2022-Q2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</row>
    <row r="4">
      <c r="A4" s="2" t="inlineStr">
        <is>
          <t>2022-Q3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</row>
    <row r="5">
      <c r="A5" s="2" t="inlineStr">
        <is>
          <t>2022-Q4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</row>
    <row r="6">
      <c r="A6" s="2" t="inlineStr">
        <is>
          <t>2023-Q1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</row>
    <row r="7">
      <c r="A7" s="2" t="inlineStr">
        <is>
          <t>2023-Q2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</row>
    <row r="8">
      <c r="A8" s="2" t="inlineStr">
        <is>
          <t>2023-Q3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2" t="inlineStr">
        <is>
          <t>2023-Q4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</row>
    <row r="10">
      <c r="A10" s="2" t="inlineStr">
        <is>
          <t>2024-Q1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</row>
    <row r="11">
      <c r="A11" s="2" t="inlineStr">
        <is>
          <t>2024-Q2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</row>
    <row r="12">
      <c r="A12" s="2" t="inlineStr">
        <is>
          <t>2024-Q3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</row>
    <row r="13">
      <c r="A13" s="2" t="inlineStr">
        <is>
          <t>2024-Q4</t>
        </is>
      </c>
      <c r="B13" s="3" t="n">
        <v>5000</v>
      </c>
      <c r="C13" s="3" t="n">
        <v>1500</v>
      </c>
      <c r="D13" s="3" t="n">
        <v>2000</v>
      </c>
      <c r="E13" s="3" t="n">
        <v>3000</v>
      </c>
      <c r="F13" s="3" t="n">
        <v>500</v>
      </c>
      <c r="G13" s="3" t="n">
        <v>0</v>
      </c>
      <c r="H13" s="3" t="n">
        <v>0</v>
      </c>
      <c r="I13" s="3" t="n">
        <v>12000</v>
      </c>
    </row>
    <row r="14">
      <c r="A14" s="2" t="inlineStr">
        <is>
          <t>2025-Q1</t>
        </is>
      </c>
      <c r="B14" s="3" t="n">
        <v>25000</v>
      </c>
      <c r="C14" s="3" t="n">
        <v>5000</v>
      </c>
      <c r="D14" s="3" t="n">
        <v>4500</v>
      </c>
      <c r="E14" s="3" t="n">
        <v>5500</v>
      </c>
      <c r="F14" s="3" t="n">
        <v>2000</v>
      </c>
      <c r="G14" s="3" t="n">
        <v>500</v>
      </c>
      <c r="H14" s="3" t="n">
        <v>0</v>
      </c>
      <c r="I14" s="3" t="n">
        <v>42500</v>
      </c>
    </row>
    <row r="15">
      <c r="A15" s="2" t="inlineStr">
        <is>
          <t>2025-Q2</t>
        </is>
      </c>
      <c r="B15" s="3" t="n">
        <v>45000</v>
      </c>
      <c r="C15" s="3" t="n">
        <v>10000</v>
      </c>
      <c r="D15" s="3" t="n">
        <v>7000</v>
      </c>
      <c r="E15" s="3" t="n">
        <v>6500</v>
      </c>
      <c r="F15" s="3" t="n">
        <v>4000</v>
      </c>
      <c r="G15" s="3" t="n">
        <v>2000</v>
      </c>
      <c r="H15" s="3" t="n">
        <v>8000</v>
      </c>
      <c r="I15" s="3" t="n">
        <v>82500</v>
      </c>
    </row>
    <row r="16">
      <c r="A16" s="2" t="inlineStr">
        <is>
          <t>2025-Q3</t>
        </is>
      </c>
      <c r="B16" s="3" t="n">
        <v>60000</v>
      </c>
      <c r="C16" s="3" t="n">
        <v>14000</v>
      </c>
      <c r="D16" s="3" t="n">
        <v>9000</v>
      </c>
      <c r="E16" s="3" t="n">
        <v>7000</v>
      </c>
      <c r="F16" s="3" t="n">
        <v>6000</v>
      </c>
      <c r="G16" s="3" t="n">
        <v>4000</v>
      </c>
      <c r="H16" s="3" t="n">
        <v>18000</v>
      </c>
      <c r="I16" s="3" t="n">
        <v>118000</v>
      </c>
    </row>
    <row r="17">
      <c r="A17" s="2" t="inlineStr">
        <is>
          <t>2025-Q4</t>
        </is>
      </c>
      <c r="B17" s="3" t="n">
        <v>72000</v>
      </c>
      <c r="C17" s="3" t="n">
        <v>18000</v>
      </c>
      <c r="D17" s="3" t="n">
        <v>10500</v>
      </c>
      <c r="E17" s="3" t="n">
        <v>7200</v>
      </c>
      <c r="F17" s="3" t="n">
        <v>7500</v>
      </c>
      <c r="G17" s="3" t="n">
        <v>5500</v>
      </c>
      <c r="H17" s="3" t="n">
        <v>24000</v>
      </c>
      <c r="I17" s="3" t="n">
        <v>144700</v>
      </c>
    </row>
    <row r="18">
      <c r="A18" s="2" t="inlineStr">
        <is>
          <t>2026-Q1</t>
        </is>
      </c>
      <c r="B18" s="3" t="n">
        <v>82828</v>
      </c>
      <c r="C18" s="3" t="n">
        <v>22477</v>
      </c>
      <c r="D18" s="3" t="n">
        <v>12087</v>
      </c>
      <c r="E18" s="3" t="n">
        <v>7701</v>
      </c>
      <c r="F18" s="3" t="n">
        <v>9307</v>
      </c>
      <c r="G18" s="3" t="n">
        <v>6629</v>
      </c>
      <c r="H18" s="3" t="n">
        <v>28499</v>
      </c>
      <c r="I18" s="3" t="n">
        <v>169528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B050"/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5" customWidth="1" min="5" max="5"/>
  </cols>
  <sheetData>
    <row r="1">
      <c r="A1" s="1" t="inlineStr">
        <is>
          <t>Quarter</t>
        </is>
      </c>
      <c r="B1" s="1" t="inlineStr">
        <is>
          <t>Server Count</t>
        </is>
      </c>
      <c r="C1" s="1" t="inlineStr">
        <is>
          <t>Net New</t>
        </is>
      </c>
      <c r="D1" s="1" t="inlineStr">
        <is>
          <t>QoQ Growth</t>
        </is>
      </c>
      <c r="E1" s="1" t="inlineStr">
        <is>
          <t>Source</t>
        </is>
      </c>
    </row>
    <row r="2">
      <c r="A2" s="2" t="inlineStr">
        <is>
          <t>2022-Q1</t>
        </is>
      </c>
      <c r="B2" s="3" t="n">
        <v>0</v>
      </c>
      <c r="C2" s="3" t="n">
        <v>0</v>
      </c>
      <c r="D2" s="4" t="n"/>
      <c r="E2" s="4" t="inlineStr"/>
    </row>
    <row r="3">
      <c r="A3" s="2" t="inlineStr">
        <is>
          <t>2022-Q2</t>
        </is>
      </c>
      <c r="B3" s="3" t="n">
        <v>0</v>
      </c>
      <c r="C3" s="3" t="n">
        <v>0</v>
      </c>
      <c r="D3" s="4" t="n"/>
      <c r="E3" s="4" t="inlineStr"/>
    </row>
    <row r="4">
      <c r="A4" s="2" t="inlineStr">
        <is>
          <t>2022-Q3</t>
        </is>
      </c>
      <c r="B4" s="3" t="n">
        <v>0</v>
      </c>
      <c r="C4" s="3" t="n">
        <v>0</v>
      </c>
      <c r="D4" s="4" t="n"/>
      <c r="E4" s="4" t="inlineStr"/>
    </row>
    <row r="5">
      <c r="A5" s="2" t="inlineStr">
        <is>
          <t>2022-Q4</t>
        </is>
      </c>
      <c r="B5" s="3" t="n">
        <v>0</v>
      </c>
      <c r="C5" s="3" t="n">
        <v>0</v>
      </c>
      <c r="D5" s="4" t="n"/>
      <c r="E5" s="4" t="inlineStr"/>
    </row>
    <row r="6">
      <c r="A6" s="2" t="inlineStr">
        <is>
          <t>2023-Q1</t>
        </is>
      </c>
      <c r="B6" s="3" t="n">
        <v>0</v>
      </c>
      <c r="C6" s="3" t="n">
        <v>0</v>
      </c>
      <c r="D6" s="4" t="n"/>
      <c r="E6" s="4" t="inlineStr"/>
    </row>
    <row r="7">
      <c r="A7" s="2" t="inlineStr">
        <is>
          <t>2023-Q2</t>
        </is>
      </c>
      <c r="B7" s="3" t="n">
        <v>0</v>
      </c>
      <c r="C7" s="3" t="n">
        <v>0</v>
      </c>
      <c r="D7" s="4" t="n"/>
      <c r="E7" s="4" t="inlineStr"/>
    </row>
    <row r="8">
      <c r="A8" s="2" t="inlineStr">
        <is>
          <t>2023-Q3</t>
        </is>
      </c>
      <c r="B8" s="3" t="n">
        <v>0</v>
      </c>
      <c r="C8" s="3" t="n">
        <v>0</v>
      </c>
      <c r="D8" s="4" t="n"/>
      <c r="E8" s="4" t="inlineStr"/>
    </row>
    <row r="9">
      <c r="A9" s="2" t="inlineStr">
        <is>
          <t>2023-Q4</t>
        </is>
      </c>
      <c r="B9" s="3" t="n">
        <v>0</v>
      </c>
      <c r="C9" s="3" t="n">
        <v>0</v>
      </c>
      <c r="D9" s="4" t="n"/>
      <c r="E9" s="4" t="inlineStr"/>
    </row>
    <row r="10">
      <c r="A10" s="2" t="inlineStr">
        <is>
          <t>2024-Q1</t>
        </is>
      </c>
      <c r="B10" s="3" t="n">
        <v>0</v>
      </c>
      <c r="C10" s="3" t="n">
        <v>0</v>
      </c>
      <c r="D10" s="4" t="n"/>
      <c r="E10" s="4" t="inlineStr"/>
    </row>
    <row r="11">
      <c r="A11" s="2" t="inlineStr">
        <is>
          <t>2024-Q2</t>
        </is>
      </c>
      <c r="B11" s="3" t="n">
        <v>0</v>
      </c>
      <c r="C11" s="3" t="n">
        <v>0</v>
      </c>
      <c r="D11" s="4" t="n"/>
      <c r="E11" s="4" t="inlineStr"/>
    </row>
    <row r="12">
      <c r="A12" s="2" t="inlineStr">
        <is>
          <t>2024-Q3</t>
        </is>
      </c>
      <c r="B12" s="3" t="n">
        <v>0</v>
      </c>
      <c r="C12" s="3" t="n">
        <v>0</v>
      </c>
      <c r="D12" s="4" t="n"/>
      <c r="E12" s="4" t="inlineStr"/>
    </row>
    <row r="13">
      <c r="A13" s="2" t="inlineStr">
        <is>
          <t>2024-Q4</t>
        </is>
      </c>
      <c r="B13" s="3" t="n">
        <v>50</v>
      </c>
      <c r="C13" s="3" t="n">
        <v>50</v>
      </c>
      <c r="D13" s="4" t="n"/>
      <c r="E13" s="4" t="inlineStr">
        <is>
          <t>Anthropic launch + early community</t>
        </is>
      </c>
    </row>
    <row r="14">
      <c r="A14" s="2" t="inlineStr">
        <is>
          <t>2025-Q1</t>
        </is>
      </c>
      <c r="B14" s="3" t="n">
        <v>1200</v>
      </c>
      <c r="C14" s="3" t="n">
        <v>1150</v>
      </c>
      <c r="D14" s="3" t="n">
        <v>23</v>
      </c>
      <c r="E14" s="4" t="inlineStr">
        <is>
          <t>Glama directory tracking</t>
        </is>
      </c>
    </row>
    <row r="15">
      <c r="A15" s="2" t="inlineStr">
        <is>
          <t>2025-Q2</t>
        </is>
      </c>
      <c r="B15" s="3" t="n">
        <v>5867</v>
      </c>
      <c r="C15" s="3" t="n">
        <v>4667</v>
      </c>
      <c r="D15" s="3" t="n">
        <v>3.889166666666667</v>
      </c>
      <c r="E15" s="4" t="inlineStr">
        <is>
          <t>Pulse MCP, Glama reports 5867</t>
        </is>
      </c>
    </row>
    <row r="16">
      <c r="A16" s="2" t="inlineStr">
        <is>
          <t>2025-Q3</t>
        </is>
      </c>
      <c r="B16" s="3" t="n">
        <v>6550</v>
      </c>
      <c r="C16" s="3" t="n">
        <v>683</v>
      </c>
      <c r="D16" s="3" t="n">
        <v>0.1164138401227204</v>
      </c>
      <c r="E16" s="4" t="inlineStr">
        <is>
          <t>Bloomberry analysis; quality focus</t>
        </is>
      </c>
    </row>
    <row r="17">
      <c r="A17" s="2" t="inlineStr">
        <is>
          <t>2025-Q4</t>
        </is>
      </c>
      <c r="B17" s="3" t="n">
        <v>7500</v>
      </c>
      <c r="C17" s="3" t="n">
        <v>950</v>
      </c>
      <c r="D17" s="3" t="n">
        <v>0.1450381679389312</v>
      </c>
      <c r="E17" s="4" t="inlineStr">
        <is>
          <t>DreamFactory; 2200% growth since launch</t>
        </is>
      </c>
    </row>
    <row r="18">
      <c r="A18" s="2" t="inlineStr">
        <is>
          <t>2026-Q1</t>
        </is>
      </c>
      <c r="B18" s="3" t="n">
        <v>10500</v>
      </c>
      <c r="C18" s="3" t="n">
        <v>3000</v>
      </c>
      <c r="D18" s="3" t="n">
        <v>0.3999999999999999</v>
      </c>
      <c r="E18" s="4" t="inlineStr">
        <is>
          <t>Anthropic confirms 10K+; Registry +407%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08080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Category</t>
        </is>
      </c>
      <c r="B1" s="1" t="inlineStr">
        <is>
          <t>Source</t>
        </is>
      </c>
      <c r="C1" s="1" t="inlineStr">
        <is>
          <t>Method</t>
        </is>
      </c>
      <c r="D1" s="1" t="inlineStr">
        <is>
          <t>Coverage</t>
        </is>
      </c>
      <c r="E1" s="1" t="inlineStr">
        <is>
          <t>Notes</t>
        </is>
      </c>
    </row>
    <row r="2">
      <c r="A2" s="2" t="inlineStr">
        <is>
          <t>GitHub Commits</t>
        </is>
      </c>
      <c r="B2" s="4" t="inlineStr">
        <is>
          <t>GitHub Stats API</t>
        </is>
      </c>
      <c r="C2" s="4" t="inlineStr">
        <is>
          <t>participation endpoint + commits list w/ date filters</t>
        </is>
      </c>
      <c r="D2" s="4" t="inlineStr">
        <is>
          <t>Q3 2024 – Q1 2026</t>
        </is>
      </c>
      <c r="E2" s="4" t="inlineStr">
        <is>
          <t>7 repos in modelcontextprotocol org + github/github-mcp-server</t>
        </is>
      </c>
    </row>
    <row r="3">
      <c r="A3" s="2" t="inlineStr">
        <is>
          <t>npm Downloads</t>
        </is>
      </c>
      <c r="B3" s="4" t="inlineStr">
        <is>
          <t>npm Registry API</t>
        </is>
      </c>
      <c r="C3" s="4" t="inlineStr">
        <is>
          <t>api.npmjs.org/downloads/point and /range endpoints</t>
        </is>
      </c>
      <c r="D3" s="4" t="inlineStr">
        <is>
          <t>Nov 2024 – Mar 2026</t>
        </is>
      </c>
      <c r="E3" s="4" t="inlineStr">
        <is>
          <t>@modelcontextprotocol/sdk + 9 server packages</t>
        </is>
      </c>
    </row>
    <row r="4">
      <c r="A4" s="2" t="inlineStr">
        <is>
          <t>PyPI Downloads</t>
        </is>
      </c>
      <c r="B4" s="4" t="inlineStr">
        <is>
          <t>PyPI Stats API</t>
        </is>
      </c>
      <c r="C4" s="4" t="inlineStr">
        <is>
          <t>pypistats.org/api w/o mirrors</t>
        </is>
      </c>
      <c r="D4" s="4" t="inlineStr">
        <is>
          <t>Oct 2025 – Apr 2026</t>
        </is>
      </c>
      <c r="E4" s="4" t="inlineStr">
        <is>
          <t>mcp package; earlier data not in pypistats</t>
        </is>
      </c>
    </row>
    <row r="5">
      <c r="A5" s="2" t="inlineStr">
        <is>
          <t>MCP Server Count</t>
        </is>
      </c>
      <c r="B5" s="4" t="inlineStr">
        <is>
          <t>Multiple directories</t>
        </is>
      </c>
      <c r="C5" s="4" t="inlineStr">
        <is>
          <t>Glama, Pulse MCP, Bloomberry, DreamFactory, Anthropic</t>
        </is>
      </c>
      <c r="D5" s="4" t="inlineStr">
        <is>
          <t>Nov 2024 – Mar 2026</t>
        </is>
      </c>
      <c r="E5" s="4" t="inlineStr">
        <is>
          <t>End-of-quarter snapshots; estimates for some quarters</t>
        </is>
      </c>
    </row>
    <row r="6">
      <c r="A6" s="2" t="inlineStr">
        <is>
          <t>GitHub Stars</t>
        </is>
      </c>
      <c r="B6" s="4" t="inlineStr">
        <is>
          <t>GitHub API</t>
        </is>
      </c>
      <c r="C6" s="4" t="inlineStr">
        <is>
          <t>Current values exact; historical interpolated</t>
        </is>
      </c>
      <c r="D6" s="4" t="inlineStr">
        <is>
          <t>Nov 2024 – Apr 2026</t>
        </is>
      </c>
      <c r="E6" s="4" t="inlineStr">
        <is>
          <t>Only Q1 2026 is exact API reading</t>
        </is>
      </c>
    </row>
    <row r="7">
      <c r="A7" s="2" t="inlineStr">
        <is>
          <t>Daily Token Volume</t>
        </is>
      </c>
      <c r="B7" s="4" t="inlineStr">
        <is>
          <t>a16z/OpenRouter, Google, OpenAI</t>
        </is>
      </c>
      <c r="C7" s="4" t="inlineStr">
        <is>
          <t>Published figures + industry estimates</t>
        </is>
      </c>
      <c r="D7" s="4" t="inlineStr">
        <is>
          <t>2022 – Q1 2026</t>
        </is>
      </c>
      <c r="E7" s="4" t="inlineStr">
        <is>
          <t>Industry-wide aggregate; pre-2024 are estimates</t>
        </is>
      </c>
    </row>
    <row r="8">
      <c r="A8" s="2" t="inlineStr">
        <is>
          <t>Training vs Inference</t>
        </is>
      </c>
      <c r="B8" s="4" t="inlineStr">
        <is>
          <t>Oplexa, GPUnex, Deloitte, Epoch AI</t>
        </is>
      </c>
      <c r="C8" s="4" t="inlineStr">
        <is>
          <t>Published analyses of compute allocation</t>
        </is>
      </c>
      <c r="D8" s="4" t="inlineStr">
        <is>
          <t>2022 – Q1 2026</t>
        </is>
      </c>
      <c r="E8" s="4" t="inlineStr">
        <is>
          <t>Annual figures interpolated to quarterly</t>
        </is>
      </c>
    </row>
    <row r="9">
      <c r="A9" s="2" t="inlineStr">
        <is>
          <t>Hyperscaler Capex</t>
        </is>
      </c>
      <c r="B9" s="4" t="inlineStr">
        <is>
          <t>Epoch AI (SEC EDGAR filings)</t>
        </is>
      </c>
      <c r="C9" s="4" t="inlineStr">
        <is>
          <t>XBRL extraction from 10-Q/10-K filings</t>
        </is>
      </c>
      <c r="D9" s="4" t="inlineStr">
        <is>
          <t>Q1 2022 – Q4 2025</t>
        </is>
      </c>
      <c r="E9" s="4" t="inlineStr">
        <is>
          <t>Amazon+Microsoft+Alphabet+Meta+Oracle; Q1 2026 projected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2026-04-03T09:29:26Z</dcterms:created>
  <dcterms:modified xsi:type="dcterms:W3CDTF">2026-04-03T09:29:26Z</dcterms:modified>
</cp:coreProperties>
</file>