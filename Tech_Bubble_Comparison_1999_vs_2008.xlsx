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bble Comparison" sheetId="2" state="visible" r:id="rId2"/>
    <sheet name="Semiconductor Demand" sheetId="3" state="visible" r:id="rId3"/>
    <sheet name="Capex" sheetId="4" state="visible" r:id="rId4"/>
    <sheet name="Component Pricing" sheetId="5" state="visible" r:id="rId5"/>
    <sheet name="Market Context" sheetId="6" state="visible" r:id="rId6"/>
    <sheet name="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.0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1F3864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i val="1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D6DCE5"/>
      </patternFill>
    </fill>
    <fill>
      <patternFill patternType="solid">
        <fgColor rgb="00FBE5D6"/>
      </patternFill>
    </fill>
    <fill>
      <patternFill patternType="solid">
        <fgColor rgb="00DE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5" borderId="1" pivotButton="0" quotePrefix="0" xfId="0"/>
    <xf numFmtId="0" fontId="5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5" fillId="7" borderId="1" applyAlignment="1" pivotButton="0" quotePrefix="0" xfId="0">
      <alignment vertical="top" wrapText="1"/>
    </xf>
    <xf numFmtId="1" fontId="5" fillId="0" borderId="1" pivotButton="0" quotePrefix="0" xfId="0"/>
    <xf numFmtId="165" fontId="4" fillId="0" borderId="1" pivotButton="0" quotePrefix="0" xfId="0"/>
    <xf numFmtId="0" fontId="4" fillId="0" borderId="1" pivotButton="0" quotePrefix="0" xfId="0"/>
    <xf numFmtId="165" fontId="8" fillId="0" borderId="1" pivotButton="0" quotePrefix="0" xfId="0"/>
    <xf numFmtId="164" fontId="4" fillId="0" borderId="1" pivotButton="0" quotePrefix="0" xfId="0"/>
    <xf numFmtId="1" fontId="5" fillId="6" borderId="1" pivotButton="0" quotePrefix="0" xfId="0"/>
    <xf numFmtId="1" fontId="5" fillId="7" borderId="1" pivotButton="0" quotePrefix="0" xfId="0"/>
    <xf numFmtId="165" fontId="4" fillId="6" borderId="1" pivotButton="0" quotePrefix="0" xfId="0"/>
    <xf numFmtId="165" fontId="4" fillId="7" borderId="1" pivotButton="0" quotePrefix="0" xfId="0"/>
    <xf numFmtId="164" fontId="4" fillId="6" borderId="1" pivotButton="0" quotePrefix="0" xfId="0"/>
    <xf numFmtId="164" fontId="4" fillId="7" borderId="1" pivotButton="0" quotePrefix="0" xfId="0"/>
    <xf numFmtId="3" fontId="4" fillId="6" borderId="1" pivotButton="0" quotePrefix="0" xfId="0"/>
    <xf numFmtId="3" fontId="4" fillId="7" borderId="1" pivotButton="0" quotePrefix="0" xfId="0"/>
    <xf numFmtId="0" fontId="4" fillId="7" borderId="1" pivotButton="0" quotePrefix="0" xfId="0"/>
    <xf numFmtId="0" fontId="4" fillId="6" borderId="1" pivotButton="0" quotePrefix="0" xfId="0"/>
    <xf numFmtId="166" fontId="5" fillId="0" borderId="1" pivotButton="0" quotePrefix="0" xfId="0"/>
    <xf numFmtId="167" fontId="4" fillId="0" borderId="1" pivotButton="0" quotePrefix="0" xfId="0"/>
    <xf numFmtId="166" fontId="4" fillId="6" borderId="1" pivotButton="0" quotePrefix="0" xfId="0"/>
    <xf numFmtId="166" fontId="4" fillId="7" borderId="1" pivotButton="0" quotePrefix="0" xfId="0"/>
    <xf numFmtId="0" fontId="6" fillId="0" borderId="0" pivotButton="0" quotePrefix="0" xfId="0"/>
    <xf numFmtId="0" fontId="6" fillId="0" borderId="1" pivotButton="0" quotePrefix="0" xfId="0"/>
    <xf numFmtId="166" fontId="6" fillId="0" borderId="1" pivotButton="0" quotePrefix="0" xfId="0"/>
    <xf numFmtId="0" fontId="5" fillId="6" borderId="1" pivotButton="0" quotePrefix="0" xfId="0"/>
    <xf numFmtId="4" fontId="4" fillId="0" borderId="1" pivotButton="0" quotePrefix="0" xfId="0"/>
    <xf numFmtId="164" fontId="5" fillId="0" borderId="1" pivotButton="0" quotePrefix="0" xfId="0"/>
    <xf numFmtId="0" fontId="5" fillId="7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Worldwide semiconductor sales ($B), 1995-2011</a:t>
            </a:r>
          </a:p>
        </rich>
      </tx>
    </title>
    <plotArea>
      <lineChart>
        <grouping val="standard"/>
        <ser>
          <idx val="0"/>
          <order val="0"/>
          <tx>
            <strRef>
              <f>'Semiconductor Demand'!B4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'Semiconductor Demand'!$A$5:$A$21</f>
            </numRef>
          </cat>
          <val>
            <numRef>
              <f>'Semiconductor Demand'!$B$5:$B$21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Fab equipment billings ($B, SEMI WWSEMS)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'Capex'!E4</f>
            </strRef>
          </tx>
          <spPr>
            <a:ln>
              <a:prstDash val="solid"/>
            </a:ln>
          </spPr>
          <cat>
            <numRef>
              <f>'Capex'!$A$5:$A$21</f>
            </numRef>
          </cat>
          <val>
            <numRef>
              <f>'Capex'!$E$5:$E$21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DDR2 1Gb spot price through 2008 (US$)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'Component Pricing'!$A$18:$A$22</f>
            </numRef>
          </cat>
          <val>
            <numRef>
              <f>'Component Pricing'!$C$18:$C$22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128Mb SDRAM price, mid-2000 to Aug-2001 (US$)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'Component Pricing'!$A$54:$A$56</f>
            </numRef>
          </cat>
          <val>
            <numRef>
              <f>'Component Pricing'!$B$54:$B$56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5" customWidth="1" min="3" max="3"/>
  </cols>
  <sheetData>
    <row r="1">
      <c r="B1" s="1" t="inlineStr">
        <is>
          <t>1999 vs 2008: Two Bubbles Compared</t>
        </is>
      </c>
    </row>
    <row r="2">
      <c r="B2" s="2" t="inlineStr">
        <is>
          <t>Capex, semiconductor demand and component pricing through the dot-com bust (2000-02) and the Global Financial Crisis (2008-09)</t>
        </is>
      </c>
    </row>
    <row r="4">
      <c r="B4" s="3" t="inlineStr">
        <is>
          <t>Purpose</t>
        </is>
      </c>
    </row>
    <row r="5">
      <c r="B5" s="4" t="inlineStr">
        <is>
          <t>This workbook aggregates public industry data to compare how the two downturns hit technology capital spending, semiconductor demand and component (memory) pricing. The 'dot-com' era refers to the TMT bubble that peaked in March 2000; the '2008' era refers to the credit/housing bubble whose bust culminated in the September 2008 Lehman collapse.</t>
        </is>
      </c>
    </row>
    <row r="6"/>
    <row r="7"/>
    <row r="9">
      <c r="B9" s="3" t="inlineStr">
        <is>
          <t>Sheet guide</t>
        </is>
      </c>
    </row>
    <row r="10">
      <c r="B10" s="5" t="inlineStr">
        <is>
          <t>Bubble Comparison</t>
        </is>
      </c>
      <c r="C10" s="6" t="inlineStr">
        <is>
          <t>Side-by-side summary of the two episodes across every metric in the workbook.</t>
        </is>
      </c>
    </row>
    <row r="11">
      <c r="B11" s="5" t="inlineStr">
        <is>
          <t>Semiconductor Demand</t>
        </is>
      </c>
      <c r="C11" s="6" t="inlineStr">
        <is>
          <t>Annual worldwide semiconductor sales 1995-2011 (WSTS/SIA), DRAM industry revenue, PC and mobile-phone unit shipments.</t>
        </is>
      </c>
    </row>
    <row r="12">
      <c r="B12" s="5" t="inlineStr">
        <is>
          <t>Capex</t>
        </is>
      </c>
      <c r="C12" s="6" t="inlineStr">
        <is>
          <t>Semiconductor industry capital spending (Gartner), fab equipment billings (SEMI), US telecom carrier capex (the dot-com era's signature excess) and US business fixed investment (BEA).</t>
        </is>
      </c>
    </row>
    <row r="13">
      <c r="B13" s="5" t="inlineStr">
        <is>
          <t>Component Pricing</t>
        </is>
      </c>
      <c r="C13" s="6" t="inlineStr">
        <is>
          <t>DRAM and NAND price timelines for both busts: 128Mb SDRAM in 2000-01 and DDR2 1Gb / NAND in 2007-09.</t>
        </is>
      </c>
    </row>
    <row r="14">
      <c r="B14" s="5" t="inlineStr">
        <is>
          <t>Market Context</t>
        </is>
      </c>
      <c r="C14" s="6" t="inlineStr">
        <is>
          <t>Equity index peaks and troughs framing each bubble.</t>
        </is>
      </c>
    </row>
    <row r="15">
      <c r="B15" s="5" t="inlineStr">
        <is>
          <t>Sources &amp; Notes</t>
        </is>
      </c>
      <c r="C15" s="6" t="inlineStr">
        <is>
          <t>Full citation list, footnote key and caveats.</t>
        </is>
      </c>
    </row>
    <row r="17">
      <c r="B17" s="3" t="inlineStr">
        <is>
          <t>Headline findings</t>
        </is>
      </c>
    </row>
    <row r="18">
      <c r="B18" s="4" t="inlineStr">
        <is>
          <t>• Depth of demand shock: the dot-com bust was ~3x deeper for the chip industry. Worldwide semiconductor sales fell 32.0% in 2001 (the worst year in industry history), versus a cumulative -11.5% across 2008-09 (-2.8% then -9.0%).</t>
        </is>
      </c>
    </row>
    <row r="19"/>
    <row r="20"/>
    <row r="21">
      <c r="B21" s="4" t="inlineStr">
        <is>
          <t>• Capex was the bubble in 1999-2000: US telecom carriers alone went from $47B (1995) to $121B (2000) of annual capex before collapsing to $49B (2002), and semiconductor capex jumped +84% in 2000 alone. In 2008 the excess sat outside tech (housing/credit); tech capex was cut in a defensive cash-preservation move, not an unwind of its own excess.</t>
        </is>
      </c>
    </row>
    <row r="22"/>
    <row r="23"/>
    <row r="24">
      <c r="B24" s="4" t="inlineStr">
        <is>
          <t>• Speed and shape: 2008-09 was a sharper but shorter shock. SEMI fab equipment billings fell 63% over two years (2007-09) then rebounded +148% in 2010; after 2001 (-41%), spending stayed depressed for ~3 years. Semiconductor sales took 4 years to regain their 2000 peak but only 3 years to regain the 2007 peak.</t>
        </is>
      </c>
    </row>
    <row r="25"/>
    <row r="26"/>
    <row r="27">
      <c r="B27" s="4" t="inlineStr">
        <is>
          <t>• Component pricing collapsed below cost in both busts: 128Mb SDRAM fell ~92% in 12 months (about $18.40 to about $1.50, mid-2000 to Aug-2001); DDR2 1Gb fell ~75% inside 2008 ($2.29 in May to a record $0.58 low), dropping below cash cost in September 2008.</t>
        </is>
      </c>
    </row>
    <row r="28"/>
    <row r="29"/>
    <row r="30">
      <c r="B30" s="4" t="inlineStr">
        <is>
          <t>• Demand character: 2001 saw the first-ever annual declines in both PC (-4.6%) and mobile-phone (-3.2%) shipments; in 2008 full-year PC units still grew +10.9% before the demand stop in Q4-08 (US PC shipments -10% YoY), showing the shock arrived late and from outside tech.</t>
        </is>
      </c>
    </row>
    <row r="31"/>
    <row r="32"/>
    <row r="33">
      <c r="B33" s="7" t="inlineStr">
        <is>
          <t>All dollar values are nominal US$. Figures marked (e) are estimated/derived from stated growth rates; (f) were forecasts at the time; '~' denotes approximate values. See Sources &amp; Notes.</t>
        </is>
      </c>
    </row>
    <row r="34"/>
  </sheetData>
  <mergeCells count="7">
    <mergeCell ref="B21:C23"/>
    <mergeCell ref="B24:C26"/>
    <mergeCell ref="B30:C32"/>
    <mergeCell ref="B33:C34"/>
    <mergeCell ref="B27:C29"/>
    <mergeCell ref="B5:C7"/>
    <mergeCell ref="B18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44" customWidth="1" min="3" max="3"/>
    <col width="52" customWidth="1" min="4" max="4"/>
  </cols>
  <sheetData>
    <row r="1">
      <c r="A1" s="1" t="inlineStr">
        <is>
          <t>Bubble Comparison: 1999 Dot-com vs 2008 GFC</t>
        </is>
      </c>
    </row>
    <row r="2">
      <c r="A2" s="2" t="inlineStr">
        <is>
          <t>Side-by-side summary. Sources and footnote key on the 'Sources &amp; Notes' sheet.</t>
        </is>
      </c>
    </row>
    <row r="4">
      <c r="A4" s="8" t="inlineStr">
        <is>
          <t>Metric</t>
        </is>
      </c>
      <c r="B4" s="9" t="inlineStr">
        <is>
          <t>Dot-com / TMT bubble (1999-2002)</t>
        </is>
      </c>
      <c r="C4" s="10" t="inlineStr">
        <is>
          <t>Credit bubble / GFC (2007-2009)</t>
        </is>
      </c>
      <c r="D4" s="8" t="inlineStr">
        <is>
          <t>Notes</t>
        </is>
      </c>
    </row>
    <row r="5">
      <c r="A5" s="11" t="inlineStr">
        <is>
          <t>Character of the bubble</t>
        </is>
      </c>
      <c r="B5" s="12" t="n"/>
      <c r="C5" s="12" t="n"/>
      <c r="D5" s="12" t="n"/>
    </row>
    <row r="6" ht="46" customHeight="1">
      <c r="A6" s="13" t="inlineStr">
        <is>
          <t>Nature of the excess</t>
        </is>
      </c>
      <c r="B6" s="14" t="inlineStr">
        <is>
          <t>Overinvestment inside tech itself: internet, telecom networks and semiconductor capacity, funded by equity mania and cheap debt</t>
        </is>
      </c>
      <c r="C6" s="15" t="inlineStr">
        <is>
          <t>Excess sat in housing and credit markets; tech entered 2008 with relatively healthy balance sheets and was hit by a demand shock</t>
        </is>
      </c>
      <c r="D6" s="16" t="inlineStr">
        <is>
          <t>Key structural difference driving the recovery shapes</t>
        </is>
      </c>
    </row>
    <row r="7" ht="46" customHeight="1">
      <c r="A7" s="13" t="inlineStr">
        <is>
          <t>Equity market peak</t>
        </is>
      </c>
      <c r="B7" s="14" t="inlineStr">
        <is>
          <t>NASDAQ 5,048.62 on 10-Mar-2000</t>
        </is>
      </c>
      <c r="C7" s="15" t="inlineStr">
        <is>
          <t>S&amp;P 500 1,565.15 on 9-Oct-2007</t>
        </is>
      </c>
      <c r="D7" s="16" t="inlineStr">
        <is>
          <t>See Market Context sheet</t>
        </is>
      </c>
    </row>
    <row r="8" ht="46" customHeight="1">
      <c r="A8" s="13" t="inlineStr">
        <is>
          <t>Equity market trough</t>
        </is>
      </c>
      <c r="B8" s="14" t="inlineStr">
        <is>
          <t>NASDAQ 1,114.11 on 9-Oct-2002 (-77.9%)</t>
        </is>
      </c>
      <c r="C8" s="15" t="inlineStr">
        <is>
          <t>S&amp;P 500 676.53 on 9-Mar-2009 (-56.8%)</t>
        </is>
      </c>
      <c r="D8" s="16" t="inlineStr">
        <is>
          <t>NASDAQ took ~15 years to regain its 2000 peak; S&amp;P 500 regained its 2007 peak in ~5.5 years</t>
        </is>
      </c>
    </row>
    <row r="9">
      <c r="A9" s="11" t="inlineStr">
        <is>
          <t>Semiconductor demand</t>
        </is>
      </c>
      <c r="B9" s="12" t="n"/>
      <c r="C9" s="12" t="n"/>
      <c r="D9" s="12" t="n"/>
    </row>
    <row r="10" ht="46" customHeight="1">
      <c r="A10" s="13" t="inlineStr">
        <is>
          <t>WW semiconductor sales - pre-bust peak</t>
        </is>
      </c>
      <c r="B10" s="14" t="inlineStr">
        <is>
          <t>$204.4B (2000, +36.8% YoY)</t>
        </is>
      </c>
      <c r="C10" s="15" t="inlineStr">
        <is>
          <t>$255.6B (2007, +3.2% YoY)</t>
        </is>
      </c>
      <c r="D10" s="16" t="inlineStr">
        <is>
          <t>WSTS/SIA. Note the 2000 peak was itself bubble-inflated (+37% in one year); 2007 growth was modest</t>
        </is>
      </c>
    </row>
    <row r="11" ht="46" customHeight="1">
      <c r="A11" s="13" t="inlineStr">
        <is>
          <t>WW semiconductor sales - trough</t>
        </is>
      </c>
      <c r="B11" s="14" t="inlineStr">
        <is>
          <t>$139.0B (2001)</t>
        </is>
      </c>
      <c r="C11" s="15" t="inlineStr">
        <is>
          <t>$226.3B (2009)</t>
        </is>
      </c>
      <c r="D11" s="16" t="inlineStr">
        <is>
          <t>WSTS/SIA</t>
        </is>
      </c>
    </row>
    <row r="12" ht="46" customHeight="1">
      <c r="A12" s="13" t="inlineStr">
        <is>
          <t>Peak-to-trough decline</t>
        </is>
      </c>
      <c r="B12" s="17" t="n">
        <v>-0.32</v>
      </c>
      <c r="C12" s="18" t="n">
        <v>-0.115</v>
      </c>
      <c r="D12" s="16" t="inlineStr">
        <is>
          <t>2001 = worst single-year decline in industry history (-32.0%); 2008-09 = -2.8% then -9.0%</t>
        </is>
      </c>
    </row>
    <row r="13" ht="46" customHeight="1">
      <c r="A13" s="13" t="inlineStr">
        <is>
          <t>Years to regain prior peak sales</t>
        </is>
      </c>
      <c r="B13" s="14" t="inlineStr">
        <is>
          <t>4 (2000 peak first exceeded in 2004: $213.0B)</t>
        </is>
      </c>
      <c r="C13" s="15" t="inlineStr">
        <is>
          <t>3 (2007 peak exceeded in 2010: record $298.3B, +31.8%)</t>
        </is>
      </c>
      <c r="D13" s="16" t="inlineStr">
        <is>
          <t>V-shaped recovery after 2009 vs long U after 2001</t>
        </is>
      </c>
    </row>
    <row r="14" ht="46" customHeight="1">
      <c r="A14" s="13" t="inlineStr">
        <is>
          <t>DRAM industry revenue</t>
        </is>
      </c>
      <c r="B14" s="14" t="inlineStr">
        <is>
          <t>$31.5B (2000) to $14.0B (2001): -55.5%, worst year ever for DRAM</t>
        </is>
      </c>
      <c r="C14" s="15" t="inlineStr">
        <is>
          <t>~$31.5B (2007) to ~$23.6B (2008): ~-25%</t>
        </is>
      </c>
      <c r="D14" s="16" t="inlineStr">
        <is>
          <t>Dataquest/Gartner</t>
        </is>
      </c>
    </row>
    <row r="15" ht="46" customHeight="1">
      <c r="A15" s="13" t="inlineStr">
        <is>
          <t>PC unit shipments</t>
        </is>
      </c>
      <c r="B15" s="14" t="inlineStr">
        <is>
          <t>2001: 128M units, -4.6% - first annual decline since 1985 (US: -11.1%)</t>
        </is>
      </c>
      <c r="C15" s="15" t="inlineStr">
        <is>
          <t>2008: 302.2M units, +10.9% for the full year, but Q4-08 just +1.1% and US Q4-08 -10%</t>
        </is>
      </c>
      <c r="D15" s="16" t="inlineStr">
        <is>
          <t>Gartner/Dataquest. Demand collapse in 2008 was concentrated in Q4</t>
        </is>
      </c>
    </row>
    <row r="16" ht="46" customHeight="1">
      <c r="A16" s="13" t="inlineStr">
        <is>
          <t>Mobile phone unit sales</t>
        </is>
      </c>
      <c r="B16" s="14" t="inlineStr">
        <is>
          <t>2001: 399.6M, -3.2% - first annual decline ever (2000: 412.7M)</t>
        </is>
      </c>
      <c r="C16" s="15" t="inlineStr">
        <is>
          <t>2009: 1,211M, -0.9% (2008: 1,222M, +6.0%; Q4-08: -4.6% YoY)</t>
        </is>
      </c>
      <c r="D16" s="16" t="inlineStr">
        <is>
          <t>Gartner</t>
        </is>
      </c>
    </row>
    <row r="17">
      <c r="A17" s="11" t="inlineStr">
        <is>
          <t>Capital expenditure</t>
        </is>
      </c>
      <c r="B17" s="12" t="n"/>
      <c r="C17" s="12" t="n"/>
      <c r="D17" s="12" t="n"/>
    </row>
    <row r="18" ht="46" customHeight="1">
      <c r="A18" s="13" t="inlineStr">
        <is>
          <t>Semiconductor industry capex - boom</t>
        </is>
      </c>
      <c r="B18" s="14" t="inlineStr">
        <is>
          <t>+84% in 2000 alone, to ~$63.9B (e)</t>
        </is>
      </c>
      <c r="C18" s="15" t="inlineStr">
        <is>
          <t>Flat pre-bust: $56.3B in 2007 (+0.6% YoY); memory over-spending in 2006-07 had already created oversupply</t>
        </is>
      </c>
      <c r="D18" s="16" t="inlineStr">
        <is>
          <t>Gartner/Dataquest</t>
        </is>
      </c>
    </row>
    <row r="19" ht="46" customHeight="1">
      <c r="A19" s="13" t="inlineStr">
        <is>
          <t>Semiconductor industry capex - bust</t>
        </is>
      </c>
      <c r="B19" s="14" t="inlineStr">
        <is>
          <t>-26% in 2001 (to $47.3B), -41% in 2002 (to $27.8B): -56% cumulative</t>
        </is>
      </c>
      <c r="C19" s="15" t="inlineStr">
        <is>
          <t>Equipment capex -31.7% in 2008 (to $30.7B) and -45.8% in 2009 (to $16.6B): -63% cumulative; memory capex -54% in 2009 alone</t>
        </is>
      </c>
      <c r="D19" s="16" t="inlineStr">
        <is>
          <t>Gartner. 2008-09 cuts were faster and deeper but from a lower base</t>
        </is>
      </c>
    </row>
    <row r="20" ht="46" customHeight="1">
      <c r="A20" s="13" t="inlineStr">
        <is>
          <t>Fab equipment billings (SEMI)</t>
        </is>
      </c>
      <c r="B20" s="14" t="inlineStr">
        <is>
          <t>$47.7B (2000) to $28.1B (2001): -41%</t>
        </is>
      </c>
      <c r="C20" s="15" t="inlineStr">
        <is>
          <t>$42.8B (2007) to $29.5B (2008) to $15.9B (2009): -63% over two years, lowest since 1994</t>
        </is>
      </c>
      <c r="D20" s="16" t="inlineStr">
        <is>
          <t>SEMI WWSEMS - same source both eras</t>
        </is>
      </c>
    </row>
    <row r="21" ht="46" customHeight="1">
      <c r="A21" s="13" t="inlineStr">
        <is>
          <t>Equipment spending recovery</t>
        </is>
      </c>
      <c r="B21" s="14" t="inlineStr">
        <is>
          <t>Slow: spending remained depressed through 2002-03 ($27.8B / $28.9B total capex); no strong rebound until 2004 (+28%)</t>
        </is>
      </c>
      <c r="C21" s="15" t="inlineStr">
        <is>
          <t>V-shaped: SEMI billings +148% in 2010 to $39.5B</t>
        </is>
      </c>
      <c r="D21" s="16" t="inlineStr">
        <is>
          <t>IC Insights: 2010 was the only post-downturn rebound where year 1 was stronger than year 2</t>
        </is>
      </c>
    </row>
    <row r="22" ht="46" customHeight="1">
      <c r="A22" s="13" t="inlineStr">
        <is>
          <t>Telecom / adjacent-sector capex</t>
        </is>
      </c>
      <c r="B22" s="14" t="inlineStr">
        <is>
          <t>US telecom carrier capex $47B (1995) to $121B (2000) to $49B (2002): -60% bust after a +28%/yr boom; ~$444B spent 1996-2001</t>
        </is>
      </c>
      <c r="C22" s="15" t="inlineStr">
        <is>
          <t>No equivalent tech-adjacent capex bubble; the overbuild was in residential construction and structured credit</t>
        </is>
      </c>
      <c r="D22" s="16" t="inlineStr">
        <is>
          <t>FRBSF, TIA/CSFB, LA Times. Telecom overbuild was the defining excess of the 1999 bubble</t>
        </is>
      </c>
    </row>
    <row r="23" ht="46" customHeight="1">
      <c r="A23" s="13" t="inlineStr">
        <is>
          <t>US real business fixed investment (BEA)</t>
        </is>
      </c>
      <c r="B23" s="14" t="inlineStr">
        <is>
          <t>-2.2% (2001), -6.9% (2002) - shallow but 2 years long</t>
        </is>
      </c>
      <c r="C23" s="15" t="inlineStr">
        <is>
          <t>+0.6% (2008), -14.5% (2009) - deepest single-year cut of the postwar era</t>
        </is>
      </c>
      <c r="D23" s="16" t="inlineStr">
        <is>
          <t>Real private nonresidential fixed investment, annual % change</t>
        </is>
      </c>
    </row>
    <row r="24">
      <c r="A24" s="11" t="inlineStr">
        <is>
          <t>Component pricing</t>
        </is>
      </c>
      <c r="B24" s="12" t="n"/>
      <c r="C24" s="12" t="n"/>
      <c r="D24" s="12" t="n"/>
    </row>
    <row r="25" ht="46" customHeight="1">
      <c r="A25" s="13" t="inlineStr">
        <is>
          <t>Benchmark DRAM price collapse</t>
        </is>
      </c>
      <c r="B25" s="14" t="inlineStr">
        <is>
          <t>128Mb SDRAM: ~$18.40 (mid-2000) to ~$1.50 spot (Aug-2001): ~-92% in 12 months; 64Mb fell below $1.00 (Jul-2001)</t>
        </is>
      </c>
      <c r="C25" s="15" t="inlineStr">
        <is>
          <t>DDR2 1Gb: $2.29 (6-May-2008) to $1.13 (17-Oct) to record $0.58 low (Nov/Dec-2008): ~-75% inside 2008</t>
        </is>
      </c>
      <c r="D25" s="16" t="inlineStr">
        <is>
          <t>Dataquest; DRAMeXchange. See Component Pricing sheet for timelines</t>
        </is>
      </c>
    </row>
    <row r="26" ht="46" customHeight="1">
      <c r="A26" s="13" t="inlineStr">
        <is>
          <t>Prices vs production cost</t>
        </is>
      </c>
      <c r="B26" s="14" t="inlineStr">
        <is>
          <t>Spot below production cost for most makers by mid-2001 (break-even ~$3.00 on 128Mb); top-5 Japanese DRAM makers lost a combined ~$455M in 2001</t>
        </is>
      </c>
      <c r="C26" s="15" t="inlineStr">
        <is>
          <t>Below ~$1.50 cash cost from 6-Sep-2008; at the $0.58 low, price was at bare materials cost (~$0.60)</t>
        </is>
      </c>
      <c r="D26" s="16" t="inlineStr">
        <is>
          <t>Both busts forced selling below cost; consolidation followed (exit of Japanese DRAM makers post-2001; Qimonda bankruptcy Jan-2009)</t>
        </is>
      </c>
    </row>
    <row r="27" ht="46" customHeight="1">
      <c r="A27" s="13" t="inlineStr">
        <is>
          <t>Supply response</t>
        </is>
      </c>
      <c r="B27" s="14" t="inlineStr">
        <is>
          <t>Muted and slow - most makers refused output cuts (only Toshiba cut, 30%); glut persisted into 2002</t>
        </is>
      </c>
      <c r="C27" s="15" t="inlineStr">
        <is>
          <t>Fast: Taiwanese makers cut ~30% of output in Q4-08, Hynix shut 8-inch fabs, NAND makers cut wafer starts ~10% QoQ in 1Q09</t>
        </is>
      </c>
      <c r="D27" s="16" t="inlineStr">
        <is>
          <t>DRAMeXchange</t>
        </is>
      </c>
    </row>
    <row r="28" ht="46" customHeight="1">
      <c r="A28" s="13" t="inlineStr">
        <is>
          <t>NAND flash</t>
        </is>
      </c>
      <c r="B28" s="14" t="inlineStr">
        <is>
          <t>n/a (market still nascent)</t>
        </is>
      </c>
      <c r="C28" s="15" t="inlineStr">
        <is>
          <t>Contract prices -30%+ QoQ in 4Q08; 8Gb fell from $1.50 to $0.95 during Dec-2008; capex budgets cut and 200mm tools retired</t>
        </is>
      </c>
      <c r="D28" s="16" t="inlineStr">
        <is>
          <t>DRAMeXchange</t>
        </is>
      </c>
    </row>
    <row r="29">
      <c r="A29" s="11" t="inlineStr">
        <is>
          <t>Bottom line</t>
        </is>
      </c>
      <c r="B29" s="12" t="n"/>
      <c r="C29" s="12" t="n"/>
      <c r="D29" s="12" t="n"/>
    </row>
    <row r="30" ht="46" customHeight="1">
      <c r="A30" s="13" t="inlineStr">
        <is>
          <t>Summary judgment</t>
        </is>
      </c>
      <c r="B30" s="14" t="inlineStr">
        <is>
          <t>A tech-centred bubble: capex and demand inside the sector were the excess, so the bust was deeper for semis (-32% sales) and the recovery long and U-shaped</t>
        </is>
      </c>
      <c r="C30" s="15" t="inlineStr">
        <is>
          <t>An external demand shock: violent but brief - deeper capex/pricing cuts at the trough, but a V-shaped snap-back with record sales by 2010</t>
        </is>
      </c>
      <c r="D30" s="16" t="inlineStr">
        <is>
          <t>Severity for tech: 1999 bubble much worse on demand; 2008 sharper on capex velocity and pricing, far faster to heal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14" customWidth="1" min="4" max="4"/>
    <col width="13" customWidth="1" min="5" max="5"/>
    <col width="9" customWidth="1" min="6" max="6"/>
    <col width="14" customWidth="1" min="7" max="7"/>
    <col width="9" customWidth="1" min="8" max="8"/>
    <col width="62" customWidth="1" min="9" max="9"/>
  </cols>
  <sheetData>
    <row r="1">
      <c r="A1" s="1" t="inlineStr">
        <is>
          <t>Semiconductor Demand, 1995-2011</t>
        </is>
      </c>
    </row>
    <row r="2">
      <c r="A2" s="2" t="inlineStr">
        <is>
          <t>Worldwide semiconductor sales (WSTS/SIA), DRAM revenue (Dataquest/Gartner), PC shipments and mobile phone sales (Gartner). Nominal US$.</t>
        </is>
      </c>
    </row>
    <row r="4">
      <c r="A4" s="8" t="inlineStr">
        <is>
          <t>Year</t>
        </is>
      </c>
      <c r="B4" s="8" t="inlineStr">
        <is>
          <t>WW semi sales ($B)</t>
        </is>
      </c>
      <c r="C4" s="8" t="inlineStr">
        <is>
          <t>YoY %</t>
        </is>
      </c>
      <c r="D4" s="8" t="inlineStr">
        <is>
          <t>DRAM revenue ($B)</t>
        </is>
      </c>
      <c r="E4" s="8" t="inlineStr">
        <is>
          <t>PC shipments (M)</t>
        </is>
      </c>
      <c r="F4" s="8" t="inlineStr">
        <is>
          <t>PC YoY %</t>
        </is>
      </c>
      <c r="G4" s="8" t="inlineStr">
        <is>
          <t>Mobile phones (M)</t>
        </is>
      </c>
      <c r="H4" s="8" t="inlineStr">
        <is>
          <t>Phone YoY %</t>
        </is>
      </c>
      <c r="I4" s="8" t="inlineStr">
        <is>
          <t>Notes</t>
        </is>
      </c>
    </row>
    <row r="5">
      <c r="A5" s="19" t="n">
        <v>1995</v>
      </c>
      <c r="B5" s="20" t="n">
        <v>144.4</v>
      </c>
      <c r="C5" s="21" t="n"/>
      <c r="D5" s="22" t="n">
        <v>41</v>
      </c>
      <c r="E5" s="20" t="n"/>
      <c r="F5" s="23" t="n"/>
      <c r="G5" s="20" t="n"/>
      <c r="H5" s="23" t="n"/>
      <c r="I5" s="16" t="inlineStr">
        <is>
          <t>DRAM peak of the mid-90s cycle (~$41B, Dataquest)</t>
        </is>
      </c>
    </row>
    <row r="6">
      <c r="A6" s="19" t="n">
        <v>1996</v>
      </c>
      <c r="B6" s="20" t="n">
        <v>132</v>
      </c>
      <c r="C6" s="23">
        <f>B6/B5-1</f>
        <v/>
      </c>
      <c r="D6" s="20" t="n"/>
      <c r="E6" s="20" t="n"/>
      <c r="F6" s="23" t="n"/>
      <c r="G6" s="20" t="n"/>
      <c r="H6" s="23" t="n"/>
      <c r="I6" s="16" t="inlineStr"/>
    </row>
    <row r="7">
      <c r="A7" s="19" t="n">
        <v>1997</v>
      </c>
      <c r="B7" s="20" t="n">
        <v>137.2</v>
      </c>
      <c r="C7" s="23">
        <f>B7/B6-1</f>
        <v/>
      </c>
      <c r="D7" s="20" t="n"/>
      <c r="E7" s="20" t="n"/>
      <c r="F7" s="23" t="n"/>
      <c r="G7" s="20" t="n"/>
      <c r="H7" s="23" t="n"/>
      <c r="I7" s="16" t="inlineStr"/>
    </row>
    <row r="8">
      <c r="A8" s="19" t="n">
        <v>1998</v>
      </c>
      <c r="B8" s="20" t="n">
        <v>125.6</v>
      </c>
      <c r="C8" s="23">
        <f>B8/B7-1</f>
        <v/>
      </c>
      <c r="D8" s="22" t="n">
        <v>14</v>
      </c>
      <c r="E8" s="20" t="n"/>
      <c r="F8" s="23" t="n"/>
      <c r="G8" s="20" t="n"/>
      <c r="H8" s="23" t="n"/>
      <c r="I8" s="16" t="inlineStr">
        <is>
          <t>Asian financial crisis; DRAM revenue ~$14B</t>
        </is>
      </c>
    </row>
    <row r="9">
      <c r="A9" s="24" t="n">
        <v>1999</v>
      </c>
      <c r="B9" s="20" t="n">
        <v>149.4</v>
      </c>
      <c r="C9" s="23">
        <f>B9/B8-1</f>
        <v/>
      </c>
      <c r="D9" s="20" t="n"/>
      <c r="E9" s="20" t="n"/>
      <c r="F9" s="23" t="n"/>
      <c r="G9" s="20" t="n"/>
      <c r="H9" s="23" t="n"/>
      <c r="I9" s="16" t="inlineStr">
        <is>
          <t>Dot-com boom accelerates</t>
        </is>
      </c>
    </row>
    <row r="10">
      <c r="A10" s="24" t="n">
        <v>2000</v>
      </c>
      <c r="B10" s="20" t="n">
        <v>204.4</v>
      </c>
      <c r="C10" s="23">
        <f>B10/B9-1</f>
        <v/>
      </c>
      <c r="D10" s="22" t="n">
        <v>31.5</v>
      </c>
      <c r="E10" s="20" t="n">
        <v>134</v>
      </c>
      <c r="F10" s="23" t="n"/>
      <c r="G10" s="20" t="n">
        <v>412.7</v>
      </c>
      <c r="H10" s="23" t="n"/>
      <c r="I10" s="16" t="inlineStr">
        <is>
          <t>Bubble peak: semi sales +36.8%, the strongest year of the era</t>
        </is>
      </c>
    </row>
    <row r="11">
      <c r="A11" s="24" t="n">
        <v>2001</v>
      </c>
      <c r="B11" s="20" t="n">
        <v>139</v>
      </c>
      <c r="C11" s="23">
        <f>B11/B10-1</f>
        <v/>
      </c>
      <c r="D11" s="22" t="n">
        <v>14</v>
      </c>
      <c r="E11" s="20" t="n">
        <v>128</v>
      </c>
      <c r="F11" s="23">
        <f>E11/E10-1</f>
        <v/>
      </c>
      <c r="G11" s="20" t="n">
        <v>399.6</v>
      </c>
      <c r="H11" s="23">
        <f>G11/G10-1</f>
        <v/>
      </c>
      <c r="I11" s="16" t="inlineStr">
        <is>
          <t>Worst year in industry history: sales -32%; first-ever declines in PC (-4.6%, first since 1985) and phone (-3.2%) units; DRAM revenue -55.5%</t>
        </is>
      </c>
    </row>
    <row r="12">
      <c r="A12" s="24" t="n">
        <v>2002</v>
      </c>
      <c r="B12" s="20" t="n">
        <v>140.7</v>
      </c>
      <c r="C12" s="23">
        <f>B12/B11-1</f>
        <v/>
      </c>
      <c r="D12" s="20" t="n"/>
      <c r="E12" s="20" t="n"/>
      <c r="F12" s="23" t="n"/>
      <c r="G12" s="20" t="n"/>
      <c r="H12" s="23" t="n"/>
      <c r="I12" s="16" t="inlineStr">
        <is>
          <t>Flat; recovery not yet visible</t>
        </is>
      </c>
    </row>
    <row r="13">
      <c r="A13" s="19" t="n">
        <v>2003</v>
      </c>
      <c r="B13" s="20" t="n">
        <v>166.4</v>
      </c>
      <c r="C13" s="23">
        <f>B13/B12-1</f>
        <v/>
      </c>
      <c r="D13" s="20" t="n"/>
      <c r="E13" s="20" t="n"/>
      <c r="F13" s="23" t="n"/>
      <c r="G13" s="20" t="n"/>
      <c r="H13" s="23" t="n"/>
      <c r="I13" s="16" t="inlineStr"/>
    </row>
    <row r="14">
      <c r="A14" s="19" t="n">
        <v>2004</v>
      </c>
      <c r="B14" s="20" t="n">
        <v>213</v>
      </c>
      <c r="C14" s="23">
        <f>B14/B13-1</f>
        <v/>
      </c>
      <c r="D14" s="20" t="n"/>
      <c r="E14" s="20" t="n"/>
      <c r="F14" s="23" t="n"/>
      <c r="G14" s="20" t="n"/>
      <c r="H14" s="23" t="n"/>
      <c r="I14" s="16" t="inlineStr">
        <is>
          <t>First year above the 2000 peak - 4 years to recover</t>
        </is>
      </c>
    </row>
    <row r="15">
      <c r="A15" s="19" t="n">
        <v>2005</v>
      </c>
      <c r="B15" s="20" t="n">
        <v>227.5</v>
      </c>
      <c r="C15" s="23">
        <f>B15/B14-1</f>
        <v/>
      </c>
      <c r="D15" s="20" t="n"/>
      <c r="E15" s="20" t="n"/>
      <c r="F15" s="23" t="n"/>
      <c r="G15" s="20" t="n"/>
      <c r="H15" s="23" t="n"/>
      <c r="I15" s="16" t="inlineStr"/>
    </row>
    <row r="16">
      <c r="A16" s="19" t="n">
        <v>2006</v>
      </c>
      <c r="B16" s="20" t="n">
        <v>247.7</v>
      </c>
      <c r="C16" s="23">
        <f>B16/B15-1</f>
        <v/>
      </c>
      <c r="D16" s="22" t="n">
        <v>34</v>
      </c>
      <c r="E16" s="20" t="n"/>
      <c r="F16" s="23" t="n"/>
      <c r="G16" s="20" t="n"/>
      <c r="H16" s="23" t="n"/>
      <c r="I16" s="16" t="inlineStr">
        <is>
          <t>Memory capex race inflates DRAM revenue to ~$34B</t>
        </is>
      </c>
    </row>
    <row r="17">
      <c r="A17" s="25" t="n">
        <v>2007</v>
      </c>
      <c r="B17" s="20" t="n">
        <v>255.6</v>
      </c>
      <c r="C17" s="23">
        <f>B17/B16-1</f>
        <v/>
      </c>
      <c r="D17" s="22" t="n">
        <v>31.5</v>
      </c>
      <c r="E17" s="20" t="n">
        <v>272.5</v>
      </c>
      <c r="F17" s="23" t="n"/>
      <c r="G17" s="20" t="n">
        <v>1153</v>
      </c>
      <c r="H17" s="23" t="n"/>
      <c r="I17" s="16" t="inlineStr">
        <is>
          <t>Pre-GFC peak; growth already modest (+3.2%); DRAM oversupply begins (512Mb below $1 in Nov-07). PC units implied from Gartner's 2008 +10.9%</t>
        </is>
      </c>
    </row>
    <row r="18">
      <c r="A18" s="25" t="n">
        <v>2008</v>
      </c>
      <c r="B18" s="20" t="n">
        <v>248.6</v>
      </c>
      <c r="C18" s="23">
        <f>B18/B17-1</f>
        <v/>
      </c>
      <c r="D18" s="22" t="n">
        <v>23.6</v>
      </c>
      <c r="E18" s="20" t="n">
        <v>302.2</v>
      </c>
      <c r="F18" s="23">
        <f>E18/E17-1</f>
        <v/>
      </c>
      <c r="G18" s="20" t="n">
        <v>1222</v>
      </c>
      <c r="H18" s="23">
        <f>G18/G17-1</f>
        <v/>
      </c>
      <c r="I18" s="16" t="inlineStr">
        <is>
          <t>Lehman collapse in Sept; full-year PCs +10.9% but Q4-08 +1.1% (US -10%); Q4-08 phones -4.6% YoY; DRAM revenue ~-25%</t>
        </is>
      </c>
    </row>
    <row r="19">
      <c r="A19" s="25" t="n">
        <v>2009</v>
      </c>
      <c r="B19" s="20" t="n">
        <v>226.3</v>
      </c>
      <c r="C19" s="23">
        <f>B19/B18-1</f>
        <v/>
      </c>
      <c r="D19" s="22" t="n">
        <v>22.9</v>
      </c>
      <c r="E19" s="20" t="n"/>
      <c r="F19" s="23" t="n"/>
      <c r="G19" s="20" t="n">
        <v>1211</v>
      </c>
      <c r="H19" s="23">
        <f>G19/G18-1</f>
        <v/>
      </c>
      <c r="I19" s="16" t="inlineStr">
        <is>
          <t>Trough: semi sales -9.0%; phones -0.9% (first decline since 2001)</t>
        </is>
      </c>
    </row>
    <row r="20">
      <c r="A20" s="19" t="n">
        <v>2010</v>
      </c>
      <c r="B20" s="20" t="n">
        <v>298.3</v>
      </c>
      <c r="C20" s="23">
        <f>B20/B19-1</f>
        <v/>
      </c>
      <c r="D20" s="20" t="n"/>
      <c r="E20" s="20" t="n"/>
      <c r="F20" s="23" t="n"/>
      <c r="G20" s="20" t="n"/>
      <c r="H20" s="23" t="n"/>
      <c r="I20" s="16" t="inlineStr">
        <is>
          <t>Record sales, +31.8% - regains 2007 peak in 3 years</t>
        </is>
      </c>
    </row>
    <row r="21">
      <c r="A21" s="19" t="n">
        <v>2011</v>
      </c>
      <c r="B21" s="20" t="n">
        <v>299.5</v>
      </c>
      <c r="C21" s="23">
        <f>B21/B20-1</f>
        <v/>
      </c>
      <c r="D21" s="20" t="n"/>
      <c r="E21" s="20" t="n"/>
      <c r="F21" s="23" t="n"/>
      <c r="G21" s="20" t="n"/>
      <c r="H21" s="23" t="n"/>
      <c r="I21" s="16" t="inlineStr"/>
    </row>
    <row r="23">
      <c r="A23" s="11" t="inlineStr">
        <is>
          <t>Drawdown comparison (worldwide semiconductor sales)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8" t="inlineStr"/>
      <c r="B24" s="8" t="inlineStr">
        <is>
          <t>Dot-com bust</t>
        </is>
      </c>
      <c r="C24" s="8" t="inlineStr">
        <is>
          <t>GFC</t>
        </is>
      </c>
    </row>
    <row r="25">
      <c r="A25" s="5" t="inlineStr">
        <is>
          <t>Peak (2000 / 2007)</t>
        </is>
      </c>
      <c r="B25" s="26">
        <f>B10</f>
        <v/>
      </c>
      <c r="C25" s="27">
        <f>B17</f>
        <v/>
      </c>
    </row>
    <row r="26">
      <c r="A26" s="5" t="inlineStr">
        <is>
          <t>Trough (2001 / 2009)</t>
        </is>
      </c>
      <c r="B26" s="26">
        <f>B11</f>
        <v/>
      </c>
      <c r="C26" s="27">
        <f>B19</f>
        <v/>
      </c>
    </row>
    <row r="27">
      <c r="A27" s="5" t="inlineStr">
        <is>
          <t>Peak-to-trough decline</t>
        </is>
      </c>
      <c r="B27" s="28">
        <f>B11/B10-1</f>
        <v/>
      </c>
      <c r="C27" s="29">
        <f>B19/B17-1</f>
        <v/>
      </c>
    </row>
    <row r="28">
      <c r="A28" s="5" t="inlineStr">
        <is>
          <t>Years to regain prior peak</t>
        </is>
      </c>
      <c r="B28" s="30" t="n">
        <v>4</v>
      </c>
      <c r="C28" s="31" t="n">
        <v>3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17" customWidth="1" min="4" max="4"/>
    <col width="16" customWidth="1" min="5" max="5"/>
    <col width="10" customWidth="1" min="6" max="6"/>
    <col width="16" customWidth="1" min="7" max="7"/>
    <col width="15" customWidth="1" min="8" max="8"/>
    <col width="58" customWidth="1" min="9" max="9"/>
  </cols>
  <sheetData>
    <row r="1">
      <c r="A1" s="1" t="inlineStr">
        <is>
          <t>Capital Expenditure, 1995-2011</t>
        </is>
      </c>
    </row>
    <row r="2">
      <c r="A2" s="2" t="inlineStr">
        <is>
          <t>Semiconductor capex (Gartner/Dataquest), fab equipment (Gartner and SEMI WWSEMS), US telecom carrier capex (FRBSF) and US business fixed investment (BEA). Nominal US$B unless noted. (e)=derived from stated growth rates, (f)=forecast at the time.</t>
        </is>
      </c>
    </row>
    <row r="4">
      <c r="A4" s="8" t="inlineStr">
        <is>
          <t>Year</t>
        </is>
      </c>
      <c r="B4" s="8" t="inlineStr">
        <is>
          <t>Semi capex, total ($B, Gartner)</t>
        </is>
      </c>
      <c r="C4" s="8" t="inlineStr">
        <is>
          <t>YoY %</t>
        </is>
      </c>
      <c r="D4" s="8" t="inlineStr">
        <is>
          <t>Semi capital equipment ($B, Gartner)</t>
        </is>
      </c>
      <c r="E4" s="8" t="inlineStr">
        <is>
          <t>Fab equipment billings ($B, SEMI)</t>
        </is>
      </c>
      <c r="F4" s="8" t="inlineStr">
        <is>
          <t>SEMI YoY %</t>
        </is>
      </c>
      <c r="G4" s="8" t="inlineStr">
        <is>
          <t>US telecom carrier capex ($B)</t>
        </is>
      </c>
      <c r="H4" s="8" t="inlineStr">
        <is>
          <t>US real nonres. fixed investment YoY</t>
        </is>
      </c>
      <c r="I4" s="8" t="inlineStr">
        <is>
          <t>Notes</t>
        </is>
      </c>
    </row>
    <row r="5">
      <c r="A5" s="19" t="n">
        <v>1995</v>
      </c>
      <c r="B5" s="20" t="n"/>
      <c r="C5" s="23" t="n"/>
      <c r="D5" s="20" t="n"/>
      <c r="E5" s="20" t="n"/>
      <c r="F5" s="23" t="n"/>
      <c r="G5" s="20" t="n">
        <v>47</v>
      </c>
      <c r="H5" s="23" t="n">
        <v>0.097</v>
      </c>
      <c r="I5" s="16" t="inlineStr">
        <is>
          <t>Telecom capex baseline before the Telecom Act of 1996</t>
        </is>
      </c>
    </row>
    <row r="6">
      <c r="A6" s="19" t="n">
        <v>1996</v>
      </c>
      <c r="B6" s="20" t="n"/>
      <c r="C6" s="23" t="n"/>
      <c r="D6" s="20" t="n"/>
      <c r="E6" s="20" t="n"/>
      <c r="F6" s="23" t="n"/>
      <c r="G6" s="20" t="n"/>
      <c r="H6" s="23" t="n">
        <v>0.091</v>
      </c>
      <c r="I6" s="16" t="inlineStr">
        <is>
          <t>Telecom Act 1996 kicks off a +28%/yr carrier capex boom (TIA/CSFB)</t>
        </is>
      </c>
    </row>
    <row r="7">
      <c r="A7" s="19" t="n">
        <v>1997</v>
      </c>
      <c r="B7" s="20" t="n"/>
      <c r="C7" s="23" t="n"/>
      <c r="D7" s="20" t="n"/>
      <c r="E7" s="20" t="n"/>
      <c r="F7" s="23" t="n"/>
      <c r="G7" s="20" t="n"/>
      <c r="H7" s="23" t="n">
        <v>0.108</v>
      </c>
      <c r="I7" s="16" t="inlineStr"/>
    </row>
    <row r="8">
      <c r="A8" s="19" t="n">
        <v>1998</v>
      </c>
      <c r="B8" s="20" t="n"/>
      <c r="C8" s="23" t="n"/>
      <c r="D8" s="20" t="n"/>
      <c r="E8" s="20" t="n"/>
      <c r="F8" s="23" t="n"/>
      <c r="G8" s="20" t="n"/>
      <c r="H8" s="23" t="n">
        <v>0.109</v>
      </c>
      <c r="I8" s="16" t="inlineStr"/>
    </row>
    <row r="9">
      <c r="A9" s="24" t="n">
        <v>1999</v>
      </c>
      <c r="B9" s="22" t="n">
        <v>34.7</v>
      </c>
      <c r="C9" s="23" t="n"/>
      <c r="D9" s="20" t="n"/>
      <c r="E9" s="20" t="n"/>
      <c r="F9" s="23" t="n"/>
      <c r="G9" s="20" t="n"/>
      <c r="H9" s="23" t="n">
        <v>0.099</v>
      </c>
      <c r="I9" s="16" t="inlineStr">
        <is>
          <t>(e) implied by Gartner's '+84% in 2000'</t>
        </is>
      </c>
    </row>
    <row r="10">
      <c r="A10" s="24" t="n">
        <v>2000</v>
      </c>
      <c r="B10" s="22" t="n">
        <v>63.9</v>
      </c>
      <c r="C10" s="23">
        <f>B10/B9-1</f>
        <v/>
      </c>
      <c r="D10" s="20" t="n">
        <v>39.9</v>
      </c>
      <c r="E10" s="20" t="n">
        <v>47.7</v>
      </c>
      <c r="F10" s="23" t="n"/>
      <c r="G10" s="20" t="n">
        <v>121</v>
      </c>
      <c r="H10" s="23" t="n">
        <v>0.093</v>
      </c>
      <c r="I10" s="16" t="inlineStr">
        <is>
          <t>Capex mania peak: semi capex +84% YoY; telecom capex peaks at $121B (~$444B cumulative 1996-2001, LA Times)</t>
        </is>
      </c>
    </row>
    <row r="11">
      <c r="A11" s="24" t="n">
        <v>2001</v>
      </c>
      <c r="B11" s="20" t="n">
        <v>47.3</v>
      </c>
      <c r="C11" s="23">
        <f>B11/B10-1</f>
        <v/>
      </c>
      <c r="D11" s="20" t="n">
        <v>27.9</v>
      </c>
      <c r="E11" s="20" t="n">
        <v>28.1</v>
      </c>
      <c r="F11" s="23">
        <f>E11/E10-1</f>
        <v/>
      </c>
      <c r="G11" s="20" t="n"/>
      <c r="H11" s="23" t="n">
        <v>-0.022</v>
      </c>
      <c r="I11" s="16" t="inlineStr">
        <is>
          <t>Semi capex -26%; SEMI billings -41%; telecom collapse begins (CLEC bankruptcies)</t>
        </is>
      </c>
    </row>
    <row r="12">
      <c r="A12" s="24" t="n">
        <v>2002</v>
      </c>
      <c r="B12" s="20" t="n">
        <v>27.8</v>
      </c>
      <c r="C12" s="23">
        <f>B12/B11-1</f>
        <v/>
      </c>
      <c r="D12" s="20" t="n"/>
      <c r="E12" s="20" t="n"/>
      <c r="F12" s="23" t="n"/>
      <c r="G12" s="20" t="n">
        <v>49</v>
      </c>
      <c r="H12" s="23" t="n">
        <v>-0.06900000000000001</v>
      </c>
      <c r="I12" s="16" t="inlineStr">
        <is>
          <t>Semi capex -41% (year 2 of cuts); telecom capex -60% from peak; WorldCom bankruptcy</t>
        </is>
      </c>
    </row>
    <row r="13">
      <c r="A13" s="19" t="n">
        <v>2003</v>
      </c>
      <c r="B13" s="20" t="n">
        <v>28.9</v>
      </c>
      <c r="C13" s="23">
        <f>B13/B12-1</f>
        <v/>
      </c>
      <c r="D13" s="20" t="n">
        <v>21.7</v>
      </c>
      <c r="E13" s="20" t="n"/>
      <c r="F13" s="23" t="n"/>
      <c r="G13" s="20" t="n"/>
      <c r="H13" s="23" t="n">
        <v>0.025</v>
      </c>
      <c r="I13" s="16" t="inlineStr">
        <is>
          <t>Spending still at the bottom, 3 years after the peak</t>
        </is>
      </c>
    </row>
    <row r="14">
      <c r="A14" s="19" t="n">
        <v>2004</v>
      </c>
      <c r="B14" s="22" t="n">
        <v>37</v>
      </c>
      <c r="C14" s="23">
        <f>B14/B13-1</f>
        <v/>
      </c>
      <c r="D14" s="22" t="n">
        <v>29.5</v>
      </c>
      <c r="E14" s="20" t="n"/>
      <c r="F14" s="23" t="n"/>
      <c r="G14" s="20" t="n"/>
      <c r="H14" s="23" t="n">
        <v>0.056</v>
      </c>
      <c r="I14" s="16" t="inlineStr">
        <is>
          <t>(f) Gartner Dec-2003 forecast: +28% rebound</t>
        </is>
      </c>
    </row>
    <row r="15">
      <c r="A15" s="19" t="n">
        <v>2005</v>
      </c>
      <c r="B15" s="20" t="n"/>
      <c r="C15" s="23" t="n"/>
      <c r="D15" s="20" t="n"/>
      <c r="E15" s="20" t="n"/>
      <c r="F15" s="23" t="n"/>
      <c r="G15" s="20" t="n"/>
      <c r="H15" s="23" t="n">
        <v>0.077</v>
      </c>
      <c r="I15" s="16" t="inlineStr"/>
    </row>
    <row r="16">
      <c r="A16" s="19" t="n">
        <v>2006</v>
      </c>
      <c r="B16" s="22" t="n">
        <v>56</v>
      </c>
      <c r="C16" s="23" t="n"/>
      <c r="D16" s="20" t="n"/>
      <c r="E16" s="20" t="n">
        <v>40.5</v>
      </c>
      <c r="F16" s="23" t="n"/>
      <c r="G16" s="20" t="n"/>
      <c r="H16" s="23" t="n">
        <v>0.08</v>
      </c>
      <c r="I16" s="16" t="inlineStr">
        <is>
          <t>(e) implied by Gartner's 2007 +0.6%; memory capex race</t>
        </is>
      </c>
    </row>
    <row r="17">
      <c r="A17" s="25" t="n">
        <v>2007</v>
      </c>
      <c r="B17" s="20" t="n">
        <v>56.3</v>
      </c>
      <c r="C17" s="23">
        <f>B17/B16-1</f>
        <v/>
      </c>
      <c r="D17" s="22" t="n">
        <v>44.9</v>
      </c>
      <c r="E17" s="20" t="n">
        <v>42.8</v>
      </c>
      <c r="F17" s="23">
        <f>E17/E16-1</f>
        <v/>
      </c>
      <c r="G17" s="20" t="n"/>
      <c r="H17" s="23" t="n">
        <v>0.06900000000000001</v>
      </c>
      <c r="I17" s="16" t="inlineStr">
        <is>
          <t>Pre-GFC peak, but growth only +0.6%: no capex mania this time. (e) equipment implied by Gartner's 2008 -31.7%</t>
        </is>
      </c>
    </row>
    <row r="18">
      <c r="A18" s="25" t="n">
        <v>2008</v>
      </c>
      <c r="B18" s="20" t="n"/>
      <c r="C18" s="23" t="n"/>
      <c r="D18" s="20" t="n">
        <v>30.7</v>
      </c>
      <c r="E18" s="20" t="n">
        <v>29.5</v>
      </c>
      <c r="F18" s="23">
        <f>E18/E17-1</f>
        <v/>
      </c>
      <c r="G18" s="20" t="n"/>
      <c r="H18" s="23" t="n">
        <v>0.006</v>
      </c>
      <c r="I18" s="16" t="inlineStr">
        <is>
          <t>Equipment capex -31.7% (Gartner final); SEMI billings -31%</t>
        </is>
      </c>
    </row>
    <row r="19">
      <c r="A19" s="25" t="n">
        <v>2009</v>
      </c>
      <c r="B19" s="20" t="n"/>
      <c r="C19" s="23" t="n"/>
      <c r="D19" s="20" t="n">
        <v>16.6</v>
      </c>
      <c r="E19" s="20" t="n">
        <v>15.9</v>
      </c>
      <c r="F19" s="23">
        <f>E19/E18-1</f>
        <v/>
      </c>
      <c r="G19" s="20" t="n"/>
      <c r="H19" s="23" t="n">
        <v>-0.145</v>
      </c>
      <c r="I19" s="16" t="inlineStr">
        <is>
          <t>Equipment capex -45.8%; memory capex -54%; SEMI billings lowest since 1994; US business investment worst postwar year</t>
        </is>
      </c>
    </row>
    <row r="20">
      <c r="A20" s="19" t="n">
        <v>2010</v>
      </c>
      <c r="B20" s="20" t="n"/>
      <c r="C20" s="23" t="n"/>
      <c r="D20" s="20" t="n"/>
      <c r="E20" s="20" t="n">
        <v>39.5</v>
      </c>
      <c r="F20" s="23">
        <f>E20/E19-1</f>
        <v/>
      </c>
      <c r="G20" s="20" t="n"/>
      <c r="H20" s="23" t="n">
        <v>0.045</v>
      </c>
      <c r="I20" s="16" t="inlineStr">
        <is>
          <t>V-shaped rebound: SEMI billings +148%</t>
        </is>
      </c>
    </row>
    <row r="21">
      <c r="A21" s="19" t="n">
        <v>2011</v>
      </c>
      <c r="B21" s="20" t="n"/>
      <c r="C21" s="23" t="n"/>
      <c r="D21" s="20" t="n"/>
      <c r="E21" s="20" t="n"/>
      <c r="F21" s="23" t="n"/>
      <c r="G21" s="20" t="n"/>
      <c r="H21" s="23" t="n">
        <v>0.08699999999999999</v>
      </c>
      <c r="I21" s="16" t="inlineStr"/>
    </row>
    <row r="23">
      <c r="A23" s="11" t="inlineStr">
        <is>
          <t>Peak-to-trough capex declines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8" t="inlineStr">
        <is>
          <t>Series</t>
        </is>
      </c>
      <c r="B24" s="8" t="inlineStr">
        <is>
          <t>Dot-com bust</t>
        </is>
      </c>
      <c r="C24" s="8" t="inlineStr">
        <is>
          <t>GFC</t>
        </is>
      </c>
    </row>
    <row r="25">
      <c r="A25" s="5" t="inlineStr">
        <is>
          <t>Semi capex, total (Gartner)</t>
        </is>
      </c>
      <c r="B25" s="28">
        <f>B12/B10-1</f>
        <v/>
      </c>
      <c r="C25" s="32" t="inlineStr">
        <is>
          <t>n/a (equipment series used for GFC)</t>
        </is>
      </c>
    </row>
    <row r="26">
      <c r="A26" s="5" t="inlineStr">
        <is>
          <t>Semi capital equipment (Gartner)</t>
        </is>
      </c>
      <c r="B26" s="28">
        <f>D11/D10-1</f>
        <v/>
      </c>
      <c r="C26" s="29">
        <f>D19/D17-1</f>
        <v/>
      </c>
    </row>
    <row r="27">
      <c r="A27" s="5" t="inlineStr">
        <is>
          <t>Fab equipment billings (SEMI)</t>
        </is>
      </c>
      <c r="B27" s="28">
        <f>E11/E10-1</f>
        <v/>
      </c>
      <c r="C27" s="29">
        <f>E19/E17-1</f>
        <v/>
      </c>
    </row>
    <row r="28">
      <c r="A28" s="5" t="inlineStr">
        <is>
          <t>US telecom carrier capex (FRBSF)</t>
        </is>
      </c>
      <c r="B28" s="28">
        <f>G12/G10-1</f>
        <v/>
      </c>
      <c r="C28" s="32" t="inlineStr">
        <is>
          <t>n/a (no equivalent bubble)</t>
        </is>
      </c>
    </row>
    <row r="29">
      <c r="A29" s="5" t="inlineStr">
        <is>
          <t>US real business fixed investment (BEA)</t>
        </is>
      </c>
      <c r="B29" s="33" t="inlineStr">
        <is>
          <t>-8.9% cumulative (2001-02)</t>
        </is>
      </c>
      <c r="C29" s="32" t="inlineStr">
        <is>
          <t>-14.0% cumulative (2008-09)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5" customWidth="1" min="4" max="4"/>
    <col width="70" customWidth="1" min="5" max="5"/>
  </cols>
  <sheetData>
    <row r="1">
      <c r="A1" s="1" t="inlineStr">
        <is>
          <t>Component Pricing Through Both Busts</t>
        </is>
      </c>
    </row>
    <row r="2">
      <c r="A2" s="2" t="inlineStr">
        <is>
          <t>Memory is the industry's price barometer: commodity DRAM/NAND prices collapsed below production cost in both downturns. Spot prices unless noted. Sources: Dataquest/Gartner (2000-01), DRAMeXchange/TrendForce (2007-09).</t>
        </is>
      </c>
    </row>
    <row r="4">
      <c r="A4" s="11" t="inlineStr">
        <is>
          <t>Dot-com bust: SDRAM price collapse, 2000-2001</t>
        </is>
      </c>
      <c r="B4" s="12" t="n"/>
      <c r="C4" s="12" t="n"/>
      <c r="D4" s="12" t="n"/>
      <c r="E4" s="12" t="n"/>
    </row>
    <row r="5">
      <c r="A5" s="8" t="inlineStr">
        <is>
          <t>Date</t>
        </is>
      </c>
      <c r="B5" s="8" t="inlineStr">
        <is>
          <t>Item</t>
        </is>
      </c>
      <c r="C5" s="8" t="inlineStr">
        <is>
          <t>Price (US$)</t>
        </is>
      </c>
      <c r="D5" s="8" t="inlineStr">
        <is>
          <t>Index (peak=100)</t>
        </is>
      </c>
      <c r="E5" s="8" t="inlineStr">
        <is>
          <t>Comment</t>
        </is>
      </c>
    </row>
    <row r="6">
      <c r="A6" s="33" t="inlineStr">
        <is>
          <t>Mid-2000</t>
        </is>
      </c>
      <c r="B6" s="6" t="inlineStr">
        <is>
          <t>128Mb SDRAM (avg selling price)</t>
        </is>
      </c>
      <c r="C6" s="34" t="n">
        <v>18.4</v>
      </c>
      <c r="D6" s="35">
        <f>C6/$C$6*100</f>
        <v/>
      </c>
      <c r="E6" s="16" t="inlineStr">
        <is>
          <t>Cycle peak. PC demand strong, supply tight</t>
        </is>
      </c>
    </row>
    <row r="7">
      <c r="A7" s="33" t="inlineStr">
        <is>
          <t>Dec-2000</t>
        </is>
      </c>
      <c r="B7" s="6" t="inlineStr">
        <is>
          <t>64Mb SDRAM (spot)</t>
        </is>
      </c>
      <c r="C7" s="34" t="n">
        <v>3.8</v>
      </c>
      <c r="D7" s="21" t="n"/>
      <c r="E7" s="16" t="inlineStr">
        <is>
          <t>Slide already underway as PC demand slows</t>
        </is>
      </c>
    </row>
    <row r="8">
      <c r="A8" s="33" t="inlineStr">
        <is>
          <t>Jun-2001</t>
        </is>
      </c>
      <c r="B8" s="6" t="inlineStr">
        <is>
          <t>128Mb SDRAM (spot)</t>
        </is>
      </c>
      <c r="C8" s="34" t="n">
        <v>2</v>
      </c>
      <c r="D8" s="35">
        <f>C8/$C$6*100</f>
        <v/>
      </c>
      <c r="E8" s="16" t="inlineStr">
        <is>
          <t>Below the ~$3.00 production cost of most makers; contract price also under $3 (Dataquest)</t>
        </is>
      </c>
    </row>
    <row r="9">
      <c r="A9" s="33" t="inlineStr">
        <is>
          <t>Jul-2001</t>
        </is>
      </c>
      <c r="B9" s="6" t="inlineStr">
        <is>
          <t>64Mb SDRAM (spot)</t>
        </is>
      </c>
      <c r="C9" s="34" t="n">
        <v>0.92</v>
      </c>
      <c r="D9" s="21" t="n"/>
      <c r="E9" s="16" t="inlineStr">
        <is>
          <t>Below $1 - approaching inflation-adjusted 1985 crash levels (Electronics Weekly)</t>
        </is>
      </c>
    </row>
    <row r="10">
      <c r="A10" s="33" t="inlineStr">
        <is>
          <t>Aug-2001</t>
        </is>
      </c>
      <c r="B10" s="6" t="inlineStr">
        <is>
          <t>128Mb SDRAM (spot)</t>
        </is>
      </c>
      <c r="C10" s="34" t="n">
        <v>1.5</v>
      </c>
      <c r="D10" s="35">
        <f>C10/$C$6*100</f>
        <v/>
      </c>
      <c r="E10" s="16" t="inlineStr">
        <is>
          <t>~-92% in 12 months (vs $18.40 average a year earlier)</t>
        </is>
      </c>
    </row>
    <row r="11">
      <c r="A11" s="7" t="inlineStr">
        <is>
          <t>• DRAM prices fell ~80% in the 12 months to June 2001 (Dataquest); 2001 DRAM revenue fell 55.5% to $14B - the worst year in DRAM history.</t>
        </is>
      </c>
    </row>
    <row r="12">
      <c r="A12" s="7" t="inlineStr">
        <is>
          <t>• A 128MB memory module that cost ~$120 in 2000 sold for under $20 by mid-2001.</t>
        </is>
      </c>
    </row>
    <row r="13">
      <c r="A13" s="7" t="inlineStr">
        <is>
          <t>• Losses: top-5 Japanese DRAM makers ~-$455M (2001, Merrill est.); Infineon -$500M in a single quarter; Micron -$300M. Only Toshiba cut output (30%) - the glut persisted into 2002.</t>
        </is>
      </c>
    </row>
    <row r="15">
      <c r="A15" s="11" t="inlineStr">
        <is>
          <t>GFC: DDR2 / NAND price collapse, 2007-2009</t>
        </is>
      </c>
      <c r="B15" s="12" t="n"/>
      <c r="C15" s="12" t="n"/>
      <c r="D15" s="12" t="n"/>
      <c r="E15" s="12" t="n"/>
    </row>
    <row r="16">
      <c r="A16" s="8" t="inlineStr">
        <is>
          <t>Date</t>
        </is>
      </c>
      <c r="B16" s="8" t="inlineStr">
        <is>
          <t>Item</t>
        </is>
      </c>
      <c r="C16" s="8" t="inlineStr">
        <is>
          <t>Price (US$)</t>
        </is>
      </c>
      <c r="D16" s="8" t="inlineStr">
        <is>
          <t>Index (peak=100)</t>
        </is>
      </c>
      <c r="E16" s="8" t="inlineStr">
        <is>
          <t>Comment</t>
        </is>
      </c>
    </row>
    <row r="17">
      <c r="A17" s="32" t="inlineStr">
        <is>
          <t>Nov-2007</t>
        </is>
      </c>
      <c r="B17" s="6" t="inlineStr">
        <is>
          <t>DDR2 512Mb 667MHz (spot)</t>
        </is>
      </c>
      <c r="C17" s="34" t="n">
        <v>0.98</v>
      </c>
      <c r="D17" s="21" t="n"/>
      <c r="E17" s="16" t="inlineStr">
        <is>
          <t>Falls below $1.00 - near cash cost; DRAM oversupply predates the financial crisis</t>
        </is>
      </c>
    </row>
    <row r="18">
      <c r="A18" s="32" t="inlineStr">
        <is>
          <t>6-May-2008</t>
        </is>
      </c>
      <c r="B18" s="6" t="inlineStr">
        <is>
          <t>DDR2 1Gb 667MHz (spot)</t>
        </is>
      </c>
      <c r="C18" s="34" t="n">
        <v>2.29</v>
      </c>
      <c r="D18" s="35">
        <f>C18/$C$18*100</f>
        <v/>
      </c>
      <c r="E18" s="16" t="inlineStr">
        <is>
          <t>2008 high, after Q2 restocking lifted contract prices ~25%</t>
        </is>
      </c>
    </row>
    <row r="19">
      <c r="A19" s="32" t="inlineStr">
        <is>
          <t>6-Sep-2008</t>
        </is>
      </c>
      <c r="B19" s="6" t="inlineStr">
        <is>
          <t>DDR2 1Gb 667MHz (spot)</t>
        </is>
      </c>
      <c r="C19" s="34" t="n">
        <v>1.5</v>
      </c>
      <c r="D19" s="35">
        <f>C19/$C$18*100</f>
        <v/>
      </c>
      <c r="E19" s="16" t="inlineStr">
        <is>
          <t>Falls below the average cash cost of most DRAM makers</t>
        </is>
      </c>
    </row>
    <row r="20">
      <c r="A20" s="32" t="inlineStr">
        <is>
          <t>30-Sep-2008</t>
        </is>
      </c>
      <c r="B20" s="6" t="inlineStr">
        <is>
          <t>DDR2 1Gb 667MHz (spot)</t>
        </is>
      </c>
      <c r="C20" s="34" t="n">
        <v>1.28</v>
      </c>
      <c r="D20" s="35">
        <f>C20/$C$18*100</f>
        <v/>
      </c>
      <c r="E20" s="16" t="inlineStr">
        <is>
          <t>-7% in a single day; makers dumping inventory at $1.00</t>
        </is>
      </c>
    </row>
    <row r="21">
      <c r="A21" s="32" t="inlineStr">
        <is>
          <t>17-Oct-2008</t>
        </is>
      </c>
      <c r="B21" s="6" t="inlineStr">
        <is>
          <t>DDR2 1Gb 667MHz (spot)</t>
        </is>
      </c>
      <c r="C21" s="34" t="n">
        <v>1.13</v>
      </c>
      <c r="D21" s="35">
        <f>C21/$C$18*100</f>
        <v/>
      </c>
      <c r="E21" s="16" t="inlineStr">
        <is>
          <t>-50% from the May high; production now cash-flow negative</t>
        </is>
      </c>
    </row>
    <row r="22">
      <c r="A22" s="32" t="inlineStr">
        <is>
          <t>Nov/Dec-2008</t>
        </is>
      </c>
      <c r="B22" s="6" t="inlineStr">
        <is>
          <t>DDR2 1Gb eTT (spot, record low)</t>
        </is>
      </c>
      <c r="C22" s="34" t="n">
        <v>0.58</v>
      </c>
      <c r="D22" s="35">
        <f>C22/$C$18*100</f>
        <v/>
      </c>
      <c r="E22" s="16" t="inlineStr">
        <is>
          <t>-75% from May; at bare materials cost (~$0.60). Qimonda filed for bankruptcy Jan-2009</t>
        </is>
      </c>
    </row>
    <row r="23">
      <c r="A23" s="7" t="inlineStr">
        <is>
          <t>• Contract DRAM fell -34% QoQ in 3Q08 and -37% QoQ in 4Q08; by Dec-2008 a 1GB DDR2 module averaged ~$8.50 and 2GB ~$18 on contract.</t>
        </is>
      </c>
    </row>
    <row r="24">
      <c r="A24" s="7" t="inlineStr">
        <is>
          <t>• NAND flash: contract prices fell &gt;30% QoQ in 4Q08; 8Gb slid from $1.50 to $0.95 during December (-24% in the month); 16Gb fell ~10% in early Dec alone.</t>
        </is>
      </c>
    </row>
    <row r="25">
      <c r="A25" s="7" t="inlineStr">
        <is>
          <t>• Supply response was much faster than 2001: Taiwanese DRAM makers cut ~30% of output in Q4-08, Hynix closed 8-inch fabs and cut 12-inch output 20%, NAND makers cut wafer starts ~10% QoQ in 1Q09 and slashed 2009 capex budgets.</t>
        </is>
      </c>
    </row>
    <row r="27">
      <c r="A27" s="11" t="inlineStr">
        <is>
          <t>Pricing collapse compared</t>
        </is>
      </c>
      <c r="B27" s="12" t="n"/>
      <c r="C27" s="12" t="n"/>
      <c r="D27" s="12" t="n"/>
      <c r="E27" s="12" t="n"/>
    </row>
    <row r="28">
      <c r="A28" s="8" t="inlineStr"/>
      <c r="B28" s="8" t="inlineStr">
        <is>
          <t>Dot-com (128Mb SDRAM)</t>
        </is>
      </c>
      <c r="C28" s="8" t="inlineStr">
        <is>
          <t>GFC (DDR2 1Gb)</t>
        </is>
      </c>
    </row>
    <row r="29">
      <c r="A29" s="5" t="inlineStr">
        <is>
          <t>Peak price</t>
        </is>
      </c>
      <c r="B29" s="36" t="n">
        <v>18.4</v>
      </c>
      <c r="C29" s="37" t="n">
        <v>2.29</v>
      </c>
    </row>
    <row r="30">
      <c r="A30" s="5" t="inlineStr">
        <is>
          <t>Trough price</t>
        </is>
      </c>
      <c r="B30" s="36" t="n">
        <v>1.5</v>
      </c>
      <c r="C30" s="37" t="n">
        <v>0.58</v>
      </c>
    </row>
    <row r="31">
      <c r="A31" s="5" t="inlineStr">
        <is>
          <t>Decline</t>
        </is>
      </c>
      <c r="B31" s="28">
        <f>B30/B29-1</f>
        <v/>
      </c>
      <c r="C31" s="29">
        <f>C30/C29-1</f>
        <v/>
      </c>
    </row>
    <row r="32">
      <c r="A32" s="5" t="inlineStr">
        <is>
          <t>Time from peak to trough</t>
        </is>
      </c>
      <c r="B32" s="33" t="inlineStr">
        <is>
          <t>~12 months</t>
        </is>
      </c>
      <c r="C32" s="32" t="inlineStr">
        <is>
          <t>~7 months</t>
        </is>
      </c>
    </row>
    <row r="33">
      <c r="A33" s="5" t="inlineStr">
        <is>
          <t>Below cash/production cost?</t>
        </is>
      </c>
      <c r="B33" s="33" t="inlineStr">
        <is>
          <t>Yes (break-even ~$3.00)</t>
        </is>
      </c>
      <c r="C33" s="32" t="inlineStr">
        <is>
          <t>Yes (cash cost ~$1.50; floor = materials ~$0.60)</t>
        </is>
      </c>
    </row>
    <row r="53">
      <c r="A53" s="38" t="inlineStr">
        <is>
          <t>128Mb SDRAM series used for chart:</t>
        </is>
      </c>
    </row>
    <row r="54">
      <c r="A54" s="39" t="inlineStr">
        <is>
          <t>Mid-2000</t>
        </is>
      </c>
      <c r="B54" s="40" t="n">
        <v>18.4</v>
      </c>
    </row>
    <row r="55">
      <c r="A55" s="39" t="inlineStr">
        <is>
          <t>Jun-2001</t>
        </is>
      </c>
      <c r="B55" s="40" t="n">
        <v>2</v>
      </c>
    </row>
    <row r="56">
      <c r="A56" s="39" t="inlineStr">
        <is>
          <t>Aug-2001</t>
        </is>
      </c>
      <c r="B56" s="40" t="n">
        <v>1.5</v>
      </c>
    </row>
  </sheetData>
  <mergeCells count="8">
    <mergeCell ref="A12:E12"/>
    <mergeCell ref="A24:E24"/>
    <mergeCell ref="A2:E2"/>
    <mergeCell ref="A25:E25"/>
    <mergeCell ref="A11:E11"/>
    <mergeCell ref="A1:E1"/>
    <mergeCell ref="A23:E23"/>
    <mergeCell ref="A13:E1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4" customWidth="1" min="4" max="4"/>
    <col width="13" customWidth="1" min="5" max="5"/>
    <col width="11" customWidth="1" min="6" max="6"/>
    <col width="46" customWidth="1" min="7" max="7"/>
  </cols>
  <sheetData>
    <row r="1">
      <c r="A1" s="1" t="inlineStr">
        <is>
          <t>Equity Market Context</t>
        </is>
      </c>
    </row>
    <row r="2">
      <c r="A2" s="2" t="inlineStr">
        <is>
          <t>Index peaks and troughs framing each bubble. SOX values are approximate closing levels.</t>
        </is>
      </c>
    </row>
    <row r="4">
      <c r="A4" s="8" t="inlineStr">
        <is>
          <t>Index</t>
        </is>
      </c>
      <c r="B4" s="8" t="inlineStr">
        <is>
          <t>Peak date</t>
        </is>
      </c>
      <c r="C4" s="8" t="inlineStr">
        <is>
          <t>Peak</t>
        </is>
      </c>
      <c r="D4" s="8" t="inlineStr">
        <is>
          <t>Trough date</t>
        </is>
      </c>
      <c r="E4" s="8" t="inlineStr">
        <is>
          <t>Trough</t>
        </is>
      </c>
      <c r="F4" s="8" t="inlineStr">
        <is>
          <t>Decline</t>
        </is>
      </c>
      <c r="G4" s="8" t="inlineStr">
        <is>
          <t>Note</t>
        </is>
      </c>
    </row>
    <row r="5">
      <c r="A5" s="11" t="inlineStr">
        <is>
          <t>Dot-com bust</t>
        </is>
      </c>
      <c r="B5" s="12" t="n"/>
      <c r="C5" s="12" t="n"/>
      <c r="D5" s="12" t="n"/>
      <c r="E5" s="12" t="n"/>
      <c r="F5" s="12" t="n"/>
      <c r="G5" s="12" t="n"/>
    </row>
    <row r="6">
      <c r="A6" s="41" t="inlineStr">
        <is>
          <t>NASDAQ Composite</t>
        </is>
      </c>
      <c r="B6" s="21" t="inlineStr">
        <is>
          <t>10-Mar-2000</t>
        </is>
      </c>
      <c r="C6" s="42" t="n">
        <v>5048.62</v>
      </c>
      <c r="D6" s="21" t="inlineStr">
        <is>
          <t>9-Oct-2002</t>
        </is>
      </c>
      <c r="E6" s="42" t="n">
        <v>1114.11</v>
      </c>
      <c r="F6" s="43">
        <f>E6/C6-1</f>
        <v/>
      </c>
      <c r="G6" s="16" t="inlineStr">
        <is>
          <t>Did not regain its 2000 peak until 2015 (~15 years)</t>
        </is>
      </c>
    </row>
    <row r="7">
      <c r="A7" s="41" t="inlineStr">
        <is>
          <t>S&amp;P 500</t>
        </is>
      </c>
      <c r="B7" s="21" t="inlineStr">
        <is>
          <t>24-Mar-2000</t>
        </is>
      </c>
      <c r="C7" s="42" t="n">
        <v>1527.46</v>
      </c>
      <c r="D7" s="21" t="inlineStr">
        <is>
          <t>9-Oct-2002</t>
        </is>
      </c>
      <c r="E7" s="42" t="n">
        <v>776.76</v>
      </c>
      <c r="F7" s="43">
        <f>E7/C7-1</f>
        <v/>
      </c>
      <c r="G7" s="16" t="inlineStr">
        <is>
          <t>Broad market fell about half as much as tech</t>
        </is>
      </c>
    </row>
    <row r="8">
      <c r="A8" s="41" t="inlineStr">
        <is>
          <t>PHLX Semiconductor (SOX) ~</t>
        </is>
      </c>
      <c r="B8" s="21" t="inlineStr">
        <is>
          <t>Mar-2000</t>
        </is>
      </c>
      <c r="C8" s="42" t="n">
        <v>1362</v>
      </c>
      <c r="D8" s="21" t="inlineStr">
        <is>
          <t>Oct-2002</t>
        </is>
      </c>
      <c r="E8" s="42" t="n">
        <v>214</v>
      </c>
      <c r="F8" s="43">
        <f>E8/C8-1</f>
        <v/>
      </c>
      <c r="G8" s="16" t="inlineStr">
        <is>
          <t>Chip stocks fell harder than the NASDAQ itself</t>
        </is>
      </c>
    </row>
    <row r="9">
      <c r="A9" s="41" t="inlineStr">
        <is>
          <t>NASDAQ Telecom index ~</t>
        </is>
      </c>
      <c r="B9" s="21" t="inlineStr">
        <is>
          <t>Mar-2000</t>
        </is>
      </c>
      <c r="C9" s="42" t="n">
        <v>1230</v>
      </c>
      <c r="D9" s="21" t="inlineStr">
        <is>
          <t>May-2003</t>
        </is>
      </c>
      <c r="E9" s="42" t="n">
        <v>136</v>
      </c>
      <c r="F9" s="43">
        <f>E9/C9-1</f>
        <v/>
      </c>
      <c r="G9" s="16" t="inlineStr">
        <is>
          <t>The single most bombed-out sector of the bubble (Richmond Fed)</t>
        </is>
      </c>
    </row>
    <row r="10">
      <c r="A10" s="11" t="inlineStr">
        <is>
          <t>GFC</t>
        </is>
      </c>
      <c r="B10" s="12" t="n"/>
      <c r="C10" s="12" t="n"/>
      <c r="D10" s="12" t="n"/>
      <c r="E10" s="12" t="n"/>
      <c r="F10" s="12" t="n"/>
      <c r="G10" s="12" t="n"/>
    </row>
    <row r="11">
      <c r="A11" s="44" t="inlineStr">
        <is>
          <t>S&amp;P 500</t>
        </is>
      </c>
      <c r="B11" s="21" t="inlineStr">
        <is>
          <t>9-Oct-2007</t>
        </is>
      </c>
      <c r="C11" s="42" t="n">
        <v>1565.15</v>
      </c>
      <c r="D11" s="21" t="inlineStr">
        <is>
          <t>9-Mar-2009</t>
        </is>
      </c>
      <c r="E11" s="42" t="n">
        <v>676.53</v>
      </c>
      <c r="F11" s="43">
        <f>E11/C11-1</f>
        <v/>
      </c>
      <c r="G11" s="16" t="inlineStr">
        <is>
          <t>Regained its 2007 peak in ~5.5 years (2013)</t>
        </is>
      </c>
    </row>
    <row r="12">
      <c r="A12" s="44" t="inlineStr">
        <is>
          <t>NASDAQ Composite</t>
        </is>
      </c>
      <c r="B12" s="21" t="inlineStr">
        <is>
          <t>31-Oct-2007</t>
        </is>
      </c>
      <c r="C12" s="42" t="n">
        <v>2859.12</v>
      </c>
      <c r="D12" s="21" t="inlineStr">
        <is>
          <t>9-Mar-2009</t>
        </is>
      </c>
      <c r="E12" s="42" t="n">
        <v>1268.64</v>
      </c>
      <c r="F12" s="43">
        <f>E12/C12-1</f>
        <v/>
      </c>
      <c r="G12" s="16" t="inlineStr">
        <is>
          <t>Tech fell with the market, not more than it</t>
        </is>
      </c>
    </row>
    <row r="13">
      <c r="A13" s="44" t="inlineStr">
        <is>
          <t>PHLX Semiconductor (SOX) ~</t>
        </is>
      </c>
      <c r="B13" s="21" t="inlineStr">
        <is>
          <t>Jul-2007</t>
        </is>
      </c>
      <c r="C13" s="42" t="n">
        <v>549</v>
      </c>
      <c r="D13" s="21" t="inlineStr">
        <is>
          <t>Nov-2008</t>
        </is>
      </c>
      <c r="E13" s="42" t="n">
        <v>167</v>
      </c>
      <c r="F13" s="43">
        <f>E13/C13-1</f>
        <v/>
      </c>
      <c r="G13" s="16" t="inlineStr">
        <is>
          <t>Bottomed ~4 months before the broad market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95" customWidth="1" min="3" max="3"/>
  </cols>
  <sheetData>
    <row r="1">
      <c r="A1" s="1" t="inlineStr">
        <is>
          <t>Sources &amp; Notes</t>
        </is>
      </c>
    </row>
    <row r="2">
      <c r="A2" s="2" t="inlineStr">
        <is>
          <t>All figures nominal US$ unless noted. Compiled Aug-2026 from the public sources below.</t>
        </is>
      </c>
    </row>
    <row r="4">
      <c r="A4" s="11" t="inlineStr">
        <is>
          <t>Footnote key</t>
        </is>
      </c>
      <c r="B4" s="12" t="n"/>
      <c r="C4" s="12" t="n"/>
    </row>
    <row r="5">
      <c r="A5" s="5" t="inlineStr">
        <is>
          <t>(e)</t>
        </is>
      </c>
      <c r="B5" s="6" t="inlineStr">
        <is>
          <t>Estimated / derived from growth rates stated by the source (e.g. 2000 semiconductor capex of ~$63.9B is implied by Gartner's statement that 2001's $47.3B was a 26% decline).</t>
        </is>
      </c>
      <c r="C5" s="45" t="n"/>
    </row>
    <row r="6">
      <c r="A6" s="5" t="inlineStr">
        <is>
          <t>(f)</t>
        </is>
      </c>
      <c r="B6" s="6" t="inlineStr">
        <is>
          <t>A forecast published at the time rather than a final actual.</t>
        </is>
      </c>
      <c r="C6" s="45" t="n"/>
    </row>
    <row r="7">
      <c r="A7" s="5" t="inlineStr">
        <is>
          <t>~</t>
        </is>
      </c>
      <c r="B7" s="6" t="inlineStr">
        <is>
          <t>Approximate value.</t>
        </is>
      </c>
      <c r="C7" s="45" t="n"/>
    </row>
    <row r="9">
      <c r="A9" s="11" t="inlineStr">
        <is>
          <t>Caveats</t>
        </is>
      </c>
      <c r="B9" s="12" t="n"/>
      <c r="C9" s="12" t="n"/>
    </row>
    <row r="10" ht="42" customHeight="1">
      <c r="A10" s="5" t="inlineStr">
        <is>
          <t>•</t>
        </is>
      </c>
      <c r="B10" s="6" t="inlineStr">
        <is>
          <t>Different sources measure different baskets: Gartner 'capital spending' covers total semiconductor industry capex (fabs, land, buildings, equipment); Gartner 'capital equipment' and SEMI 'equipment billings' cover manufacturing tools only, with slightly different category and reporter coverage - so levels differ across columns even for the same year.</t>
        </is>
      </c>
      <c r="C10" s="45" t="n"/>
    </row>
    <row r="11" ht="42" customHeight="1">
      <c r="A11" s="5" t="inlineStr">
        <is>
          <t>•</t>
        </is>
      </c>
      <c r="B11" s="6" t="inlineStr">
        <is>
          <t>Memory spot prices are volatile daily prints from Asian spot markets (DRAMeXchange); contract prices paid by large PC OEMs moved later and less violently. Both are quoted where available.</t>
        </is>
      </c>
      <c r="C11" s="45" t="n"/>
    </row>
    <row r="12" ht="42" customHeight="1">
      <c r="A12" s="5" t="inlineStr">
        <is>
          <t>•</t>
        </is>
      </c>
      <c r="B12" s="6" t="inlineStr">
        <is>
          <t>DRAM revenue figures for 2006-2009 are approximate Gartner/Dataquest values as reported in the trade press.</t>
        </is>
      </c>
      <c r="C12" s="45" t="n"/>
    </row>
    <row r="13" ht="42" customHeight="1">
      <c r="A13" s="5" t="inlineStr">
        <is>
          <t>•</t>
        </is>
      </c>
      <c r="B13" s="6" t="inlineStr">
        <is>
          <t>US telecom carrier capex (FRBSF) covers publicly traded telecom service companies; the TIA/CSFB and LA Times figures use broader industry definitions, hence larger cumulative totals.</t>
        </is>
      </c>
      <c r="C13" s="45" t="n"/>
    </row>
    <row r="14" ht="42" customHeight="1">
      <c r="A14" s="5" t="inlineStr">
        <is>
          <t>•</t>
        </is>
      </c>
      <c r="B14" s="6" t="inlineStr">
        <is>
          <t>Values are nominal (not inflation-adjusted). Between 2000 and 2008 the US CPI rose ~25%, which slightly overstates the 2008-era dollar figures relative to the dot-com era.</t>
        </is>
      </c>
      <c r="C14" s="45" t="n"/>
    </row>
    <row r="16">
      <c r="A16" s="11" t="inlineStr">
        <is>
          <t>Sources</t>
        </is>
      </c>
      <c r="B16" s="12" t="n"/>
      <c r="C16" s="12" t="n"/>
    </row>
    <row r="17">
      <c r="A17" s="8" t="inlineStr">
        <is>
          <t>#</t>
        </is>
      </c>
      <c r="B17" s="8" t="inlineStr">
        <is>
          <t>Source</t>
        </is>
      </c>
      <c r="C17" s="8" t="inlineStr">
        <is>
          <t>Data used</t>
        </is>
      </c>
    </row>
    <row r="18" ht="42" customHeight="1">
      <c r="A18" s="5" t="n">
        <v>1</v>
      </c>
      <c r="B18" s="6" t="inlineStr">
        <is>
          <t>SIA / WSTS market data, Factbooks and press releases (semiconductors.org; wsts.org)</t>
        </is>
      </c>
      <c r="C18" s="16" t="inlineStr">
        <is>
          <t>Annual worldwide semiconductor sales 1995-2011, incl. 1999 $149.4B, 2000 $204.4B, 2009 $226.3B, 2010 record $298.3B (+31.8%)</t>
        </is>
      </c>
    </row>
    <row r="19" ht="42" customHeight="1">
      <c r="A19" s="5" t="n">
        <v>2</v>
      </c>
      <c r="B19" s="6" t="inlineStr">
        <is>
          <t>Gartner Dataquest via Lightwave Online, 'Gartner Dataquest forecasts decline in worldwide semiconductor spending' (Jul-2001)</t>
        </is>
      </c>
      <c r="C19" s="16" t="inlineStr">
        <is>
          <t>2001 semi capex $47.3B (-26%); equipment $39.9B (2000) to $27.9B (2001); capex +84% in 2000</t>
        </is>
      </c>
    </row>
    <row r="20" ht="42" customHeight="1">
      <c r="A20" s="5" t="n">
        <v>3</v>
      </c>
      <c r="B20" s="6" t="inlineStr">
        <is>
          <t>Gartner press releases 2002-2007 (compilation at kirklindstrom.blogspot.com)</t>
        </is>
      </c>
      <c r="C20" s="16" t="inlineStr">
        <is>
          <t>Semi capex 2002 $27.8B, 2003 $28.9B, 2004 forecast $37B (+28%); equipment 2003 $21.7B, 2004f $29.5B; 2007 capex $56.3B (+0.6%)</t>
        </is>
      </c>
    </row>
    <row r="21" ht="42" customHeight="1">
      <c r="A21" s="5" t="n">
        <v>4</v>
      </c>
      <c r="B21" s="6" t="inlineStr">
        <is>
          <t>Gartner final results via Semiconductor Digest (Apr-2009) and PresseBox (Apr-2010)</t>
        </is>
      </c>
      <c r="C21" s="16" t="inlineStr">
        <is>
          <t>Equipment capex 2008 $30.7B (-31.7%) and 2009 $16.6B (-45.8%); memory capex -54% in 2009; WFE -47%</t>
        </is>
      </c>
    </row>
    <row r="22" ht="42" customHeight="1">
      <c r="A22" s="5" t="n">
        <v>5</v>
      </c>
      <c r="B22" s="6" t="inlineStr">
        <is>
          <t>IC Insights, McClean Report bulletin (Feb-2016)</t>
        </is>
      </c>
      <c r="C22" s="16" t="inlineStr">
        <is>
          <t>Capex double-digit downturn periods (1997-98, 2001-02, 2008-09) and the &gt;=45% rebound pattern; 2010 rebound anomaly</t>
        </is>
      </c>
    </row>
    <row r="23" ht="42" customHeight="1">
      <c r="A23" s="5" t="n">
        <v>6</v>
      </c>
      <c r="B23" s="6" t="inlineStr">
        <is>
          <t>SEMI WWSEMS via Semiconductor Digest (Mar-2002, Mar-2008) and Electronics Weekly (Dec-2009)</t>
        </is>
      </c>
      <c r="C23" s="16" t="inlineStr">
        <is>
          <t>Equipment billings: 2000 $47.7B, 2001 $28.1B (-41%), 2006 $40.47B, 2007 $42.77B, 2008 $29.5B (-31%), 2009 $15.9B (-46%, lowest since 1994), 2010 $39.5B (+148%)</t>
        </is>
      </c>
    </row>
    <row r="24" ht="42" customHeight="1">
      <c r="A24" s="5" t="n">
        <v>7</v>
      </c>
      <c r="B24" s="6" t="inlineStr">
        <is>
          <t>FRBSF Economic Review 2004, 'The Boom and Bust in Information Technology Investment' (Doms)</t>
        </is>
      </c>
      <c r="C24" s="16" t="inlineStr">
        <is>
          <t>US publicly traded telecom carrier capex: $47B (1995), $121B peak (2000), $49B (2002)</t>
        </is>
      </c>
    </row>
    <row r="25" ht="42" customHeight="1">
      <c r="A25" s="5" t="n">
        <v>8</v>
      </c>
      <c r="B25" s="6" t="inlineStr">
        <is>
          <t>TIA FCC filing 'Investment, Capital Spending and Service Quality in U.S. Telecommunications Networks' (Nov-2002)</t>
        </is>
      </c>
      <c r="C25" s="16" t="inlineStr">
        <is>
          <t>Carrier capex +28%/yr 1996-2000 vs +10%/yr revenues; CSFB estimate of 2002 capex -48% vs 2001</t>
        </is>
      </c>
    </row>
    <row r="26" ht="42" customHeight="1">
      <c r="A26" s="5" t="n">
        <v>9</v>
      </c>
      <c r="B26" s="6" t="inlineStr">
        <is>
          <t>Los Angeles Times, 'Too Much, Too Soon for Telecom' (30-Jun-2002)</t>
        </is>
      </c>
      <c r="C26" s="16" t="inlineStr">
        <is>
          <t>~$444B cumulative telecom capex 1996-2001; ~$300B sector debt</t>
        </is>
      </c>
    </row>
    <row r="27" ht="42" customHeight="1">
      <c r="A27" s="5" t="n">
        <v>10</v>
      </c>
      <c r="B27" s="6" t="inlineStr">
        <is>
          <t>Federal Reserve Bank of Richmond Economic Quarterly (Fall-2003), 'Boom and Bust in Telecommunications' (Wolman)</t>
        </is>
      </c>
      <c r="C27" s="16" t="inlineStr">
        <is>
          <t>Real communications-equipment investment $62B (1996) to $135B (Q4-2000) to $93B (Q4-2001); NASDAQ telecom index 198 to 1,230 to 136</t>
        </is>
      </c>
    </row>
    <row r="28" ht="42" customHeight="1">
      <c r="A28" s="5" t="n">
        <v>11</v>
      </c>
      <c r="B28" s="6" t="inlineStr">
        <is>
          <t>BEA via FRED, series A008RL1A225NBEA</t>
        </is>
      </c>
      <c r="C28" s="16" t="inlineStr">
        <is>
          <t>US real private nonresidential fixed investment, annual % change 1995-2011 (2001 -2.2%, 2002 -6.9%, 2008 +0.6%, 2009 -14.5%)</t>
        </is>
      </c>
    </row>
    <row r="29" ht="42" customHeight="1">
      <c r="A29" s="5" t="n">
        <v>12</v>
      </c>
      <c r="B29" s="6" t="inlineStr">
        <is>
          <t>Dataquest via ZDNet/HPCwire, 'Memory makers hit rock bottom' (Aug-2001)</t>
        </is>
      </c>
      <c r="C29" s="16" t="inlineStr">
        <is>
          <t>128Mb SDRAM ~$18.40 (mid-2000) to ~$1.50 spot (Aug-2001)</t>
        </is>
      </c>
    </row>
    <row r="30" ht="42" customHeight="1">
      <c r="A30" s="5" t="n">
        <v>13</v>
      </c>
      <c r="B30" s="6" t="inlineStr">
        <is>
          <t>Electronics Weekly, 'Memory prices hit rock bottom as 64Mbit DRAM sinks below $1' (Jul-2001)</t>
        </is>
      </c>
      <c r="C30" s="16" t="inlineStr">
        <is>
          <t>64Mb at $0.92; 128Mb &lt;$2 on Asian spot; break-even ~$3; maker losses (Merrill, Infineon, Micron); only Toshiba cut output; DRAM market $40B (1996) / $14B (1998) / $31.5B (2000) / $14B (2001e)</t>
        </is>
      </c>
    </row>
    <row r="31" ht="42" customHeight="1">
      <c r="A31" s="5" t="n">
        <v>14</v>
      </c>
      <c r="B31" s="6" t="inlineStr">
        <is>
          <t>EDN / Gartner Dataquest, 'DRAM sales to fall 55.5%...' (Jun-2001)</t>
        </is>
      </c>
      <c r="C31" s="16" t="inlineStr">
        <is>
          <t>2001 DRAM revenue -55.5% ($31.5B to $14B), worst year ever; prices -80% in 12 months; 128MB module $120 to &lt;$20; 1995 DRAM peak ~$40B+</t>
        </is>
      </c>
    </row>
    <row r="32" ht="42" customHeight="1">
      <c r="A32" s="5" t="n">
        <v>15</v>
      </c>
      <c r="B32" s="6" t="inlineStr">
        <is>
          <t>CNET, 'Have memory prices hit bottom?' (2001)</t>
        </is>
      </c>
      <c r="C32" s="16" t="inlineStr">
        <is>
          <t>64Mb spot $2.25 and 128Mb $4.38 (spring 2001); channel inventory 20 to 10 weeks</t>
        </is>
      </c>
    </row>
    <row r="33" ht="42" customHeight="1">
      <c r="A33" s="5" t="n">
        <v>16</v>
      </c>
      <c r="B33" s="6" t="inlineStr">
        <is>
          <t>DRAMeXchange / TrendForce weekly research (Oct-2008 to Jan-2009)</t>
        </is>
      </c>
      <c r="C33" s="16" t="inlineStr">
        <is>
          <t>DDR2 1Gb: $2.29 (6-May-08), below ~$1.50 cash cost (6-Sep), $1.28 (30-Sep, -7% in a day), $1.13 (17-Oct), record $0.58 low; DDR2 512Mb &lt;$1.00 (Nov-07); contract -34% QoQ 3Q08 / -37% QoQ 4Q08; module prices; NAND -30% QoQ 4Q08, 8Gb $1.50 to $0.95; output cuts (Taiwan ~30%, Hynix 8-inch closures); 2008 DRAM industry review</t>
        </is>
      </c>
    </row>
    <row r="34" ht="42" customHeight="1">
      <c r="A34" s="5" t="n">
        <v>17</v>
      </c>
      <c r="B34" s="6" t="inlineStr">
        <is>
          <t>Gartner Dataquest PC data via EDN/Computerworld (Jan-2002) and Gartner press (Jan-2009)</t>
        </is>
      </c>
      <c r="C34" s="16" t="inlineStr">
        <is>
          <t>2001 PCs 128M (-4.6%, first decline since 1985; US -11.1%); 2008 PCs 302.2M (+10.9%); Q4-08 78.1M (+1.1%, worst since 2002; US -10%)</t>
        </is>
      </c>
    </row>
    <row r="35" ht="42" customHeight="1">
      <c r="A35" s="5" t="n">
        <v>18</v>
      </c>
      <c r="B35" s="6" t="inlineStr">
        <is>
          <t>Gartner mobile phone data via phys.org (Mar-2009), Mobile World Live (Feb-2010) and Gartner Dataquest (Mar-2002)</t>
        </is>
      </c>
      <c r="C35" s="16" t="inlineStr">
        <is>
          <t>2000 412.7M / 2001 399.6M (-3.2%, first annual decline ever); 2008 1.22B (+6%), Q4-08 -4.6%; 2009 1.211B (-0.9%)</t>
        </is>
      </c>
    </row>
    <row r="36" ht="42" customHeight="1">
      <c r="A36" s="5" t="n">
        <v>19</v>
      </c>
      <c r="B36" s="6" t="inlineStr">
        <is>
          <t>Exchange data (NASDAQ, S&amp;P, PHLX) - standard closing levels</t>
        </is>
      </c>
      <c r="C36" s="16" t="inlineStr">
        <is>
          <t>Index peaks/troughs on the Market Context sheet; SOX and NASDAQ Telecom levels approximate</t>
        </is>
      </c>
    </row>
  </sheetData>
  <mergeCells count="10">
    <mergeCell ref="B13:C13"/>
    <mergeCell ref="B6:C6"/>
    <mergeCell ref="B7:C7"/>
    <mergeCell ref="A1:C1"/>
    <mergeCell ref="B11:C11"/>
    <mergeCell ref="B5:C5"/>
    <mergeCell ref="B10:C10"/>
    <mergeCell ref="B14:C14"/>
    <mergeCell ref="A2:C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2026-08-01T16:57:25Z</dcterms:created>
  <dcterms:modified xsi:type="dcterms:W3CDTF">2026-08-01T16:57:25Z</dcterms:modified>
</cp:coreProperties>
</file>