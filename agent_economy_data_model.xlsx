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firstSheet="12"/>
  </bookViews>
  <sheets>
    <sheet name="Top Companies" sheetId="1" r:id="rId1"/>
    <sheet name="Task Duration" sheetId="2" r:id="rId2"/>
    <sheet name="Token Consumption" sheetId="3" r:id="rId3"/>
    <sheet name="Model Pricing" sheetId="4" r:id="rId4"/>
    <sheet name="TS - Market Size" sheetId="5" r:id="rId5"/>
    <sheet name="TS - Daily Task Volume" sheetId="6" r:id="rId6"/>
    <sheet name="TS - Daily Token Consumption" sheetId="7" r:id="rId7"/>
    <sheet name="TS - Cost per Million Tokens" sheetId="8" r:id="rId8"/>
    <sheet name="TS - Average Task Duration" sheetId="9" r:id="rId9"/>
    <sheet name="TS - Compute Infrastructure" sheetId="10" r:id="rId10"/>
    <sheet name="TS - Company Revenue Projection" sheetId="11" r:id="rId11"/>
    <sheet name="Dashboard" sheetId="12" r:id="rId12"/>
  </sheets>
  <definedNames>
    <definedName name="_xlnm._FilterDatabase" localSheetId="3" hidden="1">'Model Pricing'!$A$4:$G$17</definedName>
    <definedName name="_xlnm._FilterDatabase" localSheetId="1" hidden="1">'Task Duration'!$A$4:$H$25</definedName>
    <definedName name="_xlnm._FilterDatabase" localSheetId="2" hidden="1">'Token Consumption'!$A$4:$H$28</definedName>
    <definedName name="_xlnm._FilterDatabase" localSheetId="0" hidden="1">'Top Companies'!$A$4:$L$24</definedName>
  </definedNames>
  <calcPr calcId="124519" fullCalcOnLoad="1"/>
</workbook>
</file>

<file path=xl/sharedStrings.xml><?xml version="1.0" encoding="utf-8"?>
<sst xmlns="http://schemas.openxmlformats.org/spreadsheetml/2006/main" count="564" uniqueCount="347">
  <si>
    <t>Agent Economy: Top Companies</t>
  </si>
  <si>
    <t>Comprehensive overview of leading companies in the AI agent ecosystem | Data as of Feb 2026</t>
  </si>
  <si>
    <t>Company</t>
  </si>
  <si>
    <t>Headquarters</t>
  </si>
  <si>
    <t>Founded</t>
  </si>
  <si>
    <t>Category</t>
  </si>
  <si>
    <t>Key Products</t>
  </si>
  <si>
    <t>Latest Valuation ($B)</t>
  </si>
  <si>
    <t>Est. 2025 Revenue ($B)</t>
  </si>
  <si>
    <t>Est. 2026 Revenue ($B)</t>
  </si>
  <si>
    <t>Employees</t>
  </si>
  <si>
    <t>Primary Model(s)</t>
  </si>
  <si>
    <t>Agent Focus / Capabilities</t>
  </si>
  <si>
    <t>Total Funding ($B)</t>
  </si>
  <si>
    <t>OpenAI</t>
  </si>
  <si>
    <t>San Francisco, CA</t>
  </si>
  <si>
    <t>Foundation Model / Platform</t>
  </si>
  <si>
    <t>GPT-4o, GPT-4.5, o3, Operator, Assistants API, ChatGPT Plugins</t>
  </si>
  <si>
    <t>GPT-4o / o3</t>
  </si>
  <si>
    <t>General-purpose agents, tool-use, code interpreter, web browsing, Operator autonomous agent</t>
  </si>
  <si>
    <t>Anthropic</t>
  </si>
  <si>
    <t>Claude 4 (Opus/Sonnet), Claude Code, Computer Use, MCP Protocol</t>
  </si>
  <si>
    <t>Claude 4 Opus / Sonnet</t>
  </si>
  <si>
    <t>Tool use, computer use, agentic coding (Claude Code), Model Context Protocol (MCP)</t>
  </si>
  <si>
    <t>Google DeepMind</t>
  </si>
  <si>
    <t>Mountain View, CA / London, UK</t>
  </si>
  <si>
    <t>Foundation Model / Platform (Big Tech)</t>
  </si>
  <si>
    <t>Gemini 2.0, Project Mariner, Jules, Vertex AI Agent Builder</t>
  </si>
  <si>
    <t>N/A (Public Co.)</t>
  </si>
  <si>
    <t>Gemini 2.0 Flash/Pro</t>
  </si>
  <si>
    <t>Project Mariner (browser agent), Jules (coding agent), Vertex AI Agent Builder for enterprise</t>
  </si>
  <si>
    <t>Microsoft (Copilot / Azure AI)</t>
  </si>
  <si>
    <t>Redmond, WA</t>
  </si>
  <si>
    <t>Platform / Enterprise AI (Big Tech)</t>
  </si>
  <si>
    <t>Copilot Studio, Azure AI Agent Service, Microsoft 365 Copilot, GitHub Copilot</t>
  </si>
  <si>
    <t>GPT-4o / Custom (via OpenAI partnership)</t>
  </si>
  <si>
    <t>Enterprise copilots, autonomous agents in M365, Azure AI Agent Service, GitHub Copilot Workspace</t>
  </si>
  <si>
    <t>Salesforce (Agentforce)</t>
  </si>
  <si>
    <t>Enterprise Agent Platform</t>
  </si>
  <si>
    <t>Agentforce, Einstein GPT, Data Cloud, Slack AI</t>
  </si>
  <si>
    <t>Multi-model (OpenAI, Anthropic, proprietary xGen)</t>
  </si>
  <si>
    <t>Customer service agents, sales agents, marketing agents, custom agent builder via Agentforce</t>
  </si>
  <si>
    <t>Cursor (Anysphere)</t>
  </si>
  <si>
    <t>AI-Native Coding Agent</t>
  </si>
  <si>
    <t>Cursor IDE, Background Agents, Tab Autocomplete, Composer</t>
  </si>
  <si>
    <t>Claude, GPT-4o, Custom fine-tuned models</t>
  </si>
  <si>
    <t>Autonomous coding agents, background task execution, multi-file editing, codebase-aware AI</t>
  </si>
  <si>
    <t>Cognition (Devin)</t>
  </si>
  <si>
    <t>Autonomous Coding Agent</t>
  </si>
  <si>
    <t>Devin (AI Software Engineer)</t>
  </si>
  <si>
    <t>Proprietary + Claude</t>
  </si>
  <si>
    <t>Fully autonomous software engineering agent that plans, codes, debugs, and deploys</t>
  </si>
  <si>
    <t>LangChain / LangSmith</t>
  </si>
  <si>
    <t>Agent Framework / Tooling</t>
  </si>
  <si>
    <t>LangChain, LangGraph, LangSmith, LangServe</t>
  </si>
  <si>
    <t>Model-agnostic orchestration</t>
  </si>
  <si>
    <t>Agent orchestration framework, multi-step workflows (LangGraph), observability (LangSmith)</t>
  </si>
  <si>
    <t>CrewAI</t>
  </si>
  <si>
    <t>Multi-Agent Framework</t>
  </si>
  <si>
    <t>CrewAI Framework, CrewAI Enterprise</t>
  </si>
  <si>
    <t>Multi-agent collaboration, role-based agents, task delegation, enterprise agent workflows</t>
  </si>
  <si>
    <t>Adept AI</t>
  </si>
  <si>
    <t>Enterprise Action Agent</t>
  </si>
  <si>
    <t>ACT-2 Model, Adept Platform</t>
  </si>
  <si>
    <t>ACT-2 (proprietary multimodal)</t>
  </si>
  <si>
    <t>Computer-use agents that interact with enterprise software (SAP, Salesforce, internal tools)</t>
  </si>
  <si>
    <t>Replit</t>
  </si>
  <si>
    <t>AI Coding / Deployment Platform</t>
  </si>
  <si>
    <t>Replit Agent, Ghostwriter, Deployments</t>
  </si>
  <si>
    <t>Claude, proprietary fine-tuned models</t>
  </si>
  <si>
    <t>End-to-end app building agent: plans, codes, configures, and deploys full applications</t>
  </si>
  <si>
    <t>Cohere</t>
  </si>
  <si>
    <t>Toronto, Canada</t>
  </si>
  <si>
    <t>Enterprise Foundation Model</t>
  </si>
  <si>
    <t>Command R+, Coral, North (Agentic Platform)</t>
  </si>
  <si>
    <t>Command R+ / Aya</t>
  </si>
  <si>
    <t>Enterprise RAG agents, multi-step tool use, grounded generation with citations</t>
  </si>
  <si>
    <t>Mistral AI</t>
  </si>
  <si>
    <t>Paris, France</t>
  </si>
  <si>
    <t>Foundation Model / Open-Weight</t>
  </si>
  <si>
    <t>Mistral Large 2, Codestral, Le Chat, La Plateforme</t>
  </si>
  <si>
    <t>Mistral Large 2 / Codestral</t>
  </si>
  <si>
    <t>Function calling, agentic coding, open-weight models enabling custom agent deployments</t>
  </si>
  <si>
    <t>Perplexity AI</t>
  </si>
  <si>
    <t>AI Search / Research Agent</t>
  </si>
  <si>
    <t>Perplexity Pro, Internal Knowledge Search, API</t>
  </si>
  <si>
    <t>Multi-model (proprietary + Claude + GPT-4o)</t>
  </si>
  <si>
    <t>Research agents with real-time web search, multi-step reasoning, citation generation</t>
  </si>
  <si>
    <t>Hebbia</t>
  </si>
  <si>
    <t>New York, NY</t>
  </si>
  <si>
    <t>Enterprise Knowledge Agent</t>
  </si>
  <si>
    <t>Matrix (Agentic Analytics Platform)</t>
  </si>
  <si>
    <t>Multi-model orchestration</t>
  </si>
  <si>
    <t>Document analysis agents for finance, legal, and consulting; structured data extraction at scale</t>
  </si>
  <si>
    <t>Sierra AI</t>
  </si>
  <si>
    <t>Customer Experience Agents</t>
  </si>
  <si>
    <t>Sierra Agent Platform</t>
  </si>
  <si>
    <t>Multi-model</t>
  </si>
  <si>
    <t>Conversational AI agents for customer experience, order management, troubleshooting</t>
  </si>
  <si>
    <t>Fixie / AI.JSX</t>
  </si>
  <si>
    <t>Seattle, WA</t>
  </si>
  <si>
    <t>Agent Platform</t>
  </si>
  <si>
    <t>Fixie Platform, AI.JSX</t>
  </si>
  <si>
    <t>Model-agnostic</t>
  </si>
  <si>
    <t>Composable AI agents with structured output, multi-agent coordination</t>
  </si>
  <si>
    <t>AutoGPT / Significant Gravitas</t>
  </si>
  <si>
    <t>Remote / London, UK</t>
  </si>
  <si>
    <t>Open-Source Agent Framework</t>
  </si>
  <si>
    <t>AutoGPT, AutoGPT Forge, Agent Protocol</t>
  </si>
  <si>
    <t>GPT-4o, Claude, open-source LLMs</t>
  </si>
  <si>
    <t>Autonomous goal-driven agents, recursive task decomposition, open-source agent standard</t>
  </si>
  <si>
    <t>Amazon (Bedrock Agents / Q)</t>
  </si>
  <si>
    <t>Cloud Platform / Enterprise AI (Big Tech)</t>
  </si>
  <si>
    <t>Amazon Bedrock Agents, Amazon Q, CodeWhisperer</t>
  </si>
  <si>
    <t>Claude (Anthropic), Titan, Nova, multi-model via Bedrock</t>
  </si>
  <si>
    <t>Bedrock Agents for enterprise workflow automation, Amazon Q for developer/business productivity</t>
  </si>
  <si>
    <t>ServiceNow</t>
  </si>
  <si>
    <t>Santa Clara, CA</t>
  </si>
  <si>
    <t>Now Assist, AI Agents for ITSM/ITOM/HR/CSM</t>
  </si>
  <si>
    <t>Multi-model (proprietary + OpenAI + others)</t>
  </si>
  <si>
    <t>IT service desk agents, HR agents, customer service agents, workflow automation agents</t>
  </si>
  <si>
    <t>Sources: Company filings, Crunchbase, PitchBook, press releases. Valuations reflect latest reported funding rounds. Revenue estimates are consensus/research estimates.</t>
  </si>
  <si>
    <t>Agent Task Duration Benchmarks</t>
  </si>
  <si>
    <t>Typical task durations across categories | Frontier &amp; mid-tier models | 2025-2026 benchmarks</t>
  </si>
  <si>
    <t>Task Category</t>
  </si>
  <si>
    <t>Task Example</t>
  </si>
  <si>
    <t>Avg Duration (sec)</t>
  </si>
  <si>
    <t>p50 (sec)</t>
  </si>
  <si>
    <t>p90 (sec)</t>
  </si>
  <si>
    <t>p99 (sec)</t>
  </si>
  <si>
    <t>Model Class</t>
  </si>
  <si>
    <t>Notes</t>
  </si>
  <si>
    <t>Code Generation</t>
  </si>
  <si>
    <t>Generate a single function (50-100 LOC)</t>
  </si>
  <si>
    <t>Frontier (GPT-4o/Claude Opus)</t>
  </si>
  <si>
    <t>Includes planning + generation + validation</t>
  </si>
  <si>
    <t>Multi-file feature implementation</t>
  </si>
  <si>
    <t>Frontier</t>
  </si>
  <si>
    <t>Agentic loop with tool calls; Cursor/Devin-style</t>
  </si>
  <si>
    <t>Full project scaffolding</t>
  </si>
  <si>
    <t>Replit Agent / Cursor Composer creating full apps</t>
  </si>
  <si>
    <t>Code Review</t>
  </si>
  <si>
    <t>PR review with inline suggestions</t>
  </si>
  <si>
    <t>Reads diff, generates suggestions, posts comments</t>
  </si>
  <si>
    <t>Code Debugging</t>
  </si>
  <si>
    <t>Root-cause analysis + fix suggestion</t>
  </si>
  <si>
    <t>Reads error, traces code, suggests fix</t>
  </si>
  <si>
    <t>Document Analysis</t>
  </si>
  <si>
    <t>Summarize a 50-page PDF</t>
  </si>
  <si>
    <t>RAG + long-context window</t>
  </si>
  <si>
    <t>Extract structured data from 100 docs</t>
  </si>
  <si>
    <t>Batch processing pipeline</t>
  </si>
  <si>
    <t>Research</t>
  </si>
  <si>
    <t>Multi-source web research query</t>
  </si>
  <si>
    <t>Perplexity-style search + synthesis</t>
  </si>
  <si>
    <t>Deep research report (10+ sources)</t>
  </si>
  <si>
    <t>Multi-step agent with web browsing</t>
  </si>
  <si>
    <t>Customer Service</t>
  </si>
  <si>
    <t>Simple FAQ response</t>
  </si>
  <si>
    <t>Mid-tier (GPT-4o-mini/Haiku)</t>
  </si>
  <si>
    <t>Single-turn retrieval + generation</t>
  </si>
  <si>
    <t>Complex issue resolution with actions</t>
  </si>
  <si>
    <t>Multi-turn with tool calls (refund, order lookup)</t>
  </si>
  <si>
    <t>Data Analysis</t>
  </si>
  <si>
    <t>SQL query generation + execution</t>
  </si>
  <si>
    <t>Text-to-SQL + validation + execution</t>
  </si>
  <si>
    <t>Full dashboard/report creation</t>
  </si>
  <si>
    <t>Multi-step: query, transform, visualize</t>
  </si>
  <si>
    <t>Email Drafting</t>
  </si>
  <si>
    <t>Reply to a single email</t>
  </si>
  <si>
    <t>Mid-tier</t>
  </si>
  <si>
    <t>Read context, generate appropriate reply</t>
  </si>
  <si>
    <t>Campaign with personalization (100 emails)</t>
  </si>
  <si>
    <t>Batch generation with per-recipient customization</t>
  </si>
  <si>
    <t>Workflow Automation</t>
  </si>
  <si>
    <t>Simple trigger-action automation</t>
  </si>
  <si>
    <t>If-then logic with one tool call</t>
  </si>
  <si>
    <t>Complex multi-system orchestration</t>
  </si>
  <si>
    <t>Multiple API calls, error handling, retries</t>
  </si>
  <si>
    <t>Image Analysis</t>
  </si>
  <si>
    <t>Describe/analyze a single image</t>
  </si>
  <si>
    <t>Frontier multimodal</t>
  </si>
  <si>
    <t>Vision model inference</t>
  </si>
  <si>
    <t>Batch process 100 images with extraction</t>
  </si>
  <si>
    <t>Parallel vision model calls</t>
  </si>
  <si>
    <t>Computer Use</t>
  </si>
  <si>
    <t>Navigate website and fill form</t>
  </si>
  <si>
    <t>Frontier + vision</t>
  </si>
  <si>
    <t>Screenshot-based navigation loop</t>
  </si>
  <si>
    <t>Complete multi-step desktop workflow</t>
  </si>
  <si>
    <t>Full desktop automation with decision-making</t>
  </si>
  <si>
    <t>Category Summary</t>
  </si>
  <si>
    <t>Agent Token Consumption Profiles</t>
  </si>
  <si>
    <t>Average token usage, costs, and tool call patterns per task type | Feb 2026 pricing</t>
  </si>
  <si>
    <t>Task Type</t>
  </si>
  <si>
    <t>Input Tokens (avg)</t>
  </si>
  <si>
    <t>Output Tokens (avg)</t>
  </si>
  <si>
    <t>Total Tokens</t>
  </si>
  <si>
    <t>Cost/Task @ Frontier ($)</t>
  </si>
  <si>
    <t>Cost/Task @ Mid-tier ($)</t>
  </si>
  <si>
    <t>Tool Calls (avg)</t>
  </si>
  <si>
    <t>Reasoning Tokens (avg)</t>
  </si>
  <si>
    <t>Simple Q&amp;A / Chat</t>
  </si>
  <si>
    <t>Code Generation (function)</t>
  </si>
  <si>
    <t>Code Generation (multi-file)</t>
  </si>
  <si>
    <t>Code Generation (full project)</t>
  </si>
  <si>
    <t>Code Review (PR)</t>
  </si>
  <si>
    <t>Document Summarization (short)</t>
  </si>
  <si>
    <t>Document Analysis (batch 100)</t>
  </si>
  <si>
    <t>Web Research (single query)</t>
  </si>
  <si>
    <t>Deep Research Report</t>
  </si>
  <si>
    <t>Customer Service (simple)</t>
  </si>
  <si>
    <t>Customer Service (complex)</t>
  </si>
  <si>
    <t>SQL Query Generation</t>
  </si>
  <si>
    <t>Dashboard/Report Creation</t>
  </si>
  <si>
    <t>Email Reply</t>
  </si>
  <si>
    <t>Email Campaign (100)</t>
  </si>
  <si>
    <t>Workflow Automation (simple)</t>
  </si>
  <si>
    <t>Workflow Automation (complex)</t>
  </si>
  <si>
    <t>Image Analysis (single)</t>
  </si>
  <si>
    <t>Image Analysis (batch 100)</t>
  </si>
  <si>
    <t>Computer Use (simple)</t>
  </si>
  <si>
    <t>Computer Use (complex)</t>
  </si>
  <si>
    <t>Agentic Coding Session (30 min)</t>
  </si>
  <si>
    <t>Agentic Coding Session (2 hr)</t>
  </si>
  <si>
    <t>Top 10 Tasks by Token Consumption</t>
  </si>
  <si>
    <t>Input Tokens</t>
  </si>
  <si>
    <t>Output Tokens</t>
  </si>
  <si>
    <t>Reasoning Tokens</t>
  </si>
  <si>
    <t>LLM Model Pricing Reference</t>
  </si>
  <si>
    <t>Current pricing for major models used in agent workflows | Feb 2026</t>
  </si>
  <si>
    <t>Model</t>
  </si>
  <si>
    <t>Provider</t>
  </si>
  <si>
    <t>Input ($/M tokens)</t>
  </si>
  <si>
    <t>Output ($/M tokens)</t>
  </si>
  <si>
    <t>Context Window</t>
  </si>
  <si>
    <t>Pricing Date</t>
  </si>
  <si>
    <t>GPT-4o</t>
  </si>
  <si>
    <t>2025-02</t>
  </si>
  <si>
    <t>GPT-4o-mini</t>
  </si>
  <si>
    <t>Cost-efficient mid-tier</t>
  </si>
  <si>
    <t>o3</t>
  </si>
  <si>
    <t>Reasoning model (high)</t>
  </si>
  <si>
    <t>o3-mini</t>
  </si>
  <si>
    <t>Reasoning model (efficient)</t>
  </si>
  <si>
    <t>Claude 4 Opus</t>
  </si>
  <si>
    <t>Highest capability</t>
  </si>
  <si>
    <t>Claude 4 Sonnet</t>
  </si>
  <si>
    <t>Best balance</t>
  </si>
  <si>
    <t>Claude 3.5 Haiku</t>
  </si>
  <si>
    <t>Fast &amp; cheap</t>
  </si>
  <si>
    <t>Gemini 2.0 Flash</t>
  </si>
  <si>
    <t>Google</t>
  </si>
  <si>
    <t>Very fast, long context</t>
  </si>
  <si>
    <t>Gemini 2.0 Pro</t>
  </si>
  <si>
    <t>Frontier competitor</t>
  </si>
  <si>
    <t>Mistral Large 2</t>
  </si>
  <si>
    <t>Mistral</t>
  </si>
  <si>
    <t>European frontier</t>
  </si>
  <si>
    <t>Command R+</t>
  </si>
  <si>
    <t>Enterprise RAG</t>
  </si>
  <si>
    <t>Llama 3.1 405B (hosted)</t>
  </si>
  <si>
    <t>Meta/various</t>
  </si>
  <si>
    <t>Open-weight frontier</t>
  </si>
  <si>
    <t>DeepSeek V3</t>
  </si>
  <si>
    <t>DeepSeek</t>
  </si>
  <si>
    <t>Open-source efficient</t>
  </si>
  <si>
    <t>Agent Economy Time Series: Market Size</t>
  </si>
  <si>
    <t>Projections 2024-2030 | Estimates based on industry research and growth models</t>
  </si>
  <si>
    <t>Metric</t>
  </si>
  <si>
    <t>Total AI Agent Market ($B)</t>
  </si>
  <si>
    <t>Coding Agents ($B)</t>
  </si>
  <si>
    <t>Enterprise Workflow Agents ($B)</t>
  </si>
  <si>
    <t>Customer Service Agents ($B)</t>
  </si>
  <si>
    <t>Research &amp; Knowledge Agents ($B)</t>
  </si>
  <si>
    <t>Other Vertical Agents ($B)</t>
  </si>
  <si>
    <t>CAGR '24-'30</t>
  </si>
  <si>
    <t>Year-over-Year Growth (%)</t>
  </si>
  <si>
    <t>—</t>
  </si>
  <si>
    <t>Sources: Industry research, company disclosures, analyst estimates, IDC, Gartner, internal models. Projections are illustrative and subject to significant uncertainty.</t>
  </si>
  <si>
    <t>Agent Economy Time Series: Daily Task Volume</t>
  </si>
  <si>
    <t>Total Daily Agent Tasks (M)</t>
  </si>
  <si>
    <t>Coding Tasks (M/day)</t>
  </si>
  <si>
    <t>Enterprise Tasks (M/day)</t>
  </si>
  <si>
    <t>Customer Service Tasks (M/day)</t>
  </si>
  <si>
    <t>Research Tasks (M/day)</t>
  </si>
  <si>
    <t>Other Tasks (M/day)</t>
  </si>
  <si>
    <t>Agent Economy Time Series: Daily Token Consumption</t>
  </si>
  <si>
    <t>Total Daily Tokens (B)</t>
  </si>
  <si>
    <t>Input Tokens (B/day)</t>
  </si>
  <si>
    <t>Output Tokens (B/day)</t>
  </si>
  <si>
    <t>Reasoning Tokens (B/day)</t>
  </si>
  <si>
    <t>Agent Economy Time Series: Cost per Million Tokens</t>
  </si>
  <si>
    <t>Frontier Model ($/M tokens)</t>
  </si>
  <si>
    <t>Mid-Tier Model ($/M tokens)</t>
  </si>
  <si>
    <t>Open-Source Hosted ($/M tokens)</t>
  </si>
  <si>
    <t>Blended Average ($/M tokens)</t>
  </si>
  <si>
    <t>Agent Economy Time Series: Average Task Duration</t>
  </si>
  <si>
    <t>Avg Simple Task Duration (sec)</t>
  </si>
  <si>
    <t>Avg Complex Task Duration (sec)</t>
  </si>
  <si>
    <t>Avg Agentic Session Duration (sec)</t>
  </si>
  <si>
    <t>Latency to First Token (ms)</t>
  </si>
  <si>
    <t>Agent Economy Time Series: Compute Infrastructure</t>
  </si>
  <si>
    <t>GPU Hours for Agents (M/day)</t>
  </si>
  <si>
    <t>Estimated Agent Compute Cost ($B/yr)</t>
  </si>
  <si>
    <t>Agent Share of Total AI Inference (%)</t>
  </si>
  <si>
    <t>Agent Economy Time Series: Company Revenue Projections</t>
  </si>
  <si>
    <t>OpenAI Revenue ($B)</t>
  </si>
  <si>
    <t>Anthropic Revenue ($B)</t>
  </si>
  <si>
    <t>Google AI Agent Revenue ($B)</t>
  </si>
  <si>
    <t>Microsoft Copilot Revenue ($B)</t>
  </si>
  <si>
    <t>Salesforce Agentforce Revenue ($B)</t>
  </si>
  <si>
    <t>Cursor/Anysphere Revenue ($B)</t>
  </si>
  <si>
    <t>Other Agent Companies ($B)</t>
  </si>
  <si>
    <t>Agent Economy Dashboard: Key Metrics Summary</t>
  </si>
  <si>
    <t>Snapshot of the AI agent ecosystem | Feb 2026</t>
  </si>
  <si>
    <t>2026E Agent Market Size</t>
  </si>
  <si>
    <t>2030E Agent Market Size</t>
  </si>
  <si>
    <t>'24-'30 Market CAGR</t>
  </si>
  <si>
    <t>Top Companies Tracked</t>
  </si>
  <si>
    <t>Task Types Benchmarked</t>
  </si>
  <si>
    <t>2026E Daily Agent Tasks</t>
  </si>
  <si>
    <t>Methodology &amp; Disclaimers</t>
  </si>
  <si>
    <t>This model aggregates data from multiple sources including company disclosures, industry reports (IDC, Gartner, McKinsey), venture capital databases (Crunchbase, PitchBook), and proprietary research estimates. Token consumption and task duration benchmarks are based on observed usage patterns across production agent deployments. Time-series projections use a combination of bottom-up (company-level) and top-down (TAM) modeling approaches. All forward-looking estimates are illustrative and subject to material uncertainty. Cost figures reflect published API pricing as of February 2026. Market sizes include software revenue and do not include infrastructure/compute spend.</t>
  </si>
  <si>
    <t>Sheet Navigation</t>
  </si>
  <si>
    <t>Top Companies</t>
  </si>
  <si>
    <t>Overview of 20 leading agent economy companies with valuations and revenue estimates</t>
  </si>
  <si>
    <t>Task Duration</t>
  </si>
  <si>
    <t>Benchmarks for agent task durations across 21 task types with percentile data</t>
  </si>
  <si>
    <t>Token Consumption</t>
  </si>
  <si>
    <t>Token usage profiles, costs, tool calls, and reasoning tokens for 24 task types</t>
  </si>
  <si>
    <t>Model Pricing</t>
  </si>
  <si>
    <t>Current LLM pricing reference for 13 major models</t>
  </si>
  <si>
    <t>TS - Market Size</t>
  </si>
  <si>
    <t>Agent market size projections by segment (2024-2030)</t>
  </si>
  <si>
    <t>TS - Daily Task Volume</t>
  </si>
  <si>
    <t>Global daily agent task volume projections</t>
  </si>
  <si>
    <t>TS - Daily Token Consumption</t>
  </si>
  <si>
    <t>Global daily token consumption projections</t>
  </si>
  <si>
    <t>TS - Cost per Million Tokens</t>
  </si>
  <si>
    <t>Model pricing trend projections showing declining costs</t>
  </si>
  <si>
    <t>TS - Average Task Duration</t>
  </si>
  <si>
    <t>Task speed improvement projections</t>
  </si>
  <si>
    <t>TS - Compute Infrastructure</t>
  </si>
  <si>
    <t>Agent compute infrastructure projections</t>
  </si>
  <si>
    <t>TS - Company Revenue Project</t>
  </si>
  <si>
    <t>Revenue projections for top agent companies</t>
  </si>
</sst>
</file>

<file path=xl/styles.xml><?xml version="1.0" encoding="utf-8"?>
<styleSheet xmlns="http://schemas.openxmlformats.org/spreadsheetml/2006/main">
  <numFmts count="6">
    <numFmt numFmtId="164" formatCode="#,##0"/>
    <numFmt numFmtId="165" formatCode="#,##0.00"/>
    <numFmt numFmtId="166" formatCode="$#,##0.000"/>
    <numFmt numFmtId="167" formatCode="0.0%"/>
    <numFmt numFmtId="168" formatCode="$#,##0.0&quot;B&quot;"/>
    <numFmt numFmtId="169" formatCode="0%"/>
  </numFmts>
  <fonts count="15">
    <font>
      <sz val="11"/>
      <color theme="1"/>
      <name val="Calibri"/>
      <family val="2"/>
      <scheme val="minor"/>
    </font>
    <font>
      <b/>
      <sz val="16"/>
      <color rgb="FF1B2A4A"/>
      <name val="Calibri"/>
      <family val="2"/>
      <scheme val="minor"/>
    </font>
    <font>
      <b/>
      <i/>
      <sz val="11"/>
      <color rgb="FF6B7280"/>
      <name val="Calibri"/>
      <family val="2"/>
      <scheme val="minor"/>
    </font>
    <font>
      <b/>
      <sz val="11"/>
      <color rgb="FFFFFFFF"/>
      <name val="Calibri"/>
      <family val="2"/>
      <scheme val="minor"/>
    </font>
    <font>
      <sz val="10"/>
      <color theme="1"/>
      <name val="Calibri"/>
      <family val="2"/>
      <scheme val="minor"/>
    </font>
    <font>
      <i/>
      <sz val="9"/>
      <color rgb="FF9CA3AF"/>
      <name val="Calibri"/>
      <family val="2"/>
      <scheme val="minor"/>
    </font>
    <font>
      <b/>
      <sz val="12"/>
      <color rgb="FF1E3A5F"/>
      <name val="Calibri"/>
      <family val="2"/>
      <scheme val="minor"/>
    </font>
    <font>
      <b/>
      <sz val="10"/>
      <color rgb="FF059669"/>
      <name val="Calibri"/>
      <family val="2"/>
      <scheme val="minor"/>
    </font>
    <font>
      <sz val="10"/>
      <color rgb="FF059669"/>
      <name val="Calibri"/>
      <family val="2"/>
      <scheme val="minor"/>
    </font>
    <font>
      <sz val="10"/>
      <color rgb="FFDC2626"/>
      <name val="Calibri"/>
      <family val="2"/>
      <scheme val="minor"/>
    </font>
    <font>
      <b/>
      <sz val="18"/>
      <color rgb="FF1E3A5F"/>
      <name val="Calibri"/>
      <family val="2"/>
      <scheme val="minor"/>
    </font>
    <font>
      <b/>
      <sz val="18"/>
      <color rgb="FF059669"/>
      <name val="Calibri"/>
      <family val="2"/>
      <scheme val="minor"/>
    </font>
    <font>
      <sz val="10"/>
      <color rgb="FF6B7280"/>
      <name val="Calibri"/>
      <family val="2"/>
      <scheme val="minor"/>
    </font>
    <font>
      <sz val="10"/>
      <color rgb="FF4B5563"/>
      <name val="Calibri"/>
      <family val="2"/>
      <scheme val="minor"/>
    </font>
    <font>
      <b/>
      <u/>
      <sz val="10"/>
      <color rgb="FF3B82F6"/>
      <name val="Calibri"/>
      <family val="2"/>
      <scheme val="minor"/>
    </font>
  </fonts>
  <fills count="7">
    <fill>
      <patternFill patternType="none"/>
    </fill>
    <fill>
      <patternFill patternType="gray125"/>
    </fill>
    <fill>
      <patternFill patternType="solid">
        <fgColor rgb="FF1E3A5F"/>
        <bgColor indexed="64"/>
      </patternFill>
    </fill>
    <fill>
      <patternFill patternType="solid">
        <fgColor rgb="FFF9FAFB"/>
        <bgColor indexed="64"/>
      </patternFill>
    </fill>
    <fill>
      <patternFill patternType="solid">
        <fgColor rgb="FF166534"/>
        <bgColor indexed="64"/>
      </patternFill>
    </fill>
    <fill>
      <patternFill patternType="solid">
        <fgColor rgb="FF581C87"/>
        <bgColor indexed="64"/>
      </patternFill>
    </fill>
    <fill>
      <patternFill patternType="solid">
        <fgColor rgb="FF92400E"/>
        <bgColor indexed="64"/>
      </patternFill>
    </fill>
  </fills>
  <borders count="6">
    <border>
      <left/>
      <right/>
      <top/>
      <bottom/>
      <diagonal/>
    </border>
    <border>
      <left/>
      <right/>
      <top/>
      <bottom style="medium">
        <color rgb="FF3B82F6"/>
      </bottom>
      <diagonal/>
    </border>
    <border>
      <left style="thin">
        <color rgb="FF1E3A5F"/>
      </left>
      <right style="thin">
        <color rgb="FF1E3A5F"/>
      </right>
      <top style="thin">
        <color rgb="FF1E3A5F"/>
      </top>
      <bottom style="thin">
        <color rgb="FF1E3A5F"/>
      </bottom>
      <diagonal/>
    </border>
    <border>
      <left style="thin">
        <color rgb="FFE5E7EB"/>
      </left>
      <right style="thin">
        <color rgb="FFE5E7EB"/>
      </right>
      <top style="thin">
        <color rgb="FFE5E7EB"/>
      </top>
      <bottom style="thin">
        <color rgb="FFE5E7EB"/>
      </bottom>
      <diagonal/>
    </border>
    <border>
      <left style="thin">
        <color auto="1"/>
      </left>
      <right style="thin">
        <color auto="1"/>
      </right>
      <top style="thin">
        <color auto="1"/>
      </top>
      <bottom style="thin">
        <color auto="1"/>
      </bottom>
      <diagonal/>
    </border>
    <border>
      <left/>
      <right/>
      <top/>
      <bottom style="thin">
        <color rgb="FF3B82F6"/>
      </bottom>
      <diagonal/>
    </border>
  </borders>
  <cellStyleXfs count="1">
    <xf numFmtId="0" fontId="0" fillId="0" borderId="0"/>
  </cellStyleXfs>
  <cellXfs count="26">
    <xf numFmtId="0" fontId="0" fillId="0" borderId="0" xfId="0"/>
    <xf numFmtId="0" fontId="1" fillId="0" borderId="1" xfId="0" applyFont="1" applyBorder="1"/>
    <xf numFmtId="0" fontId="2" fillId="0" borderId="0" xfId="0" applyFont="1"/>
    <xf numFmtId="0" fontId="3" fillId="2" borderId="2" xfId="0" applyFont="1" applyFill="1" applyBorder="1" applyAlignment="1">
      <alignment vertical="center" wrapText="1"/>
    </xf>
    <xf numFmtId="0" fontId="4" fillId="0" borderId="3" xfId="0" applyFont="1" applyBorder="1" applyAlignment="1">
      <alignment vertical="center" wrapText="1"/>
    </xf>
    <xf numFmtId="164" fontId="4" fillId="0" borderId="3" xfId="0" applyNumberFormat="1" applyFont="1" applyBorder="1" applyAlignment="1">
      <alignment vertical="center"/>
    </xf>
    <xf numFmtId="165" fontId="4" fillId="0" borderId="3" xfId="0" applyNumberFormat="1" applyFont="1" applyBorder="1" applyAlignment="1">
      <alignment vertical="center"/>
    </xf>
    <xf numFmtId="0" fontId="4" fillId="3" borderId="3" xfId="0" applyFont="1" applyFill="1" applyBorder="1" applyAlignment="1">
      <alignment vertical="center" wrapText="1"/>
    </xf>
    <xf numFmtId="164" fontId="4" fillId="3" borderId="3" xfId="0" applyNumberFormat="1" applyFont="1" applyFill="1" applyBorder="1" applyAlignment="1">
      <alignment vertical="center"/>
    </xf>
    <xf numFmtId="165" fontId="4" fillId="3" borderId="3" xfId="0" applyNumberFormat="1" applyFont="1" applyFill="1" applyBorder="1" applyAlignment="1">
      <alignment vertical="center"/>
    </xf>
    <xf numFmtId="0" fontId="5" fillId="0" borderId="0" xfId="0" applyFont="1"/>
    <xf numFmtId="0" fontId="3" fillId="4" borderId="4" xfId="0" applyFont="1" applyFill="1" applyBorder="1" applyAlignment="1">
      <alignment vertical="center" wrapText="1"/>
    </xf>
    <xf numFmtId="0" fontId="6" fillId="0" borderId="5" xfId="0" applyFont="1" applyBorder="1"/>
    <xf numFmtId="0" fontId="3" fillId="5" borderId="4" xfId="0" applyFont="1" applyFill="1" applyBorder="1" applyAlignment="1">
      <alignment vertical="center" wrapText="1"/>
    </xf>
    <xf numFmtId="166" fontId="4" fillId="0" borderId="3" xfId="0" applyNumberFormat="1" applyFont="1" applyBorder="1" applyAlignment="1">
      <alignment vertical="center"/>
    </xf>
    <xf numFmtId="166" fontId="4" fillId="3" borderId="3" xfId="0" applyNumberFormat="1" applyFont="1" applyFill="1" applyBorder="1" applyAlignment="1">
      <alignment vertical="center"/>
    </xf>
    <xf numFmtId="0" fontId="3" fillId="6" borderId="4" xfId="0" applyFont="1" applyFill="1" applyBorder="1" applyAlignment="1">
      <alignment vertical="center" wrapText="1"/>
    </xf>
    <xf numFmtId="167" fontId="7" fillId="0" borderId="3" xfId="0" applyNumberFormat="1" applyFont="1" applyBorder="1" applyAlignment="1">
      <alignment vertical="center"/>
    </xf>
    <xf numFmtId="167" fontId="8" fillId="0" borderId="4" xfId="0" applyNumberFormat="1" applyFont="1" applyBorder="1" applyAlignment="1">
      <alignment vertical="center"/>
    </xf>
    <xf numFmtId="167" fontId="9" fillId="0" borderId="4" xfId="0" applyNumberFormat="1" applyFont="1" applyBorder="1" applyAlignment="1">
      <alignment vertical="center"/>
    </xf>
    <xf numFmtId="168" fontId="10" fillId="0" borderId="0" xfId="0" applyNumberFormat="1" applyFont="1" applyAlignment="1">
      <alignment vertical="center"/>
    </xf>
    <xf numFmtId="169" fontId="11" fillId="0" borderId="0" xfId="0" applyNumberFormat="1" applyFont="1" applyAlignment="1">
      <alignment vertical="center"/>
    </xf>
    <xf numFmtId="0" fontId="12" fillId="0" borderId="0" xfId="0" applyFont="1" applyAlignment="1">
      <alignment vertical="center"/>
    </xf>
    <xf numFmtId="164" fontId="10" fillId="0" borderId="0" xfId="0" applyNumberFormat="1" applyFont="1" applyAlignment="1">
      <alignment vertical="center"/>
    </xf>
    <xf numFmtId="0" fontId="13" fillId="0" borderId="0" xfId="0" applyFont="1" applyAlignment="1">
      <alignment vertical="top" wrapText="1"/>
    </xf>
    <xf numFmtId="0" fontId="14"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Average Task Duration by Category</a:t>
            </a:r>
          </a:p>
        </c:rich>
      </c:tx>
      <c:layout/>
    </c:title>
    <c:plotArea>
      <c:layout/>
      <c:barChart>
        <c:barDir val="bar"/>
        <c:grouping val="clustered"/>
        <c:ser>
          <c:idx val="0"/>
          <c:order val="0"/>
          <c:tx>
            <c:v>Avg Duration (sec)</c:v>
          </c:tx>
          <c:spPr>
            <a:solidFill>
              <a:srgbClr val="10B981"/>
            </a:solidFill>
            <a:ln>
              <a:solidFill>
                <a:srgbClr val="059669"/>
              </a:solidFill>
            </a:ln>
          </c:spPr>
          <c:cat>
            <c:strRef>
              <c:f>'Task Duration'!$A$30:$A$40</c:f>
              <c:strCache>
                <c:ptCount val="11"/>
                <c:pt idx="0">
                  <c:v>Code Generation</c:v>
                </c:pt>
                <c:pt idx="1">
                  <c:v>Code Review</c:v>
                </c:pt>
                <c:pt idx="2">
                  <c:v>Code Debugging</c:v>
                </c:pt>
                <c:pt idx="3">
                  <c:v>Document Analysis</c:v>
                </c:pt>
                <c:pt idx="4">
                  <c:v>Research</c:v>
                </c:pt>
                <c:pt idx="5">
                  <c:v>Customer Service</c:v>
                </c:pt>
                <c:pt idx="6">
                  <c:v>Data Analysis</c:v>
                </c:pt>
                <c:pt idx="7">
                  <c:v>Email Drafting</c:v>
                </c:pt>
                <c:pt idx="8">
                  <c:v>Workflow Automation</c:v>
                </c:pt>
                <c:pt idx="9">
                  <c:v>Image Analysis</c:v>
                </c:pt>
                <c:pt idx="10">
                  <c:v>Computer Use</c:v>
                </c:pt>
              </c:strCache>
            </c:strRef>
          </c:cat>
          <c:val>
            <c:numRef>
              <c:f>'Task Duration'!$B$30:$B$40</c:f>
              <c:numCache>
                <c:formatCode>General</c:formatCode>
                <c:ptCount val="11"/>
                <c:pt idx="0">
                  <c:v>102.6666666666667</c:v>
                </c:pt>
                <c:pt idx="1">
                  <c:v>25</c:v>
                </c:pt>
                <c:pt idx="2">
                  <c:v>45</c:v>
                </c:pt>
                <c:pt idx="3">
                  <c:v>165</c:v>
                </c:pt>
                <c:pt idx="4">
                  <c:v>97.5</c:v>
                </c:pt>
                <c:pt idx="5">
                  <c:v>24</c:v>
                </c:pt>
                <c:pt idx="6">
                  <c:v>96</c:v>
                </c:pt>
                <c:pt idx="7">
                  <c:v>64</c:v>
                </c:pt>
                <c:pt idx="8">
                  <c:v>47.5</c:v>
                </c:pt>
                <c:pt idx="9">
                  <c:v>92.5</c:v>
                </c:pt>
                <c:pt idx="10">
                  <c:v>180</c:v>
                </c:pt>
              </c:numCache>
            </c:numRef>
          </c:val>
        </c:ser>
        <c:axId val="50010001"/>
        <c:axId val="50010002"/>
      </c:barChart>
      <c:catAx>
        <c:axId val="50010001"/>
        <c:scaling>
          <c:orientation val="minMax"/>
        </c:scaling>
        <c:axPos val="l"/>
        <c:title>
          <c:tx>
            <c:rich>
              <a:bodyPr rot="-5400000" vert="horz"/>
              <a:lstStyle/>
              <a:p>
                <a:pPr>
                  <a:defRPr/>
                </a:pPr>
                <a:r>
                  <a:rPr lang="en-US"/>
                  <a:t>Task Category</a:t>
                </a:r>
              </a:p>
            </c:rich>
          </c:tx>
          <c:layout/>
        </c:title>
        <c:tickLblPos val="nextTo"/>
        <c:crossAx val="50010002"/>
        <c:crosses val="autoZero"/>
        <c:auto val="1"/>
        <c:lblAlgn val="ctr"/>
        <c:lblOffset val="100"/>
      </c:catAx>
      <c:valAx>
        <c:axId val="50010002"/>
        <c:scaling>
          <c:orientation val="minMax"/>
        </c:scaling>
        <c:axPos val="b"/>
        <c:majorGridlines/>
        <c:title>
          <c:tx>
            <c:rich>
              <a:bodyPr/>
              <a:lstStyle/>
              <a:p>
                <a:pPr>
                  <a:defRPr/>
                </a:pPr>
                <a:r>
                  <a:rPr lang="en-US"/>
                  <a:t>Seconds</a:t>
                </a:r>
              </a:p>
            </c:rich>
          </c:tx>
          <c:layout/>
        </c:title>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Top 10 Tasks: Token Breakdown</a:t>
            </a:r>
          </a:p>
        </c:rich>
      </c:tx>
      <c:layout/>
    </c:title>
    <c:plotArea>
      <c:layout/>
      <c:barChart>
        <c:barDir val="bar"/>
        <c:grouping val="stacked"/>
        <c:ser>
          <c:idx val="0"/>
          <c:order val="0"/>
          <c:tx>
            <c:v>Input Tokens</c:v>
          </c:tx>
          <c:spPr>
            <a:solidFill>
              <a:srgbClr val="8B5CF6"/>
            </a:solidFill>
          </c:spPr>
          <c:cat>
            <c:strRef>
              <c:f>'Token Consumption'!$A$33:$A$42</c:f>
              <c:strCache>
                <c:ptCount val="10"/>
                <c:pt idx="0">
                  <c:v>Agentic Coding Session (2 hr)</c:v>
                </c:pt>
                <c:pt idx="1">
                  <c:v>Document Analysis (batch 100)</c:v>
                </c:pt>
                <c:pt idx="2">
                  <c:v>Agentic Coding Session (30 min)</c:v>
                </c:pt>
                <c:pt idx="3">
                  <c:v>Image Analysis (batch 100)</c:v>
                </c:pt>
                <c:pt idx="4">
                  <c:v>Code Generation (full project)</c:v>
                </c:pt>
                <c:pt idx="5">
                  <c:v>Deep Research Report</c:v>
                </c:pt>
                <c:pt idx="6">
                  <c:v>Computer Use (complex)</c:v>
                </c:pt>
                <c:pt idx="7">
                  <c:v>Email Campaign (100)</c:v>
                </c:pt>
                <c:pt idx="8">
                  <c:v>Dashboard/Report Creation</c:v>
                </c:pt>
                <c:pt idx="9">
                  <c:v>Code Generation (multi-file)</c:v>
                </c:pt>
              </c:strCache>
            </c:strRef>
          </c:cat>
          <c:val>
            <c:numRef>
              <c:f>'Token Consumption'!$B$33:$B$42</c:f>
              <c:numCache>
                <c:formatCode>General</c:formatCode>
                <c:ptCount val="10"/>
                <c:pt idx="0">
                  <c:v>500000</c:v>
                </c:pt>
                <c:pt idx="1">
                  <c:v>500000</c:v>
                </c:pt>
                <c:pt idx="2">
                  <c:v>150000</c:v>
                </c:pt>
                <c:pt idx="3">
                  <c:v>100000</c:v>
                </c:pt>
                <c:pt idx="4">
                  <c:v>60000</c:v>
                </c:pt>
                <c:pt idx="5">
                  <c:v>80000</c:v>
                </c:pt>
                <c:pt idx="6">
                  <c:v>80000</c:v>
                </c:pt>
                <c:pt idx="7">
                  <c:v>50000</c:v>
                </c:pt>
                <c:pt idx="8">
                  <c:v>30000</c:v>
                </c:pt>
                <c:pt idx="9">
                  <c:v>25000</c:v>
                </c:pt>
              </c:numCache>
            </c:numRef>
          </c:val>
        </c:ser>
        <c:ser>
          <c:idx val="1"/>
          <c:order val="1"/>
          <c:tx>
            <c:v>Output Tokens</c:v>
          </c:tx>
          <c:spPr>
            <a:solidFill>
              <a:srgbClr val="A78BFA"/>
            </a:solidFill>
          </c:spPr>
          <c:cat>
            <c:strRef>
              <c:f>'Token Consumption'!$A$33:$A$42</c:f>
              <c:strCache>
                <c:ptCount val="10"/>
                <c:pt idx="0">
                  <c:v>Agentic Coding Session (2 hr)</c:v>
                </c:pt>
                <c:pt idx="1">
                  <c:v>Document Analysis (batch 100)</c:v>
                </c:pt>
                <c:pt idx="2">
                  <c:v>Agentic Coding Session (30 min)</c:v>
                </c:pt>
                <c:pt idx="3">
                  <c:v>Image Analysis (batch 100)</c:v>
                </c:pt>
                <c:pt idx="4">
                  <c:v>Code Generation (full project)</c:v>
                </c:pt>
                <c:pt idx="5">
                  <c:v>Deep Research Report</c:v>
                </c:pt>
                <c:pt idx="6">
                  <c:v>Computer Use (complex)</c:v>
                </c:pt>
                <c:pt idx="7">
                  <c:v>Email Campaign (100)</c:v>
                </c:pt>
                <c:pt idx="8">
                  <c:v>Dashboard/Report Creation</c:v>
                </c:pt>
                <c:pt idx="9">
                  <c:v>Code Generation (multi-file)</c:v>
                </c:pt>
              </c:strCache>
            </c:strRef>
          </c:cat>
          <c:val>
            <c:numRef>
              <c:f>'Token Consumption'!$C$33:$C$42</c:f>
              <c:numCache>
                <c:formatCode>General</c:formatCode>
                <c:ptCount val="10"/>
                <c:pt idx="0">
                  <c:v>200000</c:v>
                </c:pt>
                <c:pt idx="1">
                  <c:v>80000</c:v>
                </c:pt>
                <c:pt idx="2">
                  <c:v>60000</c:v>
                </c:pt>
                <c:pt idx="3">
                  <c:v>30000</c:v>
                </c:pt>
                <c:pt idx="4">
                  <c:v>40000</c:v>
                </c:pt>
                <c:pt idx="5">
                  <c:v>20000</c:v>
                </c:pt>
                <c:pt idx="6">
                  <c:v>20000</c:v>
                </c:pt>
                <c:pt idx="7">
                  <c:v>30000</c:v>
                </c:pt>
                <c:pt idx="8">
                  <c:v>15000</c:v>
                </c:pt>
                <c:pt idx="9">
                  <c:v>15000</c:v>
                </c:pt>
              </c:numCache>
            </c:numRef>
          </c:val>
        </c:ser>
        <c:ser>
          <c:idx val="2"/>
          <c:order val="2"/>
          <c:tx>
            <c:v>Reasoning Tokens</c:v>
          </c:tx>
          <c:spPr>
            <a:solidFill>
              <a:srgbClr val="C4B5FD"/>
            </a:solidFill>
          </c:spPr>
          <c:cat>
            <c:strRef>
              <c:f>'Token Consumption'!$A$33:$A$42</c:f>
              <c:strCache>
                <c:ptCount val="10"/>
                <c:pt idx="0">
                  <c:v>Agentic Coding Session (2 hr)</c:v>
                </c:pt>
                <c:pt idx="1">
                  <c:v>Document Analysis (batch 100)</c:v>
                </c:pt>
                <c:pt idx="2">
                  <c:v>Agentic Coding Session (30 min)</c:v>
                </c:pt>
                <c:pt idx="3">
                  <c:v>Image Analysis (batch 100)</c:v>
                </c:pt>
                <c:pt idx="4">
                  <c:v>Code Generation (full project)</c:v>
                </c:pt>
                <c:pt idx="5">
                  <c:v>Deep Research Report</c:v>
                </c:pt>
                <c:pt idx="6">
                  <c:v>Computer Use (complex)</c:v>
                </c:pt>
                <c:pt idx="7">
                  <c:v>Email Campaign (100)</c:v>
                </c:pt>
                <c:pt idx="8">
                  <c:v>Dashboard/Report Creation</c:v>
                </c:pt>
                <c:pt idx="9">
                  <c:v>Code Generation (multi-file)</c:v>
                </c:pt>
              </c:strCache>
            </c:strRef>
          </c:cat>
          <c:val>
            <c:numRef>
              <c:f>'Token Consumption'!$D$33:$D$42</c:f>
              <c:numCache>
                <c:formatCode>General</c:formatCode>
                <c:ptCount val="10"/>
                <c:pt idx="0">
                  <c:v>120000</c:v>
                </c:pt>
                <c:pt idx="1">
                  <c:v>50000</c:v>
                </c:pt>
                <c:pt idx="2">
                  <c:v>40000</c:v>
                </c:pt>
                <c:pt idx="3">
                  <c:v>0</c:v>
                </c:pt>
                <c:pt idx="4">
                  <c:v>20000</c:v>
                </c:pt>
                <c:pt idx="5">
                  <c:v>25000</c:v>
                </c:pt>
                <c:pt idx="6">
                  <c:v>15000</c:v>
                </c:pt>
                <c:pt idx="7">
                  <c:v>5000</c:v>
                </c:pt>
                <c:pt idx="8">
                  <c:v>8000</c:v>
                </c:pt>
                <c:pt idx="9">
                  <c:v>8000</c:v>
                </c:pt>
              </c:numCache>
            </c:numRef>
          </c:val>
        </c:ser>
        <c:overlap val="100"/>
        <c:axId val="50020001"/>
        <c:axId val="50020002"/>
      </c:barChart>
      <c:catAx>
        <c:axId val="50020001"/>
        <c:scaling>
          <c:orientation val="minMax"/>
        </c:scaling>
        <c:axPos val="l"/>
        <c:tickLblPos val="nextTo"/>
        <c:crossAx val="50020002"/>
        <c:crosses val="autoZero"/>
        <c:auto val="1"/>
        <c:lblAlgn val="ctr"/>
        <c:lblOffset val="100"/>
      </c:catAx>
      <c:valAx>
        <c:axId val="50020002"/>
        <c:scaling>
          <c:orientation val="minMax"/>
        </c:scaling>
        <c:axPos val="b"/>
        <c:majorGridlines/>
        <c:title>
          <c:tx>
            <c:rich>
              <a:bodyPr/>
              <a:lstStyle/>
              <a:p>
                <a:pPr>
                  <a:defRPr/>
                </a:pPr>
                <a:r>
                  <a:rPr lang="en-US"/>
                  <a:t>Tokens</a:t>
                </a:r>
              </a:p>
            </c:rich>
          </c:tx>
          <c:layout/>
        </c:title>
        <c:numFmt formatCode="General" sourceLinked="1"/>
        <c:tickLblPos val="nextTo"/>
        <c:crossAx val="50020001"/>
        <c:crosses val="autoZero"/>
        <c:crossBetween val="between"/>
      </c:valAx>
    </c:plotArea>
    <c:legend>
      <c:legendPos val="r"/>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Agent Economy: Market Size (2024-2030)</a:t>
            </a:r>
          </a:p>
        </c:rich>
      </c:tx>
      <c:layout/>
    </c:title>
    <c:plotArea>
      <c:layout/>
      <c:areaChart>
        <c:grouping val="standard"/>
        <c:ser>
          <c:idx val="0"/>
          <c:order val="0"/>
          <c:tx>
            <c:strRef>
              <c:f>'TS - Market Size'!$A$5</c:f>
              <c:strCache>
                <c:ptCount val="1"/>
                <c:pt idx="0">
                  <c:v>Total AI Agent Market ($B)</c:v>
                </c:pt>
              </c:strCache>
            </c:strRef>
          </c:tx>
          <c:spPr>
            <a:solidFill>
              <a:srgbClr val="EF4444">
                <a:alpha val="40000"/>
              </a:srgbClr>
            </a:solidFill>
            <a:ln w="31750">
              <a:solidFill>
                <a:srgbClr val="EF4444"/>
              </a:solidFill>
            </a:ln>
          </c:spPr>
          <c:cat>
            <c:numRef>
              <c:f>'TS - Market Size'!$B$4:$H$4</c:f>
              <c:numCache>
                <c:formatCode>General</c:formatCode>
                <c:ptCount val="7"/>
                <c:pt idx="0">
                  <c:v>2024</c:v>
                </c:pt>
                <c:pt idx="1">
                  <c:v>2025</c:v>
                </c:pt>
                <c:pt idx="2">
                  <c:v>2026</c:v>
                </c:pt>
                <c:pt idx="3">
                  <c:v>2027</c:v>
                </c:pt>
                <c:pt idx="4">
                  <c:v>2028</c:v>
                </c:pt>
                <c:pt idx="5">
                  <c:v>2029</c:v>
                </c:pt>
                <c:pt idx="6">
                  <c:v>2030</c:v>
                </c:pt>
              </c:numCache>
            </c:numRef>
          </c:cat>
          <c:val>
            <c:numRef>
              <c:f>'TS - Market Size'!$B$5:$H$5</c:f>
              <c:numCache>
                <c:formatCode>General</c:formatCode>
                <c:ptCount val="7"/>
                <c:pt idx="0">
                  <c:v>5.2</c:v>
                </c:pt>
                <c:pt idx="1">
                  <c:v>14</c:v>
                </c:pt>
                <c:pt idx="2">
                  <c:v>35</c:v>
                </c:pt>
                <c:pt idx="3">
                  <c:v>68</c:v>
                </c:pt>
                <c:pt idx="4">
                  <c:v>110</c:v>
                </c:pt>
                <c:pt idx="5">
                  <c:v>165</c:v>
                </c:pt>
                <c:pt idx="6">
                  <c:v>240</c:v>
                </c:pt>
              </c:numCache>
            </c:numRef>
          </c:val>
        </c:ser>
        <c:ser>
          <c:idx val="1"/>
          <c:order val="1"/>
          <c:tx>
            <c:strRef>
              <c:f>'TS - Market Size'!$A$6</c:f>
              <c:strCache>
                <c:ptCount val="1"/>
                <c:pt idx="0">
                  <c:v>Coding Agents ($B)</c:v>
                </c:pt>
              </c:strCache>
            </c:strRef>
          </c:tx>
          <c:spPr>
            <a:solidFill>
              <a:srgbClr val="3B82F6">
                <a:alpha val="40000"/>
              </a:srgbClr>
            </a:solidFill>
            <a:ln w="31750">
              <a:solidFill>
                <a:srgbClr val="3B82F6"/>
              </a:solidFill>
            </a:ln>
          </c:spPr>
          <c:cat>
            <c:numRef>
              <c:f>'TS - Market Size'!$B$4:$H$4</c:f>
              <c:numCache>
                <c:formatCode>General</c:formatCode>
                <c:ptCount val="7"/>
                <c:pt idx="0">
                  <c:v>2024</c:v>
                </c:pt>
                <c:pt idx="1">
                  <c:v>2025</c:v>
                </c:pt>
                <c:pt idx="2">
                  <c:v>2026</c:v>
                </c:pt>
                <c:pt idx="3">
                  <c:v>2027</c:v>
                </c:pt>
                <c:pt idx="4">
                  <c:v>2028</c:v>
                </c:pt>
                <c:pt idx="5">
                  <c:v>2029</c:v>
                </c:pt>
                <c:pt idx="6">
                  <c:v>2030</c:v>
                </c:pt>
              </c:numCache>
            </c:numRef>
          </c:cat>
          <c:val>
            <c:numRef>
              <c:f>'TS - Market Size'!$B$6:$H$6</c:f>
              <c:numCache>
                <c:formatCode>General</c:formatCode>
                <c:ptCount val="7"/>
                <c:pt idx="0">
                  <c:v>0.8</c:v>
                </c:pt>
                <c:pt idx="1">
                  <c:v>2.5</c:v>
                </c:pt>
                <c:pt idx="2">
                  <c:v>6.5</c:v>
                </c:pt>
                <c:pt idx="3">
                  <c:v>13</c:v>
                </c:pt>
                <c:pt idx="4">
                  <c:v>22</c:v>
                </c:pt>
                <c:pt idx="5">
                  <c:v>34</c:v>
                </c:pt>
                <c:pt idx="6">
                  <c:v>50</c:v>
                </c:pt>
              </c:numCache>
            </c:numRef>
          </c:val>
        </c:ser>
        <c:ser>
          <c:idx val="2"/>
          <c:order val="2"/>
          <c:tx>
            <c:strRef>
              <c:f>'TS - Market Size'!$A$7</c:f>
              <c:strCache>
                <c:ptCount val="1"/>
                <c:pt idx="0">
                  <c:v>Enterprise Workflow Agents ($B)</c:v>
                </c:pt>
              </c:strCache>
            </c:strRef>
          </c:tx>
          <c:spPr>
            <a:solidFill>
              <a:srgbClr val="10B981">
                <a:alpha val="40000"/>
              </a:srgbClr>
            </a:solidFill>
            <a:ln w="31750">
              <a:solidFill>
                <a:srgbClr val="10B981"/>
              </a:solidFill>
            </a:ln>
          </c:spPr>
          <c:cat>
            <c:numRef>
              <c:f>'TS - Market Size'!$B$4:$H$4</c:f>
              <c:numCache>
                <c:formatCode>General</c:formatCode>
                <c:ptCount val="7"/>
                <c:pt idx="0">
                  <c:v>2024</c:v>
                </c:pt>
                <c:pt idx="1">
                  <c:v>2025</c:v>
                </c:pt>
                <c:pt idx="2">
                  <c:v>2026</c:v>
                </c:pt>
                <c:pt idx="3">
                  <c:v>2027</c:v>
                </c:pt>
                <c:pt idx="4">
                  <c:v>2028</c:v>
                </c:pt>
                <c:pt idx="5">
                  <c:v>2029</c:v>
                </c:pt>
                <c:pt idx="6">
                  <c:v>2030</c:v>
                </c:pt>
              </c:numCache>
            </c:numRef>
          </c:cat>
          <c:val>
            <c:numRef>
              <c:f>'TS - Market Size'!$B$7:$H$7</c:f>
              <c:numCache>
                <c:formatCode>General</c:formatCode>
                <c:ptCount val="7"/>
                <c:pt idx="0">
                  <c:v>1.5</c:v>
                </c:pt>
                <c:pt idx="1">
                  <c:v>4</c:v>
                </c:pt>
                <c:pt idx="2">
                  <c:v>10</c:v>
                </c:pt>
                <c:pt idx="3">
                  <c:v>20</c:v>
                </c:pt>
                <c:pt idx="4">
                  <c:v>34</c:v>
                </c:pt>
                <c:pt idx="5">
                  <c:v>52</c:v>
                </c:pt>
                <c:pt idx="6">
                  <c:v>76</c:v>
                </c:pt>
              </c:numCache>
            </c:numRef>
          </c:val>
        </c:ser>
        <c:ser>
          <c:idx val="3"/>
          <c:order val="3"/>
          <c:tx>
            <c:strRef>
              <c:f>'TS - Market Size'!$A$8</c:f>
              <c:strCache>
                <c:ptCount val="1"/>
                <c:pt idx="0">
                  <c:v>Customer Service Agents ($B)</c:v>
                </c:pt>
              </c:strCache>
            </c:strRef>
          </c:tx>
          <c:spPr>
            <a:solidFill>
              <a:srgbClr val="F59E0B">
                <a:alpha val="40000"/>
              </a:srgbClr>
            </a:solidFill>
            <a:ln w="31750">
              <a:solidFill>
                <a:srgbClr val="F59E0B"/>
              </a:solidFill>
            </a:ln>
          </c:spPr>
          <c:cat>
            <c:numRef>
              <c:f>'TS - Market Size'!$B$4:$H$4</c:f>
              <c:numCache>
                <c:formatCode>General</c:formatCode>
                <c:ptCount val="7"/>
                <c:pt idx="0">
                  <c:v>2024</c:v>
                </c:pt>
                <c:pt idx="1">
                  <c:v>2025</c:v>
                </c:pt>
                <c:pt idx="2">
                  <c:v>2026</c:v>
                </c:pt>
                <c:pt idx="3">
                  <c:v>2027</c:v>
                </c:pt>
                <c:pt idx="4">
                  <c:v>2028</c:v>
                </c:pt>
                <c:pt idx="5">
                  <c:v>2029</c:v>
                </c:pt>
                <c:pt idx="6">
                  <c:v>2030</c:v>
                </c:pt>
              </c:numCache>
            </c:numRef>
          </c:cat>
          <c:val>
            <c:numRef>
              <c:f>'TS - Market Size'!$B$8:$H$8</c:f>
              <c:numCache>
                <c:formatCode>General</c:formatCode>
                <c:ptCount val="7"/>
                <c:pt idx="0">
                  <c:v>1.2</c:v>
                </c:pt>
                <c:pt idx="1">
                  <c:v>3</c:v>
                </c:pt>
                <c:pt idx="2">
                  <c:v>7.5</c:v>
                </c:pt>
                <c:pt idx="3">
                  <c:v>14</c:v>
                </c:pt>
                <c:pt idx="4">
                  <c:v>22</c:v>
                </c:pt>
                <c:pt idx="5">
                  <c:v>32</c:v>
                </c:pt>
                <c:pt idx="6">
                  <c:v>45</c:v>
                </c:pt>
              </c:numCache>
            </c:numRef>
          </c:val>
        </c:ser>
        <c:ser>
          <c:idx val="4"/>
          <c:order val="4"/>
          <c:tx>
            <c:strRef>
              <c:f>'TS - Market Size'!$A$9</c:f>
              <c:strCache>
                <c:ptCount val="1"/>
                <c:pt idx="0">
                  <c:v>Research &amp; Knowledge Agents ($B)</c:v>
                </c:pt>
              </c:strCache>
            </c:strRef>
          </c:tx>
          <c:spPr>
            <a:solidFill>
              <a:srgbClr val="8B5CF6">
                <a:alpha val="40000"/>
              </a:srgbClr>
            </a:solidFill>
            <a:ln w="31750">
              <a:solidFill>
                <a:srgbClr val="8B5CF6"/>
              </a:solidFill>
            </a:ln>
          </c:spPr>
          <c:cat>
            <c:numRef>
              <c:f>'TS - Market Size'!$B$4:$H$4</c:f>
              <c:numCache>
                <c:formatCode>General</c:formatCode>
                <c:ptCount val="7"/>
                <c:pt idx="0">
                  <c:v>2024</c:v>
                </c:pt>
                <c:pt idx="1">
                  <c:v>2025</c:v>
                </c:pt>
                <c:pt idx="2">
                  <c:v>2026</c:v>
                </c:pt>
                <c:pt idx="3">
                  <c:v>2027</c:v>
                </c:pt>
                <c:pt idx="4">
                  <c:v>2028</c:v>
                </c:pt>
                <c:pt idx="5">
                  <c:v>2029</c:v>
                </c:pt>
                <c:pt idx="6">
                  <c:v>2030</c:v>
                </c:pt>
              </c:numCache>
            </c:numRef>
          </c:cat>
          <c:val>
            <c:numRef>
              <c:f>'TS - Market Size'!$B$9:$H$9</c:f>
              <c:numCache>
                <c:formatCode>General</c:formatCode>
                <c:ptCount val="7"/>
                <c:pt idx="0">
                  <c:v>0.5</c:v>
                </c:pt>
                <c:pt idx="1">
                  <c:v>1.5</c:v>
                </c:pt>
                <c:pt idx="2">
                  <c:v>4</c:v>
                </c:pt>
                <c:pt idx="3">
                  <c:v>8</c:v>
                </c:pt>
                <c:pt idx="4">
                  <c:v>14</c:v>
                </c:pt>
                <c:pt idx="5">
                  <c:v>22</c:v>
                </c:pt>
                <c:pt idx="6">
                  <c:v>32</c:v>
                </c:pt>
              </c:numCache>
            </c:numRef>
          </c:val>
        </c:ser>
        <c:ser>
          <c:idx val="5"/>
          <c:order val="5"/>
          <c:tx>
            <c:strRef>
              <c:f>'TS - Market Size'!$A$10</c:f>
              <c:strCache>
                <c:ptCount val="1"/>
                <c:pt idx="0">
                  <c:v>Other Vertical Agents ($B)</c:v>
                </c:pt>
              </c:strCache>
            </c:strRef>
          </c:tx>
          <c:spPr>
            <a:solidFill>
              <a:srgbClr val="EC4899">
                <a:alpha val="40000"/>
              </a:srgbClr>
            </a:solidFill>
            <a:ln w="31750">
              <a:solidFill>
                <a:srgbClr val="EC4899"/>
              </a:solidFill>
            </a:ln>
          </c:spPr>
          <c:cat>
            <c:numRef>
              <c:f>'TS - Market Size'!$B$4:$H$4</c:f>
              <c:numCache>
                <c:formatCode>General</c:formatCode>
                <c:ptCount val="7"/>
                <c:pt idx="0">
                  <c:v>2024</c:v>
                </c:pt>
                <c:pt idx="1">
                  <c:v>2025</c:v>
                </c:pt>
                <c:pt idx="2">
                  <c:v>2026</c:v>
                </c:pt>
                <c:pt idx="3">
                  <c:v>2027</c:v>
                </c:pt>
                <c:pt idx="4">
                  <c:v>2028</c:v>
                </c:pt>
                <c:pt idx="5">
                  <c:v>2029</c:v>
                </c:pt>
                <c:pt idx="6">
                  <c:v>2030</c:v>
                </c:pt>
              </c:numCache>
            </c:numRef>
          </c:cat>
          <c:val>
            <c:numRef>
              <c:f>'TS - Market Size'!$B$10:$H$10</c:f>
              <c:numCache>
                <c:formatCode>General</c:formatCode>
                <c:ptCount val="7"/>
                <c:pt idx="0">
                  <c:v>1.2</c:v>
                </c:pt>
                <c:pt idx="1">
                  <c:v>3</c:v>
                </c:pt>
                <c:pt idx="2">
                  <c:v>7</c:v>
                </c:pt>
                <c:pt idx="3">
                  <c:v>13</c:v>
                </c:pt>
                <c:pt idx="4">
                  <c:v>18</c:v>
                </c:pt>
                <c:pt idx="5">
                  <c:v>25</c:v>
                </c:pt>
                <c:pt idx="6">
                  <c:v>37</c:v>
                </c:pt>
              </c:numCache>
            </c:numRef>
          </c:val>
        </c:ser>
        <c:axId val="50030001"/>
        <c:axId val="50030002"/>
      </c:areaChart>
      <c:catAx>
        <c:axId val="50030001"/>
        <c:scaling>
          <c:orientation val="minMax"/>
        </c:scaling>
        <c:axPos val="b"/>
        <c:title>
          <c:tx>
            <c:rich>
              <a:bodyPr/>
              <a:lstStyle/>
              <a:p>
                <a:pPr>
                  <a:defRPr/>
                </a:pPr>
                <a:r>
                  <a:rPr lang="en-US"/>
                  <a:t>Year</a:t>
                </a:r>
              </a:p>
            </c:rich>
          </c:tx>
          <c:layout/>
        </c:title>
        <c:numFmt formatCode="0" sourceLinked="0"/>
        <c:tickLblPos val="nextTo"/>
        <c:crossAx val="50030002"/>
        <c:crosses val="autoZero"/>
        <c:auto val="1"/>
        <c:lblAlgn val="ctr"/>
        <c:lblOffset val="100"/>
      </c:catAx>
      <c:valAx>
        <c:axId val="50030002"/>
        <c:scaling>
          <c:orientation val="minMax"/>
        </c:scaling>
        <c:axPos val="l"/>
        <c:majorGridlines/>
        <c:title>
          <c:tx>
            <c:rich>
              <a:bodyPr rot="-5400000" vert="horz"/>
              <a:lstStyle/>
              <a:p>
                <a:pPr>
                  <a:defRPr/>
                </a:pPr>
                <a:r>
                  <a:rPr lang="en-US"/>
                  <a:t>Market Size</a:t>
                </a:r>
              </a:p>
            </c:rich>
          </c:tx>
          <c:layout/>
        </c:title>
        <c:numFmt formatCode="General" sourceLinked="1"/>
        <c:tickLblPos val="nextTo"/>
        <c:crossAx val="50030001"/>
        <c:crosses val="autoZero"/>
        <c:crossBetween val="midCat"/>
      </c:valAx>
    </c:plotArea>
    <c:legend>
      <c:legendPos val="b"/>
      <c:layout/>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Agent Economy: Daily Task Volume (2024-2030)</a:t>
            </a:r>
          </a:p>
        </c:rich>
      </c:tx>
      <c:layout/>
    </c:title>
    <c:plotArea>
      <c:layout/>
      <c:areaChart>
        <c:grouping val="standard"/>
        <c:ser>
          <c:idx val="0"/>
          <c:order val="0"/>
          <c:tx>
            <c:strRef>
              <c:f>'TS - Daily Task Volume'!$A$5</c:f>
              <c:strCache>
                <c:ptCount val="1"/>
                <c:pt idx="0">
                  <c:v>Total Daily Agent Tasks (M)</c:v>
                </c:pt>
              </c:strCache>
            </c:strRef>
          </c:tx>
          <c:spPr>
            <a:solidFill>
              <a:srgbClr val="EF4444">
                <a:alpha val="40000"/>
              </a:srgbClr>
            </a:solidFill>
            <a:ln w="31750">
              <a:solidFill>
                <a:srgbClr val="EF4444"/>
              </a:solidFill>
            </a:ln>
          </c:spPr>
          <c:cat>
            <c:numRef>
              <c:f>'TS - Daily Task Volume'!$B$4:$H$4</c:f>
              <c:numCache>
                <c:formatCode>General</c:formatCode>
                <c:ptCount val="7"/>
                <c:pt idx="0">
                  <c:v>2024</c:v>
                </c:pt>
                <c:pt idx="1">
                  <c:v>2025</c:v>
                </c:pt>
                <c:pt idx="2">
                  <c:v>2026</c:v>
                </c:pt>
                <c:pt idx="3">
                  <c:v>2027</c:v>
                </c:pt>
                <c:pt idx="4">
                  <c:v>2028</c:v>
                </c:pt>
                <c:pt idx="5">
                  <c:v>2029</c:v>
                </c:pt>
                <c:pt idx="6">
                  <c:v>2030</c:v>
                </c:pt>
              </c:numCache>
            </c:numRef>
          </c:cat>
          <c:val>
            <c:numRef>
              <c:f>'TS - Daily Task Volume'!$B$5:$H$5</c:f>
              <c:numCache>
                <c:formatCode>General</c:formatCode>
                <c:ptCount val="7"/>
                <c:pt idx="0">
                  <c:v>2</c:v>
                </c:pt>
                <c:pt idx="1">
                  <c:v>12</c:v>
                </c:pt>
                <c:pt idx="2">
                  <c:v>50</c:v>
                </c:pt>
                <c:pt idx="3">
                  <c:v>150</c:v>
                </c:pt>
                <c:pt idx="4">
                  <c:v>400</c:v>
                </c:pt>
                <c:pt idx="5">
                  <c:v>900</c:v>
                </c:pt>
                <c:pt idx="6">
                  <c:v>1800</c:v>
                </c:pt>
              </c:numCache>
            </c:numRef>
          </c:val>
        </c:ser>
        <c:ser>
          <c:idx val="1"/>
          <c:order val="1"/>
          <c:tx>
            <c:strRef>
              <c:f>'TS - Daily Task Volume'!$A$6</c:f>
              <c:strCache>
                <c:ptCount val="1"/>
                <c:pt idx="0">
                  <c:v>Coding Tasks (M/day)</c:v>
                </c:pt>
              </c:strCache>
            </c:strRef>
          </c:tx>
          <c:spPr>
            <a:solidFill>
              <a:srgbClr val="3B82F6">
                <a:alpha val="40000"/>
              </a:srgbClr>
            </a:solidFill>
            <a:ln w="31750">
              <a:solidFill>
                <a:srgbClr val="3B82F6"/>
              </a:solidFill>
            </a:ln>
          </c:spPr>
          <c:cat>
            <c:numRef>
              <c:f>'TS - Daily Task Volume'!$B$4:$H$4</c:f>
              <c:numCache>
                <c:formatCode>General</c:formatCode>
                <c:ptCount val="7"/>
                <c:pt idx="0">
                  <c:v>2024</c:v>
                </c:pt>
                <c:pt idx="1">
                  <c:v>2025</c:v>
                </c:pt>
                <c:pt idx="2">
                  <c:v>2026</c:v>
                </c:pt>
                <c:pt idx="3">
                  <c:v>2027</c:v>
                </c:pt>
                <c:pt idx="4">
                  <c:v>2028</c:v>
                </c:pt>
                <c:pt idx="5">
                  <c:v>2029</c:v>
                </c:pt>
                <c:pt idx="6">
                  <c:v>2030</c:v>
                </c:pt>
              </c:numCache>
            </c:numRef>
          </c:cat>
          <c:val>
            <c:numRef>
              <c:f>'TS - Daily Task Volume'!$B$6:$H$6</c:f>
              <c:numCache>
                <c:formatCode>General</c:formatCode>
                <c:ptCount val="7"/>
                <c:pt idx="0">
                  <c:v>0.5</c:v>
                </c:pt>
                <c:pt idx="1">
                  <c:v>3</c:v>
                </c:pt>
                <c:pt idx="2">
                  <c:v>12</c:v>
                </c:pt>
                <c:pt idx="3">
                  <c:v>35</c:v>
                </c:pt>
                <c:pt idx="4">
                  <c:v>90</c:v>
                </c:pt>
                <c:pt idx="5">
                  <c:v>200</c:v>
                </c:pt>
                <c:pt idx="6">
                  <c:v>400</c:v>
                </c:pt>
              </c:numCache>
            </c:numRef>
          </c:val>
        </c:ser>
        <c:ser>
          <c:idx val="2"/>
          <c:order val="2"/>
          <c:tx>
            <c:strRef>
              <c:f>'TS - Daily Task Volume'!$A$7</c:f>
              <c:strCache>
                <c:ptCount val="1"/>
                <c:pt idx="0">
                  <c:v>Enterprise Tasks (M/day)</c:v>
                </c:pt>
              </c:strCache>
            </c:strRef>
          </c:tx>
          <c:spPr>
            <a:solidFill>
              <a:srgbClr val="10B981">
                <a:alpha val="40000"/>
              </a:srgbClr>
            </a:solidFill>
            <a:ln w="31750">
              <a:solidFill>
                <a:srgbClr val="10B981"/>
              </a:solidFill>
            </a:ln>
          </c:spPr>
          <c:cat>
            <c:numRef>
              <c:f>'TS - Daily Task Volume'!$B$4:$H$4</c:f>
              <c:numCache>
                <c:formatCode>General</c:formatCode>
                <c:ptCount val="7"/>
                <c:pt idx="0">
                  <c:v>2024</c:v>
                </c:pt>
                <c:pt idx="1">
                  <c:v>2025</c:v>
                </c:pt>
                <c:pt idx="2">
                  <c:v>2026</c:v>
                </c:pt>
                <c:pt idx="3">
                  <c:v>2027</c:v>
                </c:pt>
                <c:pt idx="4">
                  <c:v>2028</c:v>
                </c:pt>
                <c:pt idx="5">
                  <c:v>2029</c:v>
                </c:pt>
                <c:pt idx="6">
                  <c:v>2030</c:v>
                </c:pt>
              </c:numCache>
            </c:numRef>
          </c:cat>
          <c:val>
            <c:numRef>
              <c:f>'TS - Daily Task Volume'!$B$7:$H$7</c:f>
              <c:numCache>
                <c:formatCode>General</c:formatCode>
                <c:ptCount val="7"/>
                <c:pt idx="0">
                  <c:v>0.4</c:v>
                </c:pt>
                <c:pt idx="1">
                  <c:v>2.5</c:v>
                </c:pt>
                <c:pt idx="2">
                  <c:v>10</c:v>
                </c:pt>
                <c:pt idx="3">
                  <c:v>30</c:v>
                </c:pt>
                <c:pt idx="4">
                  <c:v>80</c:v>
                </c:pt>
                <c:pt idx="5">
                  <c:v>180</c:v>
                </c:pt>
                <c:pt idx="6">
                  <c:v>360</c:v>
                </c:pt>
              </c:numCache>
            </c:numRef>
          </c:val>
        </c:ser>
        <c:ser>
          <c:idx val="3"/>
          <c:order val="3"/>
          <c:tx>
            <c:strRef>
              <c:f>'TS - Daily Task Volume'!$A$8</c:f>
              <c:strCache>
                <c:ptCount val="1"/>
                <c:pt idx="0">
                  <c:v>Customer Service Tasks (M/day)</c:v>
                </c:pt>
              </c:strCache>
            </c:strRef>
          </c:tx>
          <c:spPr>
            <a:solidFill>
              <a:srgbClr val="F59E0B">
                <a:alpha val="40000"/>
              </a:srgbClr>
            </a:solidFill>
            <a:ln w="31750">
              <a:solidFill>
                <a:srgbClr val="F59E0B"/>
              </a:solidFill>
            </a:ln>
          </c:spPr>
          <c:cat>
            <c:numRef>
              <c:f>'TS - Daily Task Volume'!$B$4:$H$4</c:f>
              <c:numCache>
                <c:formatCode>General</c:formatCode>
                <c:ptCount val="7"/>
                <c:pt idx="0">
                  <c:v>2024</c:v>
                </c:pt>
                <c:pt idx="1">
                  <c:v>2025</c:v>
                </c:pt>
                <c:pt idx="2">
                  <c:v>2026</c:v>
                </c:pt>
                <c:pt idx="3">
                  <c:v>2027</c:v>
                </c:pt>
                <c:pt idx="4">
                  <c:v>2028</c:v>
                </c:pt>
                <c:pt idx="5">
                  <c:v>2029</c:v>
                </c:pt>
                <c:pt idx="6">
                  <c:v>2030</c:v>
                </c:pt>
              </c:numCache>
            </c:numRef>
          </c:cat>
          <c:val>
            <c:numRef>
              <c:f>'TS - Daily Task Volume'!$B$8:$H$8</c:f>
              <c:numCache>
                <c:formatCode>General</c:formatCode>
                <c:ptCount val="7"/>
                <c:pt idx="0">
                  <c:v>0.8</c:v>
                </c:pt>
                <c:pt idx="1">
                  <c:v>4</c:v>
                </c:pt>
                <c:pt idx="2">
                  <c:v>18</c:v>
                </c:pt>
                <c:pt idx="3">
                  <c:v>55</c:v>
                </c:pt>
                <c:pt idx="4">
                  <c:v>150</c:v>
                </c:pt>
                <c:pt idx="5">
                  <c:v>340</c:v>
                </c:pt>
                <c:pt idx="6">
                  <c:v>680</c:v>
                </c:pt>
              </c:numCache>
            </c:numRef>
          </c:val>
        </c:ser>
        <c:ser>
          <c:idx val="4"/>
          <c:order val="4"/>
          <c:tx>
            <c:strRef>
              <c:f>'TS - Daily Task Volume'!$A$9</c:f>
              <c:strCache>
                <c:ptCount val="1"/>
                <c:pt idx="0">
                  <c:v>Research Tasks (M/day)</c:v>
                </c:pt>
              </c:strCache>
            </c:strRef>
          </c:tx>
          <c:spPr>
            <a:solidFill>
              <a:srgbClr val="8B5CF6">
                <a:alpha val="40000"/>
              </a:srgbClr>
            </a:solidFill>
            <a:ln w="31750">
              <a:solidFill>
                <a:srgbClr val="8B5CF6"/>
              </a:solidFill>
            </a:ln>
          </c:spPr>
          <c:cat>
            <c:numRef>
              <c:f>'TS - Daily Task Volume'!$B$4:$H$4</c:f>
              <c:numCache>
                <c:formatCode>General</c:formatCode>
                <c:ptCount val="7"/>
                <c:pt idx="0">
                  <c:v>2024</c:v>
                </c:pt>
                <c:pt idx="1">
                  <c:v>2025</c:v>
                </c:pt>
                <c:pt idx="2">
                  <c:v>2026</c:v>
                </c:pt>
                <c:pt idx="3">
                  <c:v>2027</c:v>
                </c:pt>
                <c:pt idx="4">
                  <c:v>2028</c:v>
                </c:pt>
                <c:pt idx="5">
                  <c:v>2029</c:v>
                </c:pt>
                <c:pt idx="6">
                  <c:v>2030</c:v>
                </c:pt>
              </c:numCache>
            </c:numRef>
          </c:cat>
          <c:val>
            <c:numRef>
              <c:f>'TS - Daily Task Volume'!$B$9:$H$9</c:f>
              <c:numCache>
                <c:formatCode>General</c:formatCode>
                <c:ptCount val="7"/>
                <c:pt idx="0">
                  <c:v>0.2</c:v>
                </c:pt>
                <c:pt idx="1">
                  <c:v>1.5</c:v>
                </c:pt>
                <c:pt idx="2">
                  <c:v>6</c:v>
                </c:pt>
                <c:pt idx="3">
                  <c:v>18</c:v>
                </c:pt>
                <c:pt idx="4">
                  <c:v>50</c:v>
                </c:pt>
                <c:pt idx="5">
                  <c:v>110</c:v>
                </c:pt>
                <c:pt idx="6">
                  <c:v>220</c:v>
                </c:pt>
              </c:numCache>
            </c:numRef>
          </c:val>
        </c:ser>
        <c:ser>
          <c:idx val="5"/>
          <c:order val="5"/>
          <c:tx>
            <c:strRef>
              <c:f>'TS - Daily Task Volume'!$A$10</c:f>
              <c:strCache>
                <c:ptCount val="1"/>
                <c:pt idx="0">
                  <c:v>Other Tasks (M/day)</c:v>
                </c:pt>
              </c:strCache>
            </c:strRef>
          </c:tx>
          <c:spPr>
            <a:solidFill>
              <a:srgbClr val="EC4899">
                <a:alpha val="40000"/>
              </a:srgbClr>
            </a:solidFill>
            <a:ln w="31750">
              <a:solidFill>
                <a:srgbClr val="EC4899"/>
              </a:solidFill>
            </a:ln>
          </c:spPr>
          <c:cat>
            <c:numRef>
              <c:f>'TS - Daily Task Volume'!$B$4:$H$4</c:f>
              <c:numCache>
                <c:formatCode>General</c:formatCode>
                <c:ptCount val="7"/>
                <c:pt idx="0">
                  <c:v>2024</c:v>
                </c:pt>
                <c:pt idx="1">
                  <c:v>2025</c:v>
                </c:pt>
                <c:pt idx="2">
                  <c:v>2026</c:v>
                </c:pt>
                <c:pt idx="3">
                  <c:v>2027</c:v>
                </c:pt>
                <c:pt idx="4">
                  <c:v>2028</c:v>
                </c:pt>
                <c:pt idx="5">
                  <c:v>2029</c:v>
                </c:pt>
                <c:pt idx="6">
                  <c:v>2030</c:v>
                </c:pt>
              </c:numCache>
            </c:numRef>
          </c:cat>
          <c:val>
            <c:numRef>
              <c:f>'TS - Daily Task Volume'!$B$10:$H$10</c:f>
              <c:numCache>
                <c:formatCode>General</c:formatCode>
                <c:ptCount val="7"/>
                <c:pt idx="0">
                  <c:v>0.1</c:v>
                </c:pt>
                <c:pt idx="1">
                  <c:v>1</c:v>
                </c:pt>
                <c:pt idx="2">
                  <c:v>4</c:v>
                </c:pt>
                <c:pt idx="3">
                  <c:v>12</c:v>
                </c:pt>
                <c:pt idx="4">
                  <c:v>30</c:v>
                </c:pt>
                <c:pt idx="5">
                  <c:v>70</c:v>
                </c:pt>
                <c:pt idx="6">
                  <c:v>140</c:v>
                </c:pt>
              </c:numCache>
            </c:numRef>
          </c:val>
        </c:ser>
        <c:axId val="50040001"/>
        <c:axId val="50040002"/>
      </c:areaChart>
      <c:catAx>
        <c:axId val="50040001"/>
        <c:scaling>
          <c:orientation val="minMax"/>
        </c:scaling>
        <c:axPos val="b"/>
        <c:title>
          <c:tx>
            <c:rich>
              <a:bodyPr/>
              <a:lstStyle/>
              <a:p>
                <a:pPr>
                  <a:defRPr/>
                </a:pPr>
                <a:r>
                  <a:rPr lang="en-US"/>
                  <a:t>Year</a:t>
                </a:r>
              </a:p>
            </c:rich>
          </c:tx>
          <c:layout/>
        </c:title>
        <c:numFmt formatCode="0" sourceLinked="0"/>
        <c:tickLblPos val="nextTo"/>
        <c:crossAx val="50040002"/>
        <c:crosses val="autoZero"/>
        <c:auto val="1"/>
        <c:lblAlgn val="ctr"/>
        <c:lblOffset val="100"/>
      </c:catAx>
      <c:valAx>
        <c:axId val="50040002"/>
        <c:scaling>
          <c:orientation val="minMax"/>
        </c:scaling>
        <c:axPos val="l"/>
        <c:majorGridlines/>
        <c:title>
          <c:tx>
            <c:rich>
              <a:bodyPr rot="-5400000" vert="horz"/>
              <a:lstStyle/>
              <a:p>
                <a:pPr>
                  <a:defRPr/>
                </a:pPr>
                <a:r>
                  <a:rPr lang="en-US"/>
                  <a:t>Daily Task Volume</a:t>
                </a:r>
              </a:p>
            </c:rich>
          </c:tx>
          <c:layout/>
        </c:title>
        <c:numFmt formatCode="General" sourceLinked="1"/>
        <c:tickLblPos val="nextTo"/>
        <c:crossAx val="50040001"/>
        <c:crosses val="autoZero"/>
        <c:crossBetween val="midCat"/>
      </c:valAx>
    </c:plotArea>
    <c:legend>
      <c:legendPos val="b"/>
      <c:layout/>
    </c:legend>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Agent Economy: Daily Token Consumption (2024-2030)</a:t>
            </a:r>
          </a:p>
        </c:rich>
      </c:tx>
      <c:layout/>
    </c:title>
    <c:plotArea>
      <c:layout/>
      <c:areaChart>
        <c:grouping val="standard"/>
        <c:ser>
          <c:idx val="0"/>
          <c:order val="0"/>
          <c:tx>
            <c:strRef>
              <c:f>'TS - Daily Token Consumption'!$A$5</c:f>
              <c:strCache>
                <c:ptCount val="1"/>
                <c:pt idx="0">
                  <c:v>Total Daily Tokens (B)</c:v>
                </c:pt>
              </c:strCache>
            </c:strRef>
          </c:tx>
          <c:spPr>
            <a:solidFill>
              <a:srgbClr val="EF4444">
                <a:alpha val="40000"/>
              </a:srgbClr>
            </a:solidFill>
            <a:ln w="31750">
              <a:solidFill>
                <a:srgbClr val="EF4444"/>
              </a:solidFill>
            </a:ln>
          </c:spPr>
          <c:cat>
            <c:numRef>
              <c:f>'TS - Daily Token Consumption'!$B$4:$H$4</c:f>
              <c:numCache>
                <c:formatCode>General</c:formatCode>
                <c:ptCount val="7"/>
                <c:pt idx="0">
                  <c:v>2024</c:v>
                </c:pt>
                <c:pt idx="1">
                  <c:v>2025</c:v>
                </c:pt>
                <c:pt idx="2">
                  <c:v>2026</c:v>
                </c:pt>
                <c:pt idx="3">
                  <c:v>2027</c:v>
                </c:pt>
                <c:pt idx="4">
                  <c:v>2028</c:v>
                </c:pt>
                <c:pt idx="5">
                  <c:v>2029</c:v>
                </c:pt>
                <c:pt idx="6">
                  <c:v>2030</c:v>
                </c:pt>
              </c:numCache>
            </c:numRef>
          </c:cat>
          <c:val>
            <c:numRef>
              <c:f>'TS - Daily Token Consumption'!$B$5:$H$5</c:f>
              <c:numCache>
                <c:formatCode>General</c:formatCode>
                <c:ptCount val="7"/>
                <c:pt idx="0">
                  <c:v>50</c:v>
                </c:pt>
                <c:pt idx="1">
                  <c:v>350</c:v>
                </c:pt>
                <c:pt idx="2">
                  <c:v>1500</c:v>
                </c:pt>
                <c:pt idx="3">
                  <c:v>5000</c:v>
                </c:pt>
                <c:pt idx="4">
                  <c:v>15000</c:v>
                </c:pt>
                <c:pt idx="5">
                  <c:v>40000</c:v>
                </c:pt>
                <c:pt idx="6">
                  <c:v>100000</c:v>
                </c:pt>
              </c:numCache>
            </c:numRef>
          </c:val>
        </c:ser>
        <c:ser>
          <c:idx val="1"/>
          <c:order val="1"/>
          <c:tx>
            <c:strRef>
              <c:f>'TS - Daily Token Consumption'!$A$6</c:f>
              <c:strCache>
                <c:ptCount val="1"/>
                <c:pt idx="0">
                  <c:v>Input Tokens (B/day)</c:v>
                </c:pt>
              </c:strCache>
            </c:strRef>
          </c:tx>
          <c:spPr>
            <a:solidFill>
              <a:srgbClr val="3B82F6">
                <a:alpha val="40000"/>
              </a:srgbClr>
            </a:solidFill>
            <a:ln w="31750">
              <a:solidFill>
                <a:srgbClr val="3B82F6"/>
              </a:solidFill>
            </a:ln>
          </c:spPr>
          <c:cat>
            <c:numRef>
              <c:f>'TS - Daily Token Consumption'!$B$4:$H$4</c:f>
              <c:numCache>
                <c:formatCode>General</c:formatCode>
                <c:ptCount val="7"/>
                <c:pt idx="0">
                  <c:v>2024</c:v>
                </c:pt>
                <c:pt idx="1">
                  <c:v>2025</c:v>
                </c:pt>
                <c:pt idx="2">
                  <c:v>2026</c:v>
                </c:pt>
                <c:pt idx="3">
                  <c:v>2027</c:v>
                </c:pt>
                <c:pt idx="4">
                  <c:v>2028</c:v>
                </c:pt>
                <c:pt idx="5">
                  <c:v>2029</c:v>
                </c:pt>
                <c:pt idx="6">
                  <c:v>2030</c:v>
                </c:pt>
              </c:numCache>
            </c:numRef>
          </c:cat>
          <c:val>
            <c:numRef>
              <c:f>'TS - Daily Token Consumption'!$B$6:$H$6</c:f>
              <c:numCache>
                <c:formatCode>General</c:formatCode>
                <c:ptCount val="7"/>
                <c:pt idx="0">
                  <c:v>30</c:v>
                </c:pt>
                <c:pt idx="1">
                  <c:v>210</c:v>
                </c:pt>
                <c:pt idx="2">
                  <c:v>900</c:v>
                </c:pt>
                <c:pt idx="3">
                  <c:v>3000</c:v>
                </c:pt>
                <c:pt idx="4">
                  <c:v>9000</c:v>
                </c:pt>
                <c:pt idx="5">
                  <c:v>24000</c:v>
                </c:pt>
                <c:pt idx="6">
                  <c:v>60000</c:v>
                </c:pt>
              </c:numCache>
            </c:numRef>
          </c:val>
        </c:ser>
        <c:ser>
          <c:idx val="2"/>
          <c:order val="2"/>
          <c:tx>
            <c:strRef>
              <c:f>'TS - Daily Token Consumption'!$A$7</c:f>
              <c:strCache>
                <c:ptCount val="1"/>
                <c:pt idx="0">
                  <c:v>Output Tokens (B/day)</c:v>
                </c:pt>
              </c:strCache>
            </c:strRef>
          </c:tx>
          <c:spPr>
            <a:solidFill>
              <a:srgbClr val="10B981">
                <a:alpha val="40000"/>
              </a:srgbClr>
            </a:solidFill>
            <a:ln w="31750">
              <a:solidFill>
                <a:srgbClr val="10B981"/>
              </a:solidFill>
            </a:ln>
          </c:spPr>
          <c:cat>
            <c:numRef>
              <c:f>'TS - Daily Token Consumption'!$B$4:$H$4</c:f>
              <c:numCache>
                <c:formatCode>General</c:formatCode>
                <c:ptCount val="7"/>
                <c:pt idx="0">
                  <c:v>2024</c:v>
                </c:pt>
                <c:pt idx="1">
                  <c:v>2025</c:v>
                </c:pt>
                <c:pt idx="2">
                  <c:v>2026</c:v>
                </c:pt>
                <c:pt idx="3">
                  <c:v>2027</c:v>
                </c:pt>
                <c:pt idx="4">
                  <c:v>2028</c:v>
                </c:pt>
                <c:pt idx="5">
                  <c:v>2029</c:v>
                </c:pt>
                <c:pt idx="6">
                  <c:v>2030</c:v>
                </c:pt>
              </c:numCache>
            </c:numRef>
          </c:cat>
          <c:val>
            <c:numRef>
              <c:f>'TS - Daily Token Consumption'!$B$7:$H$7</c:f>
              <c:numCache>
                <c:formatCode>General</c:formatCode>
                <c:ptCount val="7"/>
                <c:pt idx="0">
                  <c:v>12</c:v>
                </c:pt>
                <c:pt idx="1">
                  <c:v>84</c:v>
                </c:pt>
                <c:pt idx="2">
                  <c:v>360</c:v>
                </c:pt>
                <c:pt idx="3">
                  <c:v>1200</c:v>
                </c:pt>
                <c:pt idx="4">
                  <c:v>3600</c:v>
                </c:pt>
                <c:pt idx="5">
                  <c:v>9600</c:v>
                </c:pt>
                <c:pt idx="6">
                  <c:v>24000</c:v>
                </c:pt>
              </c:numCache>
            </c:numRef>
          </c:val>
        </c:ser>
        <c:ser>
          <c:idx val="3"/>
          <c:order val="3"/>
          <c:tx>
            <c:strRef>
              <c:f>'TS - Daily Token Consumption'!$A$8</c:f>
              <c:strCache>
                <c:ptCount val="1"/>
                <c:pt idx="0">
                  <c:v>Reasoning Tokens (B/day)</c:v>
                </c:pt>
              </c:strCache>
            </c:strRef>
          </c:tx>
          <c:spPr>
            <a:solidFill>
              <a:srgbClr val="F59E0B">
                <a:alpha val="40000"/>
              </a:srgbClr>
            </a:solidFill>
            <a:ln w="31750">
              <a:solidFill>
                <a:srgbClr val="F59E0B"/>
              </a:solidFill>
            </a:ln>
          </c:spPr>
          <c:cat>
            <c:numRef>
              <c:f>'TS - Daily Token Consumption'!$B$4:$H$4</c:f>
              <c:numCache>
                <c:formatCode>General</c:formatCode>
                <c:ptCount val="7"/>
                <c:pt idx="0">
                  <c:v>2024</c:v>
                </c:pt>
                <c:pt idx="1">
                  <c:v>2025</c:v>
                </c:pt>
                <c:pt idx="2">
                  <c:v>2026</c:v>
                </c:pt>
                <c:pt idx="3">
                  <c:v>2027</c:v>
                </c:pt>
                <c:pt idx="4">
                  <c:v>2028</c:v>
                </c:pt>
                <c:pt idx="5">
                  <c:v>2029</c:v>
                </c:pt>
                <c:pt idx="6">
                  <c:v>2030</c:v>
                </c:pt>
              </c:numCache>
            </c:numRef>
          </c:cat>
          <c:val>
            <c:numRef>
              <c:f>'TS - Daily Token Consumption'!$B$8:$H$8</c:f>
              <c:numCache>
                <c:formatCode>General</c:formatCode>
                <c:ptCount val="7"/>
                <c:pt idx="0">
                  <c:v>8</c:v>
                </c:pt>
                <c:pt idx="1">
                  <c:v>56</c:v>
                </c:pt>
                <c:pt idx="2">
                  <c:v>240</c:v>
                </c:pt>
                <c:pt idx="3">
                  <c:v>800</c:v>
                </c:pt>
                <c:pt idx="4">
                  <c:v>2400</c:v>
                </c:pt>
                <c:pt idx="5">
                  <c:v>6400</c:v>
                </c:pt>
                <c:pt idx="6">
                  <c:v>16000</c:v>
                </c:pt>
              </c:numCache>
            </c:numRef>
          </c:val>
        </c:ser>
        <c:axId val="50050001"/>
        <c:axId val="50050002"/>
      </c:areaChart>
      <c:catAx>
        <c:axId val="50050001"/>
        <c:scaling>
          <c:orientation val="minMax"/>
        </c:scaling>
        <c:axPos val="b"/>
        <c:title>
          <c:tx>
            <c:rich>
              <a:bodyPr/>
              <a:lstStyle/>
              <a:p>
                <a:pPr>
                  <a:defRPr/>
                </a:pPr>
                <a:r>
                  <a:rPr lang="en-US"/>
                  <a:t>Year</a:t>
                </a:r>
              </a:p>
            </c:rich>
          </c:tx>
          <c:layout/>
        </c:title>
        <c:numFmt formatCode="0" sourceLinked="0"/>
        <c:tickLblPos val="nextTo"/>
        <c:crossAx val="50050002"/>
        <c:crosses val="autoZero"/>
        <c:auto val="1"/>
        <c:lblAlgn val="ctr"/>
        <c:lblOffset val="100"/>
      </c:catAx>
      <c:valAx>
        <c:axId val="50050002"/>
        <c:scaling>
          <c:orientation val="minMax"/>
        </c:scaling>
        <c:axPos val="l"/>
        <c:majorGridlines/>
        <c:title>
          <c:tx>
            <c:rich>
              <a:bodyPr rot="-5400000" vert="horz"/>
              <a:lstStyle/>
              <a:p>
                <a:pPr>
                  <a:defRPr/>
                </a:pPr>
                <a:r>
                  <a:rPr lang="en-US"/>
                  <a:t>Daily Token Consumption</a:t>
                </a:r>
              </a:p>
            </c:rich>
          </c:tx>
          <c:layout/>
        </c:title>
        <c:numFmt formatCode="General" sourceLinked="1"/>
        <c:tickLblPos val="nextTo"/>
        <c:crossAx val="50050001"/>
        <c:crosses val="autoZero"/>
        <c:crossBetween val="midCat"/>
      </c:valAx>
    </c:plotArea>
    <c:legend>
      <c:legendPos val="b"/>
      <c:layout/>
    </c:legend>
    <c:plotVisOnly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Agent Economy: Cost per Million Tokens (2024-2030)</a:t>
            </a:r>
          </a:p>
        </c:rich>
      </c:tx>
      <c:layout/>
    </c:title>
    <c:plotArea>
      <c:layout/>
      <c:lineChart>
        <c:grouping val="standard"/>
        <c:ser>
          <c:idx val="0"/>
          <c:order val="0"/>
          <c:tx>
            <c:strRef>
              <c:f>'TS - Cost per Million Tokens'!$A$5</c:f>
              <c:strCache>
                <c:ptCount val="1"/>
                <c:pt idx="0">
                  <c:v>Frontier Model ($/M tokens)</c:v>
                </c:pt>
              </c:strCache>
            </c:strRef>
          </c:tx>
          <c:spPr>
            <a:solidFill>
              <a:srgbClr val="EF4444"/>
            </a:solidFill>
            <a:ln w="31750">
              <a:solidFill>
                <a:srgbClr val="EF4444"/>
              </a:solidFill>
            </a:ln>
          </c:spPr>
          <c:marker>
            <c:symbol val="circle"/>
            <c:size val="6"/>
            <c:spPr>
              <a:solidFill>
                <a:srgbClr val="EF4444"/>
              </a:solidFill>
            </c:spPr>
          </c:marker>
          <c:cat>
            <c:numRef>
              <c:f>'TS - Cost per Million Tokens'!$B$4:$H$4</c:f>
              <c:numCache>
                <c:formatCode>General</c:formatCode>
                <c:ptCount val="7"/>
                <c:pt idx="0">
                  <c:v>2024</c:v>
                </c:pt>
                <c:pt idx="1">
                  <c:v>2025</c:v>
                </c:pt>
                <c:pt idx="2">
                  <c:v>2026</c:v>
                </c:pt>
                <c:pt idx="3">
                  <c:v>2027</c:v>
                </c:pt>
                <c:pt idx="4">
                  <c:v>2028</c:v>
                </c:pt>
                <c:pt idx="5">
                  <c:v>2029</c:v>
                </c:pt>
                <c:pt idx="6">
                  <c:v>2030</c:v>
                </c:pt>
              </c:numCache>
            </c:numRef>
          </c:cat>
          <c:val>
            <c:numRef>
              <c:f>'TS - Cost per Million Tokens'!$B$5:$H$5</c:f>
              <c:numCache>
                <c:formatCode>General</c:formatCode>
                <c:ptCount val="7"/>
                <c:pt idx="0">
                  <c:v>15</c:v>
                </c:pt>
                <c:pt idx="1">
                  <c:v>10</c:v>
                </c:pt>
                <c:pt idx="2">
                  <c:v>6.5</c:v>
                </c:pt>
                <c:pt idx="3">
                  <c:v>4</c:v>
                </c:pt>
                <c:pt idx="4">
                  <c:v>2.5</c:v>
                </c:pt>
                <c:pt idx="5">
                  <c:v>1.5</c:v>
                </c:pt>
                <c:pt idx="6">
                  <c:v>0.8</c:v>
                </c:pt>
              </c:numCache>
            </c:numRef>
          </c:val>
        </c:ser>
        <c:ser>
          <c:idx val="1"/>
          <c:order val="1"/>
          <c:tx>
            <c:strRef>
              <c:f>'TS - Cost per Million Tokens'!$A$6</c:f>
              <c:strCache>
                <c:ptCount val="1"/>
                <c:pt idx="0">
                  <c:v>Mid-Tier Model ($/M tokens)</c:v>
                </c:pt>
              </c:strCache>
            </c:strRef>
          </c:tx>
          <c:spPr>
            <a:solidFill>
              <a:srgbClr val="3B82F6"/>
            </a:solidFill>
            <a:ln w="31750">
              <a:solidFill>
                <a:srgbClr val="3B82F6"/>
              </a:solidFill>
            </a:ln>
          </c:spPr>
          <c:marker>
            <c:symbol val="circle"/>
            <c:size val="6"/>
            <c:spPr>
              <a:solidFill>
                <a:srgbClr val="3B82F6"/>
              </a:solidFill>
            </c:spPr>
          </c:marker>
          <c:cat>
            <c:numRef>
              <c:f>'TS - Cost per Million Tokens'!$B$4:$H$4</c:f>
              <c:numCache>
                <c:formatCode>General</c:formatCode>
                <c:ptCount val="7"/>
                <c:pt idx="0">
                  <c:v>2024</c:v>
                </c:pt>
                <c:pt idx="1">
                  <c:v>2025</c:v>
                </c:pt>
                <c:pt idx="2">
                  <c:v>2026</c:v>
                </c:pt>
                <c:pt idx="3">
                  <c:v>2027</c:v>
                </c:pt>
                <c:pt idx="4">
                  <c:v>2028</c:v>
                </c:pt>
                <c:pt idx="5">
                  <c:v>2029</c:v>
                </c:pt>
                <c:pt idx="6">
                  <c:v>2030</c:v>
                </c:pt>
              </c:numCache>
            </c:numRef>
          </c:cat>
          <c:val>
            <c:numRef>
              <c:f>'TS - Cost per Million Tokens'!$B$6:$H$6</c:f>
              <c:numCache>
                <c:formatCode>General</c:formatCode>
                <c:ptCount val="7"/>
                <c:pt idx="0">
                  <c:v>0.6</c:v>
                </c:pt>
                <c:pt idx="1">
                  <c:v>0.3</c:v>
                </c:pt>
                <c:pt idx="2">
                  <c:v>0.15</c:v>
                </c:pt>
                <c:pt idx="3">
                  <c:v>0.08</c:v>
                </c:pt>
                <c:pt idx="4">
                  <c:v>0.04</c:v>
                </c:pt>
                <c:pt idx="5">
                  <c:v>0.02</c:v>
                </c:pt>
                <c:pt idx="6">
                  <c:v>0.01</c:v>
                </c:pt>
              </c:numCache>
            </c:numRef>
          </c:val>
        </c:ser>
        <c:ser>
          <c:idx val="2"/>
          <c:order val="2"/>
          <c:tx>
            <c:strRef>
              <c:f>'TS - Cost per Million Tokens'!$A$7</c:f>
              <c:strCache>
                <c:ptCount val="1"/>
                <c:pt idx="0">
                  <c:v>Open-Source Hosted ($/M tokens)</c:v>
                </c:pt>
              </c:strCache>
            </c:strRef>
          </c:tx>
          <c:spPr>
            <a:solidFill>
              <a:srgbClr val="10B981"/>
            </a:solidFill>
            <a:ln w="31750">
              <a:solidFill>
                <a:srgbClr val="10B981"/>
              </a:solidFill>
            </a:ln>
          </c:spPr>
          <c:marker>
            <c:symbol val="circle"/>
            <c:size val="6"/>
            <c:spPr>
              <a:solidFill>
                <a:srgbClr val="10B981"/>
              </a:solidFill>
            </c:spPr>
          </c:marker>
          <c:cat>
            <c:numRef>
              <c:f>'TS - Cost per Million Tokens'!$B$4:$H$4</c:f>
              <c:numCache>
                <c:formatCode>General</c:formatCode>
                <c:ptCount val="7"/>
                <c:pt idx="0">
                  <c:v>2024</c:v>
                </c:pt>
                <c:pt idx="1">
                  <c:v>2025</c:v>
                </c:pt>
                <c:pt idx="2">
                  <c:v>2026</c:v>
                </c:pt>
                <c:pt idx="3">
                  <c:v>2027</c:v>
                </c:pt>
                <c:pt idx="4">
                  <c:v>2028</c:v>
                </c:pt>
                <c:pt idx="5">
                  <c:v>2029</c:v>
                </c:pt>
                <c:pt idx="6">
                  <c:v>2030</c:v>
                </c:pt>
              </c:numCache>
            </c:numRef>
          </c:cat>
          <c:val>
            <c:numRef>
              <c:f>'TS - Cost per Million Tokens'!$B$7:$H$7</c:f>
              <c:numCache>
                <c:formatCode>General</c:formatCode>
                <c:ptCount val="7"/>
                <c:pt idx="0">
                  <c:v>0.3</c:v>
                </c:pt>
                <c:pt idx="1">
                  <c:v>0.15</c:v>
                </c:pt>
                <c:pt idx="2">
                  <c:v>0.08</c:v>
                </c:pt>
                <c:pt idx="3">
                  <c:v>0.04</c:v>
                </c:pt>
                <c:pt idx="4">
                  <c:v>0.02</c:v>
                </c:pt>
                <c:pt idx="5">
                  <c:v>0.01</c:v>
                </c:pt>
                <c:pt idx="6">
                  <c:v>0.005</c:v>
                </c:pt>
              </c:numCache>
            </c:numRef>
          </c:val>
        </c:ser>
        <c:ser>
          <c:idx val="3"/>
          <c:order val="3"/>
          <c:tx>
            <c:strRef>
              <c:f>'TS - Cost per Million Tokens'!$A$8</c:f>
              <c:strCache>
                <c:ptCount val="1"/>
                <c:pt idx="0">
                  <c:v>Blended Average ($/M tokens)</c:v>
                </c:pt>
              </c:strCache>
            </c:strRef>
          </c:tx>
          <c:spPr>
            <a:solidFill>
              <a:srgbClr val="F59E0B"/>
            </a:solidFill>
            <a:ln w="31750">
              <a:solidFill>
                <a:srgbClr val="F59E0B"/>
              </a:solidFill>
            </a:ln>
          </c:spPr>
          <c:marker>
            <c:symbol val="circle"/>
            <c:size val="6"/>
            <c:spPr>
              <a:solidFill>
                <a:srgbClr val="F59E0B"/>
              </a:solidFill>
            </c:spPr>
          </c:marker>
          <c:cat>
            <c:numRef>
              <c:f>'TS - Cost per Million Tokens'!$B$4:$H$4</c:f>
              <c:numCache>
                <c:formatCode>General</c:formatCode>
                <c:ptCount val="7"/>
                <c:pt idx="0">
                  <c:v>2024</c:v>
                </c:pt>
                <c:pt idx="1">
                  <c:v>2025</c:v>
                </c:pt>
                <c:pt idx="2">
                  <c:v>2026</c:v>
                </c:pt>
                <c:pt idx="3">
                  <c:v>2027</c:v>
                </c:pt>
                <c:pt idx="4">
                  <c:v>2028</c:v>
                </c:pt>
                <c:pt idx="5">
                  <c:v>2029</c:v>
                </c:pt>
                <c:pt idx="6">
                  <c:v>2030</c:v>
                </c:pt>
              </c:numCache>
            </c:numRef>
          </c:cat>
          <c:val>
            <c:numRef>
              <c:f>'TS - Cost per Million Tokens'!$B$8:$H$8</c:f>
              <c:numCache>
                <c:formatCode>General</c:formatCode>
                <c:ptCount val="7"/>
                <c:pt idx="0">
                  <c:v>5</c:v>
                </c:pt>
                <c:pt idx="1">
                  <c:v>3</c:v>
                </c:pt>
                <c:pt idx="2">
                  <c:v>1.8</c:v>
                </c:pt>
                <c:pt idx="3">
                  <c:v>1</c:v>
                </c:pt>
                <c:pt idx="4">
                  <c:v>0.55</c:v>
                </c:pt>
                <c:pt idx="5">
                  <c:v>0.3</c:v>
                </c:pt>
                <c:pt idx="6">
                  <c:v>0.15</c:v>
                </c:pt>
              </c:numCache>
            </c:numRef>
          </c:val>
        </c:ser>
        <c:marker val="1"/>
        <c:axId val="50060001"/>
        <c:axId val="50060002"/>
      </c:lineChart>
      <c:catAx>
        <c:axId val="50060001"/>
        <c:scaling>
          <c:orientation val="minMax"/>
        </c:scaling>
        <c:axPos val="b"/>
        <c:title>
          <c:tx>
            <c:rich>
              <a:bodyPr/>
              <a:lstStyle/>
              <a:p>
                <a:pPr>
                  <a:defRPr/>
                </a:pPr>
                <a:r>
                  <a:rPr lang="en-US"/>
                  <a:t>Year</a:t>
                </a:r>
              </a:p>
            </c:rich>
          </c:tx>
          <c:layout/>
        </c:title>
        <c:numFmt formatCode="0" sourceLinked="0"/>
        <c:tickLblPos val="nextTo"/>
        <c:crossAx val="50060002"/>
        <c:crosses val="autoZero"/>
        <c:auto val="1"/>
        <c:lblAlgn val="ctr"/>
        <c:lblOffset val="100"/>
      </c:catAx>
      <c:valAx>
        <c:axId val="50060002"/>
        <c:scaling>
          <c:orientation val="minMax"/>
        </c:scaling>
        <c:axPos val="l"/>
        <c:majorGridlines/>
        <c:title>
          <c:tx>
            <c:rich>
              <a:bodyPr rot="-5400000" vert="horz"/>
              <a:lstStyle/>
              <a:p>
                <a:pPr>
                  <a:defRPr/>
                </a:pPr>
                <a:r>
                  <a:rPr lang="en-US"/>
                  <a:t>Cost per Million Tokens</a:t>
                </a:r>
              </a:p>
            </c:rich>
          </c:tx>
          <c:layout/>
        </c:title>
        <c:numFmt formatCode="General" sourceLinked="1"/>
        <c:tickLblPos val="nextTo"/>
        <c:crossAx val="50060001"/>
        <c:crosses val="autoZero"/>
        <c:crossBetween val="between"/>
      </c:valAx>
    </c:plotArea>
    <c:legend>
      <c:legendPos val="b"/>
      <c:layout/>
    </c:legend>
    <c:plotVisOnly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Agent Economy: Average Task Duration (2024-2030)</a:t>
            </a:r>
          </a:p>
        </c:rich>
      </c:tx>
      <c:layout/>
    </c:title>
    <c:plotArea>
      <c:layout/>
      <c:lineChart>
        <c:grouping val="standard"/>
        <c:ser>
          <c:idx val="0"/>
          <c:order val="0"/>
          <c:tx>
            <c:strRef>
              <c:f>'TS - Average Task Duration'!$A$5</c:f>
              <c:strCache>
                <c:ptCount val="1"/>
                <c:pt idx="0">
                  <c:v>Avg Simple Task Duration (sec)</c:v>
                </c:pt>
              </c:strCache>
            </c:strRef>
          </c:tx>
          <c:spPr>
            <a:solidFill>
              <a:srgbClr val="EF4444"/>
            </a:solidFill>
            <a:ln w="31750">
              <a:solidFill>
                <a:srgbClr val="EF4444"/>
              </a:solidFill>
            </a:ln>
          </c:spPr>
          <c:marker>
            <c:symbol val="circle"/>
            <c:size val="6"/>
            <c:spPr>
              <a:solidFill>
                <a:srgbClr val="EF4444"/>
              </a:solidFill>
            </c:spPr>
          </c:marker>
          <c:cat>
            <c:numRef>
              <c:f>'TS - Average Task Duration'!$B$4:$H$4</c:f>
              <c:numCache>
                <c:formatCode>General</c:formatCode>
                <c:ptCount val="7"/>
                <c:pt idx="0">
                  <c:v>2024</c:v>
                </c:pt>
                <c:pt idx="1">
                  <c:v>2025</c:v>
                </c:pt>
                <c:pt idx="2">
                  <c:v>2026</c:v>
                </c:pt>
                <c:pt idx="3">
                  <c:v>2027</c:v>
                </c:pt>
                <c:pt idx="4">
                  <c:v>2028</c:v>
                </c:pt>
                <c:pt idx="5">
                  <c:v>2029</c:v>
                </c:pt>
                <c:pt idx="6">
                  <c:v>2030</c:v>
                </c:pt>
              </c:numCache>
            </c:numRef>
          </c:cat>
          <c:val>
            <c:numRef>
              <c:f>'TS - Average Task Duration'!$B$5:$H$5</c:f>
              <c:numCache>
                <c:formatCode>General</c:formatCode>
                <c:ptCount val="7"/>
                <c:pt idx="0">
                  <c:v>8</c:v>
                </c:pt>
                <c:pt idx="1">
                  <c:v>5</c:v>
                </c:pt>
                <c:pt idx="2">
                  <c:v>3.5</c:v>
                </c:pt>
                <c:pt idx="3">
                  <c:v>2.5</c:v>
                </c:pt>
                <c:pt idx="4">
                  <c:v>1.8</c:v>
                </c:pt>
                <c:pt idx="5">
                  <c:v>1.2</c:v>
                </c:pt>
                <c:pt idx="6">
                  <c:v>0.8</c:v>
                </c:pt>
              </c:numCache>
            </c:numRef>
          </c:val>
        </c:ser>
        <c:ser>
          <c:idx val="1"/>
          <c:order val="1"/>
          <c:tx>
            <c:strRef>
              <c:f>'TS - Average Task Duration'!$A$6</c:f>
              <c:strCache>
                <c:ptCount val="1"/>
                <c:pt idx="0">
                  <c:v>Avg Complex Task Duration (sec)</c:v>
                </c:pt>
              </c:strCache>
            </c:strRef>
          </c:tx>
          <c:spPr>
            <a:solidFill>
              <a:srgbClr val="3B82F6"/>
            </a:solidFill>
            <a:ln w="31750">
              <a:solidFill>
                <a:srgbClr val="3B82F6"/>
              </a:solidFill>
            </a:ln>
          </c:spPr>
          <c:marker>
            <c:symbol val="circle"/>
            <c:size val="6"/>
            <c:spPr>
              <a:solidFill>
                <a:srgbClr val="3B82F6"/>
              </a:solidFill>
            </c:spPr>
          </c:marker>
          <c:cat>
            <c:numRef>
              <c:f>'TS - Average Task Duration'!$B$4:$H$4</c:f>
              <c:numCache>
                <c:formatCode>General</c:formatCode>
                <c:ptCount val="7"/>
                <c:pt idx="0">
                  <c:v>2024</c:v>
                </c:pt>
                <c:pt idx="1">
                  <c:v>2025</c:v>
                </c:pt>
                <c:pt idx="2">
                  <c:v>2026</c:v>
                </c:pt>
                <c:pt idx="3">
                  <c:v>2027</c:v>
                </c:pt>
                <c:pt idx="4">
                  <c:v>2028</c:v>
                </c:pt>
                <c:pt idx="5">
                  <c:v>2029</c:v>
                </c:pt>
                <c:pt idx="6">
                  <c:v>2030</c:v>
                </c:pt>
              </c:numCache>
            </c:numRef>
          </c:cat>
          <c:val>
            <c:numRef>
              <c:f>'TS - Average Task Duration'!$B$6:$H$6</c:f>
              <c:numCache>
                <c:formatCode>General</c:formatCode>
                <c:ptCount val="7"/>
                <c:pt idx="0">
                  <c:v>300</c:v>
                </c:pt>
                <c:pt idx="1">
                  <c:v>180</c:v>
                </c:pt>
                <c:pt idx="2">
                  <c:v>120</c:v>
                </c:pt>
                <c:pt idx="3">
                  <c:v>80</c:v>
                </c:pt>
                <c:pt idx="4">
                  <c:v>55</c:v>
                </c:pt>
                <c:pt idx="5">
                  <c:v>38</c:v>
                </c:pt>
                <c:pt idx="6">
                  <c:v>25</c:v>
                </c:pt>
              </c:numCache>
            </c:numRef>
          </c:val>
        </c:ser>
        <c:ser>
          <c:idx val="2"/>
          <c:order val="2"/>
          <c:tx>
            <c:strRef>
              <c:f>'TS - Average Task Duration'!$A$7</c:f>
              <c:strCache>
                <c:ptCount val="1"/>
                <c:pt idx="0">
                  <c:v>Avg Agentic Session Duration (sec)</c:v>
                </c:pt>
              </c:strCache>
            </c:strRef>
          </c:tx>
          <c:spPr>
            <a:solidFill>
              <a:srgbClr val="10B981"/>
            </a:solidFill>
            <a:ln w="31750">
              <a:solidFill>
                <a:srgbClr val="10B981"/>
              </a:solidFill>
            </a:ln>
          </c:spPr>
          <c:marker>
            <c:symbol val="circle"/>
            <c:size val="6"/>
            <c:spPr>
              <a:solidFill>
                <a:srgbClr val="10B981"/>
              </a:solidFill>
            </c:spPr>
          </c:marker>
          <c:cat>
            <c:numRef>
              <c:f>'TS - Average Task Duration'!$B$4:$H$4</c:f>
              <c:numCache>
                <c:formatCode>General</c:formatCode>
                <c:ptCount val="7"/>
                <c:pt idx="0">
                  <c:v>2024</c:v>
                </c:pt>
                <c:pt idx="1">
                  <c:v>2025</c:v>
                </c:pt>
                <c:pt idx="2">
                  <c:v>2026</c:v>
                </c:pt>
                <c:pt idx="3">
                  <c:v>2027</c:v>
                </c:pt>
                <c:pt idx="4">
                  <c:v>2028</c:v>
                </c:pt>
                <c:pt idx="5">
                  <c:v>2029</c:v>
                </c:pt>
                <c:pt idx="6">
                  <c:v>2030</c:v>
                </c:pt>
              </c:numCache>
            </c:numRef>
          </c:cat>
          <c:val>
            <c:numRef>
              <c:f>'TS - Average Task Duration'!$B$7:$H$7</c:f>
              <c:numCache>
                <c:formatCode>General</c:formatCode>
                <c:ptCount val="7"/>
                <c:pt idx="0">
                  <c:v>1800</c:v>
                </c:pt>
                <c:pt idx="1">
                  <c:v>1200</c:v>
                </c:pt>
                <c:pt idx="2">
                  <c:v>900</c:v>
                </c:pt>
                <c:pt idx="3">
                  <c:v>600</c:v>
                </c:pt>
                <c:pt idx="4">
                  <c:v>420</c:v>
                </c:pt>
                <c:pt idx="5">
                  <c:v>300</c:v>
                </c:pt>
                <c:pt idx="6">
                  <c:v>200</c:v>
                </c:pt>
              </c:numCache>
            </c:numRef>
          </c:val>
        </c:ser>
        <c:ser>
          <c:idx val="3"/>
          <c:order val="3"/>
          <c:tx>
            <c:strRef>
              <c:f>'TS - Average Task Duration'!$A$8</c:f>
              <c:strCache>
                <c:ptCount val="1"/>
                <c:pt idx="0">
                  <c:v>Latency to First Token (ms)</c:v>
                </c:pt>
              </c:strCache>
            </c:strRef>
          </c:tx>
          <c:spPr>
            <a:solidFill>
              <a:srgbClr val="F59E0B"/>
            </a:solidFill>
            <a:ln w="31750">
              <a:solidFill>
                <a:srgbClr val="F59E0B"/>
              </a:solidFill>
            </a:ln>
          </c:spPr>
          <c:marker>
            <c:symbol val="circle"/>
            <c:size val="6"/>
            <c:spPr>
              <a:solidFill>
                <a:srgbClr val="F59E0B"/>
              </a:solidFill>
            </c:spPr>
          </c:marker>
          <c:cat>
            <c:numRef>
              <c:f>'TS - Average Task Duration'!$B$4:$H$4</c:f>
              <c:numCache>
                <c:formatCode>General</c:formatCode>
                <c:ptCount val="7"/>
                <c:pt idx="0">
                  <c:v>2024</c:v>
                </c:pt>
                <c:pt idx="1">
                  <c:v>2025</c:v>
                </c:pt>
                <c:pt idx="2">
                  <c:v>2026</c:v>
                </c:pt>
                <c:pt idx="3">
                  <c:v>2027</c:v>
                </c:pt>
                <c:pt idx="4">
                  <c:v>2028</c:v>
                </c:pt>
                <c:pt idx="5">
                  <c:v>2029</c:v>
                </c:pt>
                <c:pt idx="6">
                  <c:v>2030</c:v>
                </c:pt>
              </c:numCache>
            </c:numRef>
          </c:cat>
          <c:val>
            <c:numRef>
              <c:f>'TS - Average Task Duration'!$B$8:$H$8</c:f>
              <c:numCache>
                <c:formatCode>General</c:formatCode>
                <c:ptCount val="7"/>
                <c:pt idx="0">
                  <c:v>800</c:v>
                </c:pt>
                <c:pt idx="1">
                  <c:v>500</c:v>
                </c:pt>
                <c:pt idx="2">
                  <c:v>300</c:v>
                </c:pt>
                <c:pt idx="3">
                  <c:v>180</c:v>
                </c:pt>
                <c:pt idx="4">
                  <c:v>120</c:v>
                </c:pt>
                <c:pt idx="5">
                  <c:v>80</c:v>
                </c:pt>
                <c:pt idx="6">
                  <c:v>50</c:v>
                </c:pt>
              </c:numCache>
            </c:numRef>
          </c:val>
        </c:ser>
        <c:marker val="1"/>
        <c:axId val="50070001"/>
        <c:axId val="50070002"/>
      </c:lineChart>
      <c:catAx>
        <c:axId val="50070001"/>
        <c:scaling>
          <c:orientation val="minMax"/>
        </c:scaling>
        <c:axPos val="b"/>
        <c:title>
          <c:tx>
            <c:rich>
              <a:bodyPr/>
              <a:lstStyle/>
              <a:p>
                <a:pPr>
                  <a:defRPr/>
                </a:pPr>
                <a:r>
                  <a:rPr lang="en-US"/>
                  <a:t>Year</a:t>
                </a:r>
              </a:p>
            </c:rich>
          </c:tx>
          <c:layout/>
        </c:title>
        <c:numFmt formatCode="0" sourceLinked="0"/>
        <c:tickLblPos val="nextTo"/>
        <c:crossAx val="50070002"/>
        <c:crosses val="autoZero"/>
        <c:auto val="1"/>
        <c:lblAlgn val="ctr"/>
        <c:lblOffset val="100"/>
      </c:catAx>
      <c:valAx>
        <c:axId val="50070002"/>
        <c:scaling>
          <c:orientation val="minMax"/>
        </c:scaling>
        <c:axPos val="l"/>
        <c:majorGridlines/>
        <c:title>
          <c:tx>
            <c:rich>
              <a:bodyPr rot="-5400000" vert="horz"/>
              <a:lstStyle/>
              <a:p>
                <a:pPr>
                  <a:defRPr/>
                </a:pPr>
                <a:r>
                  <a:rPr lang="en-US"/>
                  <a:t>Average Task Duration</a:t>
                </a:r>
              </a:p>
            </c:rich>
          </c:tx>
          <c:layout/>
        </c:title>
        <c:numFmt formatCode="General" sourceLinked="1"/>
        <c:tickLblPos val="nextTo"/>
        <c:crossAx val="50070001"/>
        <c:crosses val="autoZero"/>
        <c:crossBetween val="between"/>
      </c:valAx>
    </c:plotArea>
    <c:legend>
      <c:legendPos val="b"/>
      <c:layout/>
    </c:legend>
    <c:plotVisOnly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Agent Economy: Compute Infrastructure (2024-2030)</a:t>
            </a:r>
          </a:p>
        </c:rich>
      </c:tx>
      <c:layout/>
    </c:title>
    <c:plotArea>
      <c:layout/>
      <c:barChart>
        <c:barDir val="col"/>
        <c:grouping val="clustered"/>
        <c:ser>
          <c:idx val="0"/>
          <c:order val="0"/>
          <c:tx>
            <c:strRef>
              <c:f>'TS - Compute Infrastructure'!$A$5</c:f>
              <c:strCache>
                <c:ptCount val="1"/>
                <c:pt idx="0">
                  <c:v>GPU Hours for Agents (M/day)</c:v>
                </c:pt>
              </c:strCache>
            </c:strRef>
          </c:tx>
          <c:spPr>
            <a:solidFill>
              <a:srgbClr val="EF4444"/>
            </a:solidFill>
            <a:ln w="31750">
              <a:solidFill>
                <a:srgbClr val="EF4444"/>
              </a:solidFill>
            </a:ln>
          </c:spPr>
          <c:cat>
            <c:numRef>
              <c:f>'TS - Compute Infrastructure'!$B$4:$H$4</c:f>
              <c:numCache>
                <c:formatCode>General</c:formatCode>
                <c:ptCount val="7"/>
                <c:pt idx="0">
                  <c:v>2024</c:v>
                </c:pt>
                <c:pt idx="1">
                  <c:v>2025</c:v>
                </c:pt>
                <c:pt idx="2">
                  <c:v>2026</c:v>
                </c:pt>
                <c:pt idx="3">
                  <c:v>2027</c:v>
                </c:pt>
                <c:pt idx="4">
                  <c:v>2028</c:v>
                </c:pt>
                <c:pt idx="5">
                  <c:v>2029</c:v>
                </c:pt>
                <c:pt idx="6">
                  <c:v>2030</c:v>
                </c:pt>
              </c:numCache>
            </c:numRef>
          </c:cat>
          <c:val>
            <c:numRef>
              <c:f>'TS - Compute Infrastructure'!$B$5:$H$5</c:f>
              <c:numCache>
                <c:formatCode>General</c:formatCode>
                <c:ptCount val="7"/>
                <c:pt idx="0">
                  <c:v>0.5</c:v>
                </c:pt>
                <c:pt idx="1">
                  <c:v>3</c:v>
                </c:pt>
                <c:pt idx="2">
                  <c:v>12</c:v>
                </c:pt>
                <c:pt idx="3">
                  <c:v>40</c:v>
                </c:pt>
                <c:pt idx="4">
                  <c:v>100</c:v>
                </c:pt>
                <c:pt idx="5">
                  <c:v>250</c:v>
                </c:pt>
                <c:pt idx="6">
                  <c:v>600</c:v>
                </c:pt>
              </c:numCache>
            </c:numRef>
          </c:val>
        </c:ser>
        <c:ser>
          <c:idx val="1"/>
          <c:order val="1"/>
          <c:tx>
            <c:strRef>
              <c:f>'TS - Compute Infrastructure'!$A$6</c:f>
              <c:strCache>
                <c:ptCount val="1"/>
                <c:pt idx="0">
                  <c:v>Estimated Agent Compute Cost ($B/yr)</c:v>
                </c:pt>
              </c:strCache>
            </c:strRef>
          </c:tx>
          <c:spPr>
            <a:solidFill>
              <a:srgbClr val="3B82F6"/>
            </a:solidFill>
            <a:ln w="31750">
              <a:solidFill>
                <a:srgbClr val="3B82F6"/>
              </a:solidFill>
            </a:ln>
          </c:spPr>
          <c:cat>
            <c:numRef>
              <c:f>'TS - Compute Infrastructure'!$B$4:$H$4</c:f>
              <c:numCache>
                <c:formatCode>General</c:formatCode>
                <c:ptCount val="7"/>
                <c:pt idx="0">
                  <c:v>2024</c:v>
                </c:pt>
                <c:pt idx="1">
                  <c:v>2025</c:v>
                </c:pt>
                <c:pt idx="2">
                  <c:v>2026</c:v>
                </c:pt>
                <c:pt idx="3">
                  <c:v>2027</c:v>
                </c:pt>
                <c:pt idx="4">
                  <c:v>2028</c:v>
                </c:pt>
                <c:pt idx="5">
                  <c:v>2029</c:v>
                </c:pt>
                <c:pt idx="6">
                  <c:v>2030</c:v>
                </c:pt>
              </c:numCache>
            </c:numRef>
          </c:cat>
          <c:val>
            <c:numRef>
              <c:f>'TS - Compute Infrastructure'!$B$6:$H$6</c:f>
              <c:numCache>
                <c:formatCode>General</c:formatCode>
                <c:ptCount val="7"/>
                <c:pt idx="0">
                  <c:v>2</c:v>
                </c:pt>
                <c:pt idx="1">
                  <c:v>8</c:v>
                </c:pt>
                <c:pt idx="2">
                  <c:v>25</c:v>
                </c:pt>
                <c:pt idx="3">
                  <c:v>60</c:v>
                </c:pt>
                <c:pt idx="4">
                  <c:v>110</c:v>
                </c:pt>
                <c:pt idx="5">
                  <c:v>180</c:v>
                </c:pt>
                <c:pt idx="6">
                  <c:v>280</c:v>
                </c:pt>
              </c:numCache>
            </c:numRef>
          </c:val>
        </c:ser>
        <c:ser>
          <c:idx val="2"/>
          <c:order val="2"/>
          <c:tx>
            <c:strRef>
              <c:f>'TS - Compute Infrastructure'!$A$7</c:f>
              <c:strCache>
                <c:ptCount val="1"/>
                <c:pt idx="0">
                  <c:v>Agent Share of Total AI Inference (%)</c:v>
                </c:pt>
              </c:strCache>
            </c:strRef>
          </c:tx>
          <c:spPr>
            <a:solidFill>
              <a:srgbClr val="10B981"/>
            </a:solidFill>
            <a:ln w="31750">
              <a:solidFill>
                <a:srgbClr val="10B981"/>
              </a:solidFill>
            </a:ln>
          </c:spPr>
          <c:cat>
            <c:numRef>
              <c:f>'TS - Compute Infrastructure'!$B$4:$H$4</c:f>
              <c:numCache>
                <c:formatCode>General</c:formatCode>
                <c:ptCount val="7"/>
                <c:pt idx="0">
                  <c:v>2024</c:v>
                </c:pt>
                <c:pt idx="1">
                  <c:v>2025</c:v>
                </c:pt>
                <c:pt idx="2">
                  <c:v>2026</c:v>
                </c:pt>
                <c:pt idx="3">
                  <c:v>2027</c:v>
                </c:pt>
                <c:pt idx="4">
                  <c:v>2028</c:v>
                </c:pt>
                <c:pt idx="5">
                  <c:v>2029</c:v>
                </c:pt>
                <c:pt idx="6">
                  <c:v>2030</c:v>
                </c:pt>
              </c:numCache>
            </c:numRef>
          </c:cat>
          <c:val>
            <c:numRef>
              <c:f>'TS - Compute Infrastructure'!$B$7:$H$7</c:f>
              <c:numCache>
                <c:formatCode>General</c:formatCode>
                <c:ptCount val="7"/>
                <c:pt idx="0">
                  <c:v>5</c:v>
                </c:pt>
                <c:pt idx="1">
                  <c:v>12</c:v>
                </c:pt>
                <c:pt idx="2">
                  <c:v>22</c:v>
                </c:pt>
                <c:pt idx="3">
                  <c:v>35</c:v>
                </c:pt>
                <c:pt idx="4">
                  <c:v>48</c:v>
                </c:pt>
                <c:pt idx="5">
                  <c:v>58</c:v>
                </c:pt>
                <c:pt idx="6">
                  <c:v>65</c:v>
                </c:pt>
              </c:numCache>
            </c:numRef>
          </c:val>
        </c:ser>
        <c:axId val="50080001"/>
        <c:axId val="50080002"/>
      </c:barChart>
      <c:catAx>
        <c:axId val="50080001"/>
        <c:scaling>
          <c:orientation val="minMax"/>
        </c:scaling>
        <c:axPos val="b"/>
        <c:title>
          <c:tx>
            <c:rich>
              <a:bodyPr/>
              <a:lstStyle/>
              <a:p>
                <a:pPr>
                  <a:defRPr/>
                </a:pPr>
                <a:r>
                  <a:rPr lang="en-US"/>
                  <a:t>Year</a:t>
                </a:r>
              </a:p>
            </c:rich>
          </c:tx>
          <c:layout/>
        </c:title>
        <c:numFmt formatCode="0" sourceLinked="0"/>
        <c:tickLblPos val="nextTo"/>
        <c:crossAx val="50080002"/>
        <c:crosses val="autoZero"/>
        <c:auto val="1"/>
        <c:lblAlgn val="ctr"/>
        <c:lblOffset val="100"/>
      </c:catAx>
      <c:valAx>
        <c:axId val="50080002"/>
        <c:scaling>
          <c:orientation val="minMax"/>
        </c:scaling>
        <c:axPos val="l"/>
        <c:majorGridlines/>
        <c:title>
          <c:tx>
            <c:rich>
              <a:bodyPr/>
              <a:lstStyle/>
              <a:p>
                <a:pPr>
                  <a:defRPr/>
                </a:pPr>
                <a:r>
                  <a:rPr lang="en-US"/>
                  <a:t>Compute Infrastructure</a:t>
                </a:r>
              </a:p>
            </c:rich>
          </c:tx>
          <c:layout/>
        </c:title>
        <c:numFmt formatCode="General" sourceLinked="1"/>
        <c:tickLblPos val="nextTo"/>
        <c:crossAx val="50080001"/>
        <c:crosses val="autoZero"/>
        <c:crossBetween val="between"/>
      </c:valAx>
    </c:plotArea>
    <c:legend>
      <c:legendPos val="b"/>
      <c:layout/>
    </c:legend>
    <c:plotVisOnly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Agent Economy: Company Revenue Projections (2024-2030)</a:t>
            </a:r>
          </a:p>
        </c:rich>
      </c:tx>
      <c:layout/>
    </c:title>
    <c:plotArea>
      <c:layout/>
      <c:areaChart>
        <c:grouping val="standard"/>
        <c:ser>
          <c:idx val="0"/>
          <c:order val="0"/>
          <c:tx>
            <c:strRef>
              <c:f>'TS - Company Revenue Projection'!$A$5</c:f>
              <c:strCache>
                <c:ptCount val="1"/>
                <c:pt idx="0">
                  <c:v>OpenAI Revenue ($B)</c:v>
                </c:pt>
              </c:strCache>
            </c:strRef>
          </c:tx>
          <c:spPr>
            <a:solidFill>
              <a:srgbClr val="EF4444">
                <a:alpha val="40000"/>
              </a:srgbClr>
            </a:solidFill>
            <a:ln w="31750">
              <a:solidFill>
                <a:srgbClr val="EF4444"/>
              </a:solidFill>
            </a:ln>
          </c:spPr>
          <c:cat>
            <c:numRef>
              <c:f>'TS - Company Revenue Projection'!$B$4:$H$4</c:f>
              <c:numCache>
                <c:formatCode>General</c:formatCode>
                <c:ptCount val="7"/>
                <c:pt idx="0">
                  <c:v>2024</c:v>
                </c:pt>
                <c:pt idx="1">
                  <c:v>2025</c:v>
                </c:pt>
                <c:pt idx="2">
                  <c:v>2026</c:v>
                </c:pt>
                <c:pt idx="3">
                  <c:v>2027</c:v>
                </c:pt>
                <c:pt idx="4">
                  <c:v>2028</c:v>
                </c:pt>
                <c:pt idx="5">
                  <c:v>2029</c:v>
                </c:pt>
                <c:pt idx="6">
                  <c:v>2030</c:v>
                </c:pt>
              </c:numCache>
            </c:numRef>
          </c:cat>
          <c:val>
            <c:numRef>
              <c:f>'TS - Company Revenue Projection'!$B$5:$H$5</c:f>
              <c:numCache>
                <c:formatCode>General</c:formatCode>
                <c:ptCount val="7"/>
                <c:pt idx="0">
                  <c:v>3.4</c:v>
                </c:pt>
                <c:pt idx="1">
                  <c:v>12.7</c:v>
                </c:pt>
                <c:pt idx="2">
                  <c:v>29</c:v>
                </c:pt>
                <c:pt idx="3">
                  <c:v>50</c:v>
                </c:pt>
                <c:pt idx="4">
                  <c:v>75</c:v>
                </c:pt>
                <c:pt idx="5">
                  <c:v>100</c:v>
                </c:pt>
                <c:pt idx="6">
                  <c:v>130</c:v>
                </c:pt>
              </c:numCache>
            </c:numRef>
          </c:val>
        </c:ser>
        <c:ser>
          <c:idx val="1"/>
          <c:order val="1"/>
          <c:tx>
            <c:strRef>
              <c:f>'TS - Company Revenue Projection'!$A$6</c:f>
              <c:strCache>
                <c:ptCount val="1"/>
                <c:pt idx="0">
                  <c:v>Anthropic Revenue ($B)</c:v>
                </c:pt>
              </c:strCache>
            </c:strRef>
          </c:tx>
          <c:spPr>
            <a:solidFill>
              <a:srgbClr val="3B82F6">
                <a:alpha val="40000"/>
              </a:srgbClr>
            </a:solidFill>
            <a:ln w="31750">
              <a:solidFill>
                <a:srgbClr val="3B82F6"/>
              </a:solidFill>
            </a:ln>
          </c:spPr>
          <c:cat>
            <c:numRef>
              <c:f>'TS - Company Revenue Projection'!$B$4:$H$4</c:f>
              <c:numCache>
                <c:formatCode>General</c:formatCode>
                <c:ptCount val="7"/>
                <c:pt idx="0">
                  <c:v>2024</c:v>
                </c:pt>
                <c:pt idx="1">
                  <c:v>2025</c:v>
                </c:pt>
                <c:pt idx="2">
                  <c:v>2026</c:v>
                </c:pt>
                <c:pt idx="3">
                  <c:v>2027</c:v>
                </c:pt>
                <c:pt idx="4">
                  <c:v>2028</c:v>
                </c:pt>
                <c:pt idx="5">
                  <c:v>2029</c:v>
                </c:pt>
                <c:pt idx="6">
                  <c:v>2030</c:v>
                </c:pt>
              </c:numCache>
            </c:numRef>
          </c:cat>
          <c:val>
            <c:numRef>
              <c:f>'TS - Company Revenue Projection'!$B$6:$H$6</c:f>
              <c:numCache>
                <c:formatCode>General</c:formatCode>
                <c:ptCount val="7"/>
                <c:pt idx="0">
                  <c:v>0.5</c:v>
                </c:pt>
                <c:pt idx="1">
                  <c:v>2.5</c:v>
                </c:pt>
                <c:pt idx="2">
                  <c:v>6</c:v>
                </c:pt>
                <c:pt idx="3">
                  <c:v>12</c:v>
                </c:pt>
                <c:pt idx="4">
                  <c:v>20</c:v>
                </c:pt>
                <c:pt idx="5">
                  <c:v>30</c:v>
                </c:pt>
                <c:pt idx="6">
                  <c:v>42</c:v>
                </c:pt>
              </c:numCache>
            </c:numRef>
          </c:val>
        </c:ser>
        <c:ser>
          <c:idx val="2"/>
          <c:order val="2"/>
          <c:tx>
            <c:strRef>
              <c:f>'TS - Company Revenue Projection'!$A$7</c:f>
              <c:strCache>
                <c:ptCount val="1"/>
                <c:pt idx="0">
                  <c:v>Google AI Agent Revenue ($B)</c:v>
                </c:pt>
              </c:strCache>
            </c:strRef>
          </c:tx>
          <c:spPr>
            <a:solidFill>
              <a:srgbClr val="10B981">
                <a:alpha val="40000"/>
              </a:srgbClr>
            </a:solidFill>
            <a:ln w="31750">
              <a:solidFill>
                <a:srgbClr val="10B981"/>
              </a:solidFill>
            </a:ln>
          </c:spPr>
          <c:cat>
            <c:numRef>
              <c:f>'TS - Company Revenue Projection'!$B$4:$H$4</c:f>
              <c:numCache>
                <c:formatCode>General</c:formatCode>
                <c:ptCount val="7"/>
                <c:pt idx="0">
                  <c:v>2024</c:v>
                </c:pt>
                <c:pt idx="1">
                  <c:v>2025</c:v>
                </c:pt>
                <c:pt idx="2">
                  <c:v>2026</c:v>
                </c:pt>
                <c:pt idx="3">
                  <c:v>2027</c:v>
                </c:pt>
                <c:pt idx="4">
                  <c:v>2028</c:v>
                </c:pt>
                <c:pt idx="5">
                  <c:v>2029</c:v>
                </c:pt>
                <c:pt idx="6">
                  <c:v>2030</c:v>
                </c:pt>
              </c:numCache>
            </c:numRef>
          </c:cat>
          <c:val>
            <c:numRef>
              <c:f>'TS - Company Revenue Projection'!$B$7:$H$7</c:f>
              <c:numCache>
                <c:formatCode>General</c:formatCode>
                <c:ptCount val="7"/>
                <c:pt idx="0">
                  <c:v>1</c:v>
                </c:pt>
                <c:pt idx="1">
                  <c:v>4</c:v>
                </c:pt>
                <c:pt idx="2">
                  <c:v>10</c:v>
                </c:pt>
                <c:pt idx="3">
                  <c:v>20</c:v>
                </c:pt>
                <c:pt idx="4">
                  <c:v>35</c:v>
                </c:pt>
                <c:pt idx="5">
                  <c:v>52</c:v>
                </c:pt>
                <c:pt idx="6">
                  <c:v>70</c:v>
                </c:pt>
              </c:numCache>
            </c:numRef>
          </c:val>
        </c:ser>
        <c:ser>
          <c:idx val="3"/>
          <c:order val="3"/>
          <c:tx>
            <c:strRef>
              <c:f>'TS - Company Revenue Projection'!$A$8</c:f>
              <c:strCache>
                <c:ptCount val="1"/>
                <c:pt idx="0">
                  <c:v>Microsoft Copilot Revenue ($B)</c:v>
                </c:pt>
              </c:strCache>
            </c:strRef>
          </c:tx>
          <c:spPr>
            <a:solidFill>
              <a:srgbClr val="F59E0B">
                <a:alpha val="40000"/>
              </a:srgbClr>
            </a:solidFill>
            <a:ln w="31750">
              <a:solidFill>
                <a:srgbClr val="F59E0B"/>
              </a:solidFill>
            </a:ln>
          </c:spPr>
          <c:cat>
            <c:numRef>
              <c:f>'TS - Company Revenue Projection'!$B$4:$H$4</c:f>
              <c:numCache>
                <c:formatCode>General</c:formatCode>
                <c:ptCount val="7"/>
                <c:pt idx="0">
                  <c:v>2024</c:v>
                </c:pt>
                <c:pt idx="1">
                  <c:v>2025</c:v>
                </c:pt>
                <c:pt idx="2">
                  <c:v>2026</c:v>
                </c:pt>
                <c:pt idx="3">
                  <c:v>2027</c:v>
                </c:pt>
                <c:pt idx="4">
                  <c:v>2028</c:v>
                </c:pt>
                <c:pt idx="5">
                  <c:v>2029</c:v>
                </c:pt>
                <c:pt idx="6">
                  <c:v>2030</c:v>
                </c:pt>
              </c:numCache>
            </c:numRef>
          </c:cat>
          <c:val>
            <c:numRef>
              <c:f>'TS - Company Revenue Projection'!$B$8:$H$8</c:f>
              <c:numCache>
                <c:formatCode>General</c:formatCode>
                <c:ptCount val="7"/>
                <c:pt idx="0">
                  <c:v>2</c:v>
                </c:pt>
                <c:pt idx="1">
                  <c:v>8</c:v>
                </c:pt>
                <c:pt idx="2">
                  <c:v>18</c:v>
                </c:pt>
                <c:pt idx="3">
                  <c:v>32</c:v>
                </c:pt>
                <c:pt idx="4">
                  <c:v>48</c:v>
                </c:pt>
                <c:pt idx="5">
                  <c:v>65</c:v>
                </c:pt>
                <c:pt idx="6">
                  <c:v>85</c:v>
                </c:pt>
              </c:numCache>
            </c:numRef>
          </c:val>
        </c:ser>
        <c:ser>
          <c:idx val="4"/>
          <c:order val="4"/>
          <c:tx>
            <c:strRef>
              <c:f>'TS - Company Revenue Projection'!$A$9</c:f>
              <c:strCache>
                <c:ptCount val="1"/>
                <c:pt idx="0">
                  <c:v>Salesforce Agentforce Revenue ($B)</c:v>
                </c:pt>
              </c:strCache>
            </c:strRef>
          </c:tx>
          <c:spPr>
            <a:solidFill>
              <a:srgbClr val="8B5CF6">
                <a:alpha val="40000"/>
              </a:srgbClr>
            </a:solidFill>
            <a:ln w="31750">
              <a:solidFill>
                <a:srgbClr val="8B5CF6"/>
              </a:solidFill>
            </a:ln>
          </c:spPr>
          <c:cat>
            <c:numRef>
              <c:f>'TS - Company Revenue Projection'!$B$4:$H$4</c:f>
              <c:numCache>
                <c:formatCode>General</c:formatCode>
                <c:ptCount val="7"/>
                <c:pt idx="0">
                  <c:v>2024</c:v>
                </c:pt>
                <c:pt idx="1">
                  <c:v>2025</c:v>
                </c:pt>
                <c:pt idx="2">
                  <c:v>2026</c:v>
                </c:pt>
                <c:pt idx="3">
                  <c:v>2027</c:v>
                </c:pt>
                <c:pt idx="4">
                  <c:v>2028</c:v>
                </c:pt>
                <c:pt idx="5">
                  <c:v>2029</c:v>
                </c:pt>
                <c:pt idx="6">
                  <c:v>2030</c:v>
                </c:pt>
              </c:numCache>
            </c:numRef>
          </c:cat>
          <c:val>
            <c:numRef>
              <c:f>'TS - Company Revenue Projection'!$B$9:$H$9</c:f>
              <c:numCache>
                <c:formatCode>General</c:formatCode>
                <c:ptCount val="7"/>
                <c:pt idx="0">
                  <c:v>0.2</c:v>
                </c:pt>
                <c:pt idx="1">
                  <c:v>1.5</c:v>
                </c:pt>
                <c:pt idx="2">
                  <c:v>4</c:v>
                </c:pt>
                <c:pt idx="3">
                  <c:v>8</c:v>
                </c:pt>
                <c:pt idx="4">
                  <c:v>14</c:v>
                </c:pt>
                <c:pt idx="5">
                  <c:v>22</c:v>
                </c:pt>
                <c:pt idx="6">
                  <c:v>32</c:v>
                </c:pt>
              </c:numCache>
            </c:numRef>
          </c:val>
        </c:ser>
        <c:ser>
          <c:idx val="5"/>
          <c:order val="5"/>
          <c:tx>
            <c:strRef>
              <c:f>'TS - Company Revenue Projection'!$A$10</c:f>
              <c:strCache>
                <c:ptCount val="1"/>
                <c:pt idx="0">
                  <c:v>Cursor/Anysphere Revenue ($B)</c:v>
                </c:pt>
              </c:strCache>
            </c:strRef>
          </c:tx>
          <c:spPr>
            <a:solidFill>
              <a:srgbClr val="EC4899">
                <a:alpha val="40000"/>
              </a:srgbClr>
            </a:solidFill>
            <a:ln w="31750">
              <a:solidFill>
                <a:srgbClr val="EC4899"/>
              </a:solidFill>
            </a:ln>
          </c:spPr>
          <c:cat>
            <c:numRef>
              <c:f>'TS - Company Revenue Projection'!$B$4:$H$4</c:f>
              <c:numCache>
                <c:formatCode>General</c:formatCode>
                <c:ptCount val="7"/>
                <c:pt idx="0">
                  <c:v>2024</c:v>
                </c:pt>
                <c:pt idx="1">
                  <c:v>2025</c:v>
                </c:pt>
                <c:pt idx="2">
                  <c:v>2026</c:v>
                </c:pt>
                <c:pt idx="3">
                  <c:v>2027</c:v>
                </c:pt>
                <c:pt idx="4">
                  <c:v>2028</c:v>
                </c:pt>
                <c:pt idx="5">
                  <c:v>2029</c:v>
                </c:pt>
                <c:pt idx="6">
                  <c:v>2030</c:v>
                </c:pt>
              </c:numCache>
            </c:numRef>
          </c:cat>
          <c:val>
            <c:numRef>
              <c:f>'TS - Company Revenue Projection'!$B$10:$H$10</c:f>
              <c:numCache>
                <c:formatCode>General</c:formatCode>
                <c:ptCount val="7"/>
                <c:pt idx="0">
                  <c:v>0.1</c:v>
                </c:pt>
                <c:pt idx="1">
                  <c:v>0.5</c:v>
                </c:pt>
                <c:pt idx="2">
                  <c:v>1.2</c:v>
                </c:pt>
                <c:pt idx="3">
                  <c:v>2.5</c:v>
                </c:pt>
                <c:pt idx="4">
                  <c:v>5</c:v>
                </c:pt>
                <c:pt idx="5">
                  <c:v>8</c:v>
                </c:pt>
                <c:pt idx="6">
                  <c:v>12</c:v>
                </c:pt>
              </c:numCache>
            </c:numRef>
          </c:val>
        </c:ser>
        <c:ser>
          <c:idx val="6"/>
          <c:order val="6"/>
          <c:tx>
            <c:strRef>
              <c:f>'TS - Company Revenue Projection'!$A$11</c:f>
              <c:strCache>
                <c:ptCount val="1"/>
                <c:pt idx="0">
                  <c:v>Other Agent Companies ($B)</c:v>
                </c:pt>
              </c:strCache>
            </c:strRef>
          </c:tx>
          <c:spPr>
            <a:solidFill>
              <a:srgbClr val="6366F1">
                <a:alpha val="40000"/>
              </a:srgbClr>
            </a:solidFill>
            <a:ln w="31750">
              <a:solidFill>
                <a:srgbClr val="6366F1"/>
              </a:solidFill>
            </a:ln>
          </c:spPr>
          <c:cat>
            <c:numRef>
              <c:f>'TS - Company Revenue Projection'!$B$4:$H$4</c:f>
              <c:numCache>
                <c:formatCode>General</c:formatCode>
                <c:ptCount val="7"/>
                <c:pt idx="0">
                  <c:v>2024</c:v>
                </c:pt>
                <c:pt idx="1">
                  <c:v>2025</c:v>
                </c:pt>
                <c:pt idx="2">
                  <c:v>2026</c:v>
                </c:pt>
                <c:pt idx="3">
                  <c:v>2027</c:v>
                </c:pt>
                <c:pt idx="4">
                  <c:v>2028</c:v>
                </c:pt>
                <c:pt idx="5">
                  <c:v>2029</c:v>
                </c:pt>
                <c:pt idx="6">
                  <c:v>2030</c:v>
                </c:pt>
              </c:numCache>
            </c:numRef>
          </c:cat>
          <c:val>
            <c:numRef>
              <c:f>'TS - Company Revenue Projection'!$B$11:$H$11</c:f>
              <c:numCache>
                <c:formatCode>General</c:formatCode>
                <c:ptCount val="7"/>
                <c:pt idx="0">
                  <c:v>0.5</c:v>
                </c:pt>
                <c:pt idx="1">
                  <c:v>2</c:v>
                </c:pt>
                <c:pt idx="2">
                  <c:v>6</c:v>
                </c:pt>
                <c:pt idx="3">
                  <c:v>15</c:v>
                </c:pt>
                <c:pt idx="4">
                  <c:v>30</c:v>
                </c:pt>
                <c:pt idx="5">
                  <c:v>50</c:v>
                </c:pt>
                <c:pt idx="6">
                  <c:v>80</c:v>
                </c:pt>
              </c:numCache>
            </c:numRef>
          </c:val>
        </c:ser>
        <c:axId val="50090001"/>
        <c:axId val="50090002"/>
      </c:areaChart>
      <c:catAx>
        <c:axId val="50090001"/>
        <c:scaling>
          <c:orientation val="minMax"/>
        </c:scaling>
        <c:axPos val="b"/>
        <c:title>
          <c:tx>
            <c:rich>
              <a:bodyPr/>
              <a:lstStyle/>
              <a:p>
                <a:pPr>
                  <a:defRPr/>
                </a:pPr>
                <a:r>
                  <a:rPr lang="en-US"/>
                  <a:t>Year</a:t>
                </a:r>
              </a:p>
            </c:rich>
          </c:tx>
          <c:layout/>
        </c:title>
        <c:numFmt formatCode="0" sourceLinked="0"/>
        <c:tickLblPos val="nextTo"/>
        <c:crossAx val="50090002"/>
        <c:crosses val="autoZero"/>
        <c:auto val="1"/>
        <c:lblAlgn val="ctr"/>
        <c:lblOffset val="100"/>
      </c:catAx>
      <c:valAx>
        <c:axId val="50090002"/>
        <c:scaling>
          <c:orientation val="minMax"/>
        </c:scaling>
        <c:axPos val="l"/>
        <c:majorGridlines/>
        <c:title>
          <c:tx>
            <c:rich>
              <a:bodyPr rot="-5400000" vert="horz"/>
              <a:lstStyle/>
              <a:p>
                <a:pPr>
                  <a:defRPr/>
                </a:pPr>
                <a:r>
                  <a:rPr lang="en-US"/>
                  <a:t>Company Revenue Projections</a:t>
                </a:r>
              </a:p>
            </c:rich>
          </c:tx>
          <c:layout/>
        </c:title>
        <c:numFmt formatCode="General" sourceLinked="1"/>
        <c:tickLblPos val="nextTo"/>
        <c:crossAx val="50090001"/>
        <c:crosses val="autoZero"/>
        <c:crossBetween val="midCat"/>
      </c:valAx>
    </c:plotArea>
    <c:legend>
      <c:legendPos val="b"/>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41</xdr:row>
      <xdr:rowOff>0</xdr:rowOff>
    </xdr:from>
    <xdr:to>
      <xdr:col>4</xdr:col>
      <xdr:colOff>533400</xdr:colOff>
      <xdr:row>61</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43</xdr:row>
      <xdr:rowOff>0</xdr:rowOff>
    </xdr:from>
    <xdr:to>
      <xdr:col>5</xdr:col>
      <xdr:colOff>114300</xdr:colOff>
      <xdr:row>65</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21</xdr:row>
      <xdr:rowOff>0</xdr:rowOff>
    </xdr:from>
    <xdr:to>
      <xdr:col>6</xdr:col>
      <xdr:colOff>419100</xdr:colOff>
      <xdr:row>46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21</xdr:row>
      <xdr:rowOff>0</xdr:rowOff>
    </xdr:from>
    <xdr:to>
      <xdr:col>6</xdr:col>
      <xdr:colOff>419100</xdr:colOff>
      <xdr:row>46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17</xdr:row>
      <xdr:rowOff>0</xdr:rowOff>
    </xdr:from>
    <xdr:to>
      <xdr:col>6</xdr:col>
      <xdr:colOff>419100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17</xdr:row>
      <xdr:rowOff>0</xdr:rowOff>
    </xdr:from>
    <xdr:to>
      <xdr:col>6</xdr:col>
      <xdr:colOff>419100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17</xdr:row>
      <xdr:rowOff>0</xdr:rowOff>
    </xdr:from>
    <xdr:to>
      <xdr:col>6</xdr:col>
      <xdr:colOff>419100</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15</xdr:row>
      <xdr:rowOff>0</xdr:rowOff>
    </xdr:from>
    <xdr:to>
      <xdr:col>6</xdr:col>
      <xdr:colOff>419100</xdr:colOff>
      <xdr:row>40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23</xdr:row>
      <xdr:rowOff>0</xdr:rowOff>
    </xdr:from>
    <xdr:to>
      <xdr:col>6</xdr:col>
      <xdr:colOff>419100</xdr:colOff>
      <xdr:row>48</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sheetPr>
    <tabColor rgb="FF3B82F6"/>
    <pageSetUpPr fitToPage="1"/>
  </sheetPr>
  <dimension ref="A1:L26"/>
  <sheetViews>
    <sheetView showGridLines="0" tabSelected="1"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2.7109375" customWidth="1"/>
    <col min="2" max="2" width="24.7109375" customWidth="1"/>
    <col min="3" max="3" width="8.7109375" customWidth="1"/>
    <col min="4" max="4" width="28.7109375" customWidth="1"/>
    <col min="5" max="5" width="50.7109375" customWidth="1"/>
    <col min="6" max="6" width="16.7109375" customWidth="1"/>
    <col min="7" max="8" width="18.7109375" customWidth="1"/>
    <col min="9" max="9" width="12.7109375" customWidth="1"/>
    <col min="10" max="10" width="30.7109375" customWidth="1"/>
    <col min="11" max="11" width="55.7109375" customWidth="1"/>
    <col min="12" max="12" width="16.7109375" customWidth="1"/>
  </cols>
  <sheetData>
    <row r="1" spans="1:12">
      <c r="A1" s="1" t="s">
        <v>0</v>
      </c>
      <c r="B1" s="1"/>
      <c r="C1" s="1"/>
      <c r="D1" s="1"/>
      <c r="E1" s="1"/>
      <c r="F1" s="1"/>
      <c r="G1" s="1"/>
      <c r="H1" s="1"/>
      <c r="I1" s="1"/>
      <c r="J1" s="1"/>
      <c r="K1" s="1"/>
      <c r="L1" s="1"/>
    </row>
    <row r="2" spans="1:12">
      <c r="A2" s="2" t="s">
        <v>1</v>
      </c>
      <c r="B2" s="2"/>
      <c r="C2" s="2"/>
      <c r="D2" s="2"/>
      <c r="E2" s="2"/>
      <c r="F2" s="2"/>
      <c r="G2" s="2"/>
      <c r="H2" s="2"/>
      <c r="I2" s="2"/>
      <c r="J2" s="2"/>
      <c r="K2" s="2"/>
      <c r="L2" s="2"/>
    </row>
    <row r="4" spans="1:12" ht="35" customHeight="1">
      <c r="A4" s="3" t="s">
        <v>2</v>
      </c>
      <c r="B4" s="3" t="s">
        <v>3</v>
      </c>
      <c r="C4" s="3" t="s">
        <v>4</v>
      </c>
      <c r="D4" s="3" t="s">
        <v>5</v>
      </c>
      <c r="E4" s="3" t="s">
        <v>6</v>
      </c>
      <c r="F4" s="3" t="s">
        <v>7</v>
      </c>
      <c r="G4" s="3" t="s">
        <v>8</v>
      </c>
      <c r="H4" s="3" t="s">
        <v>9</v>
      </c>
      <c r="I4" s="3" t="s">
        <v>10</v>
      </c>
      <c r="J4" s="3" t="s">
        <v>11</v>
      </c>
      <c r="K4" s="3" t="s">
        <v>12</v>
      </c>
      <c r="L4" s="3" t="s">
        <v>13</v>
      </c>
    </row>
    <row r="5" spans="1:12" ht="30" customHeight="1">
      <c r="A5" s="4" t="s">
        <v>14</v>
      </c>
      <c r="B5" s="4" t="s">
        <v>15</v>
      </c>
      <c r="C5" s="5">
        <v>2015</v>
      </c>
      <c r="D5" s="4" t="s">
        <v>16</v>
      </c>
      <c r="E5" s="4" t="s">
        <v>17</v>
      </c>
      <c r="F5" s="6">
        <v>300</v>
      </c>
      <c r="G5" s="6">
        <v>12.7</v>
      </c>
      <c r="H5" s="6">
        <v>29</v>
      </c>
      <c r="I5" s="5">
        <v>3700</v>
      </c>
      <c r="J5" s="4" t="s">
        <v>18</v>
      </c>
      <c r="K5" s="4" t="s">
        <v>19</v>
      </c>
      <c r="L5" s="6">
        <v>40</v>
      </c>
    </row>
    <row r="6" spans="1:12" ht="30" customHeight="1">
      <c r="A6" s="7" t="s">
        <v>20</v>
      </c>
      <c r="B6" s="7" t="s">
        <v>15</v>
      </c>
      <c r="C6" s="8">
        <v>2021</v>
      </c>
      <c r="D6" s="7" t="s">
        <v>16</v>
      </c>
      <c r="E6" s="7" t="s">
        <v>21</v>
      </c>
      <c r="F6" s="9">
        <v>61.5</v>
      </c>
      <c r="G6" s="9">
        <v>2.5</v>
      </c>
      <c r="H6" s="9">
        <v>6</v>
      </c>
      <c r="I6" s="8">
        <v>1200</v>
      </c>
      <c r="J6" s="7" t="s">
        <v>22</v>
      </c>
      <c r="K6" s="7" t="s">
        <v>23</v>
      </c>
      <c r="L6" s="9">
        <v>13.7</v>
      </c>
    </row>
    <row r="7" spans="1:12" ht="30" customHeight="1">
      <c r="A7" s="4" t="s">
        <v>24</v>
      </c>
      <c r="B7" s="4" t="s">
        <v>25</v>
      </c>
      <c r="C7" s="5">
        <v>2023</v>
      </c>
      <c r="D7" s="4" t="s">
        <v>26</v>
      </c>
      <c r="E7" s="4" t="s">
        <v>27</v>
      </c>
      <c r="F7" s="4" t="s">
        <v>28</v>
      </c>
      <c r="G7" s="4" t="s">
        <v>28</v>
      </c>
      <c r="H7" s="4" t="s">
        <v>28</v>
      </c>
      <c r="I7" s="5">
        <v>4000</v>
      </c>
      <c r="J7" s="4" t="s">
        <v>29</v>
      </c>
      <c r="K7" s="4" t="s">
        <v>30</v>
      </c>
      <c r="L7" s="4" t="s">
        <v>28</v>
      </c>
    </row>
    <row r="8" spans="1:12" ht="30" customHeight="1">
      <c r="A8" s="7" t="s">
        <v>31</v>
      </c>
      <c r="B8" s="7" t="s">
        <v>32</v>
      </c>
      <c r="C8" s="8">
        <v>1975</v>
      </c>
      <c r="D8" s="7" t="s">
        <v>33</v>
      </c>
      <c r="E8" s="7" t="s">
        <v>34</v>
      </c>
      <c r="F8" s="7" t="s">
        <v>28</v>
      </c>
      <c r="G8" s="7" t="s">
        <v>28</v>
      </c>
      <c r="H8" s="7" t="s">
        <v>28</v>
      </c>
      <c r="I8" s="8">
        <v>228000</v>
      </c>
      <c r="J8" s="7" t="s">
        <v>35</v>
      </c>
      <c r="K8" s="7" t="s">
        <v>36</v>
      </c>
      <c r="L8" s="7" t="s">
        <v>28</v>
      </c>
    </row>
    <row r="9" spans="1:12" ht="30" customHeight="1">
      <c r="A9" s="4" t="s">
        <v>37</v>
      </c>
      <c r="B9" s="4" t="s">
        <v>15</v>
      </c>
      <c r="C9" s="5">
        <v>1999</v>
      </c>
      <c r="D9" s="4" t="s">
        <v>38</v>
      </c>
      <c r="E9" s="4" t="s">
        <v>39</v>
      </c>
      <c r="F9" s="4" t="s">
        <v>28</v>
      </c>
      <c r="G9" s="6">
        <v>1.5</v>
      </c>
      <c r="H9" s="6">
        <v>4</v>
      </c>
      <c r="I9" s="5">
        <v>72000</v>
      </c>
      <c r="J9" s="4" t="s">
        <v>40</v>
      </c>
      <c r="K9" s="4" t="s">
        <v>41</v>
      </c>
      <c r="L9" s="4" t="s">
        <v>28</v>
      </c>
    </row>
    <row r="10" spans="1:12" ht="30" customHeight="1">
      <c r="A10" s="7" t="s">
        <v>42</v>
      </c>
      <c r="B10" s="7" t="s">
        <v>15</v>
      </c>
      <c r="C10" s="8">
        <v>2022</v>
      </c>
      <c r="D10" s="7" t="s">
        <v>43</v>
      </c>
      <c r="E10" s="7" t="s">
        <v>44</v>
      </c>
      <c r="F10" s="9">
        <v>10</v>
      </c>
      <c r="G10" s="9">
        <v>0.5</v>
      </c>
      <c r="H10" s="9">
        <v>1.2</v>
      </c>
      <c r="I10" s="8">
        <v>100</v>
      </c>
      <c r="J10" s="7" t="s">
        <v>45</v>
      </c>
      <c r="K10" s="7" t="s">
        <v>46</v>
      </c>
      <c r="L10" s="9">
        <v>0.9</v>
      </c>
    </row>
    <row r="11" spans="1:12" ht="30" customHeight="1">
      <c r="A11" s="4" t="s">
        <v>47</v>
      </c>
      <c r="B11" s="4" t="s">
        <v>15</v>
      </c>
      <c r="C11" s="5">
        <v>2023</v>
      </c>
      <c r="D11" s="4" t="s">
        <v>48</v>
      </c>
      <c r="E11" s="4" t="s">
        <v>49</v>
      </c>
      <c r="F11" s="6">
        <v>3</v>
      </c>
      <c r="G11" s="6">
        <v>0.05</v>
      </c>
      <c r="H11" s="6">
        <v>0.2</v>
      </c>
      <c r="I11" s="5">
        <v>50</v>
      </c>
      <c r="J11" s="4" t="s">
        <v>50</v>
      </c>
      <c r="K11" s="4" t="s">
        <v>51</v>
      </c>
      <c r="L11" s="6">
        <v>0.2</v>
      </c>
    </row>
    <row r="12" spans="1:12" ht="30" customHeight="1">
      <c r="A12" s="7" t="s">
        <v>52</v>
      </c>
      <c r="B12" s="7" t="s">
        <v>15</v>
      </c>
      <c r="C12" s="8">
        <v>2022</v>
      </c>
      <c r="D12" s="7" t="s">
        <v>53</v>
      </c>
      <c r="E12" s="7" t="s">
        <v>54</v>
      </c>
      <c r="F12" s="9">
        <v>2</v>
      </c>
      <c r="G12" s="9">
        <v>0.04</v>
      </c>
      <c r="H12" s="9">
        <v>0.12</v>
      </c>
      <c r="I12" s="8">
        <v>120</v>
      </c>
      <c r="J12" s="7" t="s">
        <v>55</v>
      </c>
      <c r="K12" s="7" t="s">
        <v>56</v>
      </c>
      <c r="L12" s="9">
        <v>0.035</v>
      </c>
    </row>
    <row r="13" spans="1:12" ht="30" customHeight="1">
      <c r="A13" s="4" t="s">
        <v>57</v>
      </c>
      <c r="B13" s="4" t="s">
        <v>15</v>
      </c>
      <c r="C13" s="5">
        <v>2023</v>
      </c>
      <c r="D13" s="4" t="s">
        <v>58</v>
      </c>
      <c r="E13" s="4" t="s">
        <v>59</v>
      </c>
      <c r="F13" s="6">
        <v>0.5</v>
      </c>
      <c r="G13" s="6">
        <v>0.01</v>
      </c>
      <c r="H13" s="6">
        <v>0.05</v>
      </c>
      <c r="I13" s="5">
        <v>40</v>
      </c>
      <c r="J13" s="4" t="s">
        <v>55</v>
      </c>
      <c r="K13" s="4" t="s">
        <v>60</v>
      </c>
      <c r="L13" s="6">
        <v>0.018</v>
      </c>
    </row>
    <row r="14" spans="1:12" ht="30" customHeight="1">
      <c r="A14" s="7" t="s">
        <v>61</v>
      </c>
      <c r="B14" s="7" t="s">
        <v>15</v>
      </c>
      <c r="C14" s="8">
        <v>2022</v>
      </c>
      <c r="D14" s="7" t="s">
        <v>62</v>
      </c>
      <c r="E14" s="7" t="s">
        <v>63</v>
      </c>
      <c r="F14" s="9">
        <v>1.1</v>
      </c>
      <c r="G14" s="9">
        <v>0.02</v>
      </c>
      <c r="H14" s="9">
        <v>0.08</v>
      </c>
      <c r="I14" s="8">
        <v>80</v>
      </c>
      <c r="J14" s="7" t="s">
        <v>64</v>
      </c>
      <c r="K14" s="7" t="s">
        <v>65</v>
      </c>
      <c r="L14" s="9">
        <v>0.415</v>
      </c>
    </row>
    <row r="15" spans="1:12" ht="30" customHeight="1">
      <c r="A15" s="4" t="s">
        <v>66</v>
      </c>
      <c r="B15" s="4" t="s">
        <v>15</v>
      </c>
      <c r="C15" s="5">
        <v>2016</v>
      </c>
      <c r="D15" s="4" t="s">
        <v>67</v>
      </c>
      <c r="E15" s="4" t="s">
        <v>68</v>
      </c>
      <c r="F15" s="6">
        <v>1.16</v>
      </c>
      <c r="G15" s="6">
        <v>0.1</v>
      </c>
      <c r="H15" s="6">
        <v>0.3</v>
      </c>
      <c r="I15" s="5">
        <v>200</v>
      </c>
      <c r="J15" s="4" t="s">
        <v>69</v>
      </c>
      <c r="K15" s="4" t="s">
        <v>70</v>
      </c>
      <c r="L15" s="6">
        <v>0.222</v>
      </c>
    </row>
    <row r="16" spans="1:12" ht="30" customHeight="1">
      <c r="A16" s="7" t="s">
        <v>71</v>
      </c>
      <c r="B16" s="7" t="s">
        <v>72</v>
      </c>
      <c r="C16" s="8">
        <v>2019</v>
      </c>
      <c r="D16" s="7" t="s">
        <v>73</v>
      </c>
      <c r="E16" s="7" t="s">
        <v>74</v>
      </c>
      <c r="F16" s="9">
        <v>5.5</v>
      </c>
      <c r="G16" s="9">
        <v>0.06</v>
      </c>
      <c r="H16" s="9">
        <v>0.2</v>
      </c>
      <c r="I16" s="8">
        <v>450</v>
      </c>
      <c r="J16" s="7" t="s">
        <v>75</v>
      </c>
      <c r="K16" s="7" t="s">
        <v>76</v>
      </c>
      <c r="L16" s="9">
        <v>0.97</v>
      </c>
    </row>
    <row r="17" spans="1:12" ht="30" customHeight="1">
      <c r="A17" s="4" t="s">
        <v>77</v>
      </c>
      <c r="B17" s="4" t="s">
        <v>78</v>
      </c>
      <c r="C17" s="5">
        <v>2023</v>
      </c>
      <c r="D17" s="4" t="s">
        <v>79</v>
      </c>
      <c r="E17" s="4" t="s">
        <v>80</v>
      </c>
      <c r="F17" s="6">
        <v>6.2</v>
      </c>
      <c r="G17" s="6">
        <v>0.05</v>
      </c>
      <c r="H17" s="6">
        <v>0.2</v>
      </c>
      <c r="I17" s="5">
        <v>100</v>
      </c>
      <c r="J17" s="4" t="s">
        <v>81</v>
      </c>
      <c r="K17" s="4" t="s">
        <v>82</v>
      </c>
      <c r="L17" s="6">
        <v>1.1</v>
      </c>
    </row>
    <row r="18" spans="1:12" ht="30" customHeight="1">
      <c r="A18" s="7" t="s">
        <v>83</v>
      </c>
      <c r="B18" s="7" t="s">
        <v>15</v>
      </c>
      <c r="C18" s="8">
        <v>2022</v>
      </c>
      <c r="D18" s="7" t="s">
        <v>84</v>
      </c>
      <c r="E18" s="7" t="s">
        <v>85</v>
      </c>
      <c r="F18" s="9">
        <v>9</v>
      </c>
      <c r="G18" s="9">
        <v>0.15</v>
      </c>
      <c r="H18" s="9">
        <v>0.5</v>
      </c>
      <c r="I18" s="8">
        <v>200</v>
      </c>
      <c r="J18" s="7" t="s">
        <v>86</v>
      </c>
      <c r="K18" s="7" t="s">
        <v>87</v>
      </c>
      <c r="L18" s="9">
        <v>0.9</v>
      </c>
    </row>
    <row r="19" spans="1:12" ht="30" customHeight="1">
      <c r="A19" s="4" t="s">
        <v>88</v>
      </c>
      <c r="B19" s="4" t="s">
        <v>89</v>
      </c>
      <c r="C19" s="5">
        <v>2020</v>
      </c>
      <c r="D19" s="4" t="s">
        <v>90</v>
      </c>
      <c r="E19" s="4" t="s">
        <v>91</v>
      </c>
      <c r="F19" s="6">
        <v>0.7</v>
      </c>
      <c r="G19" s="6">
        <v>0.03</v>
      </c>
      <c r="H19" s="6">
        <v>0.1</v>
      </c>
      <c r="I19" s="5">
        <v>70</v>
      </c>
      <c r="J19" s="4" t="s">
        <v>92</v>
      </c>
      <c r="K19" s="4" t="s">
        <v>93</v>
      </c>
      <c r="L19" s="6">
        <v>0.165</v>
      </c>
    </row>
    <row r="20" spans="1:12" ht="30" customHeight="1">
      <c r="A20" s="7" t="s">
        <v>94</v>
      </c>
      <c r="B20" s="7" t="s">
        <v>15</v>
      </c>
      <c r="C20" s="8">
        <v>2023</v>
      </c>
      <c r="D20" s="7" t="s">
        <v>95</v>
      </c>
      <c r="E20" s="7" t="s">
        <v>96</v>
      </c>
      <c r="F20" s="9">
        <v>4.5</v>
      </c>
      <c r="G20" s="9">
        <v>0.03</v>
      </c>
      <c r="H20" s="9">
        <v>0.12</v>
      </c>
      <c r="I20" s="8">
        <v>100</v>
      </c>
      <c r="J20" s="7" t="s">
        <v>97</v>
      </c>
      <c r="K20" s="7" t="s">
        <v>98</v>
      </c>
      <c r="L20" s="9">
        <v>0.285</v>
      </c>
    </row>
    <row r="21" spans="1:12" ht="30" customHeight="1">
      <c r="A21" s="4" t="s">
        <v>99</v>
      </c>
      <c r="B21" s="4" t="s">
        <v>100</v>
      </c>
      <c r="C21" s="5">
        <v>2022</v>
      </c>
      <c r="D21" s="4" t="s">
        <v>101</v>
      </c>
      <c r="E21" s="4" t="s">
        <v>102</v>
      </c>
      <c r="F21" s="6">
        <v>0.2</v>
      </c>
      <c r="G21" s="6">
        <v>0.005</v>
      </c>
      <c r="H21" s="6">
        <v>0.02</v>
      </c>
      <c r="I21" s="5">
        <v>30</v>
      </c>
      <c r="J21" s="4" t="s">
        <v>103</v>
      </c>
      <c r="K21" s="4" t="s">
        <v>104</v>
      </c>
      <c r="L21" s="6">
        <v>0.025</v>
      </c>
    </row>
    <row r="22" spans="1:12" ht="30" customHeight="1">
      <c r="A22" s="7" t="s">
        <v>105</v>
      </c>
      <c r="B22" s="7" t="s">
        <v>106</v>
      </c>
      <c r="C22" s="8">
        <v>2023</v>
      </c>
      <c r="D22" s="7" t="s">
        <v>107</v>
      </c>
      <c r="E22" s="7" t="s">
        <v>108</v>
      </c>
      <c r="F22" s="9">
        <v>0.2</v>
      </c>
      <c r="G22" s="9">
        <v>0.005</v>
      </c>
      <c r="H22" s="9">
        <v>0.03</v>
      </c>
      <c r="I22" s="8">
        <v>20</v>
      </c>
      <c r="J22" s="7" t="s">
        <v>109</v>
      </c>
      <c r="K22" s="7" t="s">
        <v>110</v>
      </c>
      <c r="L22" s="9">
        <v>0.012</v>
      </c>
    </row>
    <row r="23" spans="1:12" ht="30" customHeight="1">
      <c r="A23" s="4" t="s">
        <v>111</v>
      </c>
      <c r="B23" s="4" t="s">
        <v>100</v>
      </c>
      <c r="C23" s="5">
        <v>1994</v>
      </c>
      <c r="D23" s="4" t="s">
        <v>112</v>
      </c>
      <c r="E23" s="4" t="s">
        <v>113</v>
      </c>
      <c r="F23" s="4" t="s">
        <v>28</v>
      </c>
      <c r="G23" s="4" t="s">
        <v>28</v>
      </c>
      <c r="H23" s="4" t="s">
        <v>28</v>
      </c>
      <c r="I23" s="5">
        <v>1540000</v>
      </c>
      <c r="J23" s="4" t="s">
        <v>114</v>
      </c>
      <c r="K23" s="4" t="s">
        <v>115</v>
      </c>
      <c r="L23" s="4" t="s">
        <v>28</v>
      </c>
    </row>
    <row r="24" spans="1:12" ht="30" customHeight="1">
      <c r="A24" s="7" t="s">
        <v>116</v>
      </c>
      <c r="B24" s="7" t="s">
        <v>117</v>
      </c>
      <c r="C24" s="8">
        <v>2004</v>
      </c>
      <c r="D24" s="7" t="s">
        <v>38</v>
      </c>
      <c r="E24" s="7" t="s">
        <v>118</v>
      </c>
      <c r="F24" s="7" t="s">
        <v>28</v>
      </c>
      <c r="G24" s="9">
        <v>1</v>
      </c>
      <c r="H24" s="9">
        <v>3</v>
      </c>
      <c r="I24" s="8">
        <v>24000</v>
      </c>
      <c r="J24" s="7" t="s">
        <v>119</v>
      </c>
      <c r="K24" s="7" t="s">
        <v>120</v>
      </c>
      <c r="L24" s="7" t="s">
        <v>28</v>
      </c>
    </row>
    <row r="26" spans="1:12">
      <c r="A26" s="10" t="s">
        <v>121</v>
      </c>
      <c r="B26" s="10"/>
      <c r="C26" s="10"/>
      <c r="D26" s="10"/>
      <c r="E26" s="10"/>
      <c r="F26" s="10"/>
      <c r="G26" s="10"/>
      <c r="H26" s="10"/>
      <c r="I26" s="10"/>
      <c r="J26" s="10"/>
      <c r="K26" s="10"/>
      <c r="L26" s="10"/>
    </row>
  </sheetData>
  <autoFilter ref="A4:L24"/>
  <mergeCells count="3">
    <mergeCell ref="A1:L1"/>
    <mergeCell ref="A2:L2"/>
    <mergeCell ref="A26:L26"/>
  </mergeCells>
  <pageMargins left="0.7" right="0.7" top="0.75" bottom="0.75" header="0.3" footer="0.3"/>
  <pageSetup paperSize="1" fitToHeight="0" orientation="landscape"/>
</worksheet>
</file>

<file path=xl/worksheets/sheet2.xml><?xml version="1.0" encoding="utf-8"?>
<worksheet xmlns="http://schemas.openxmlformats.org/spreadsheetml/2006/main" xmlns:r="http://schemas.openxmlformats.org/officeDocument/2006/relationships">
  <sheetPr>
    <tabColor rgb="FF10B981"/>
  </sheetPr>
  <dimension ref="A1:H40"/>
  <sheetViews>
    <sheetView showGridLines="0" workbookViewId="0">
      <pane ySplit="4" topLeftCell="A5" activePane="bottomLeft" state="frozen"/>
      <selection pane="bottomLeft"/>
    </sheetView>
  </sheetViews>
  <sheetFormatPr defaultRowHeight="15"/>
  <cols>
    <col min="1" max="1" width="22.7109375" customWidth="1"/>
    <col min="2" max="2" width="42.7109375" customWidth="1"/>
    <col min="3" max="3" width="16.7109375" customWidth="1"/>
    <col min="4" max="6" width="12.7109375" customWidth="1"/>
    <col min="7" max="7" width="28.7109375" customWidth="1"/>
    <col min="8" max="8" width="50.7109375" customWidth="1"/>
  </cols>
  <sheetData>
    <row r="1" spans="1:8">
      <c r="A1" s="1" t="s">
        <v>122</v>
      </c>
      <c r="B1" s="1"/>
      <c r="C1" s="1"/>
      <c r="D1" s="1"/>
      <c r="E1" s="1"/>
      <c r="F1" s="1"/>
      <c r="G1" s="1"/>
      <c r="H1" s="1"/>
    </row>
    <row r="2" spans="1:8">
      <c r="A2" s="2" t="s">
        <v>123</v>
      </c>
      <c r="B2" s="2"/>
      <c r="C2" s="2"/>
      <c r="D2" s="2"/>
      <c r="E2" s="2"/>
      <c r="F2" s="2"/>
      <c r="G2" s="2"/>
      <c r="H2" s="2"/>
    </row>
    <row r="4" spans="1:8" ht="35" customHeight="1">
      <c r="A4" s="11" t="s">
        <v>124</v>
      </c>
      <c r="B4" s="11" t="s">
        <v>125</v>
      </c>
      <c r="C4" s="11" t="s">
        <v>126</v>
      </c>
      <c r="D4" s="11" t="s">
        <v>127</v>
      </c>
      <c r="E4" s="11" t="s">
        <v>128</v>
      </c>
      <c r="F4" s="11" t="s">
        <v>129</v>
      </c>
      <c r="G4" s="11" t="s">
        <v>130</v>
      </c>
      <c r="H4" s="11" t="s">
        <v>131</v>
      </c>
    </row>
    <row r="5" spans="1:8" ht="22" customHeight="1">
      <c r="A5" s="4" t="s">
        <v>132</v>
      </c>
      <c r="B5" s="4" t="s">
        <v>133</v>
      </c>
      <c r="C5" s="5">
        <v>8</v>
      </c>
      <c r="D5" s="5">
        <v>6</v>
      </c>
      <c r="E5" s="5">
        <v>15</v>
      </c>
      <c r="F5" s="5">
        <v>35</v>
      </c>
      <c r="G5" s="4" t="s">
        <v>134</v>
      </c>
      <c r="H5" s="4" t="s">
        <v>135</v>
      </c>
    </row>
    <row r="6" spans="1:8" ht="22" customHeight="1">
      <c r="A6" s="7" t="s">
        <v>132</v>
      </c>
      <c r="B6" s="7" t="s">
        <v>136</v>
      </c>
      <c r="C6" s="8">
        <v>120</v>
      </c>
      <c r="D6" s="8">
        <v>90</v>
      </c>
      <c r="E6" s="8">
        <v>300</v>
      </c>
      <c r="F6" s="8">
        <v>600</v>
      </c>
      <c r="G6" s="7" t="s">
        <v>137</v>
      </c>
      <c r="H6" s="7" t="s">
        <v>138</v>
      </c>
    </row>
    <row r="7" spans="1:8" ht="22" customHeight="1">
      <c r="A7" s="4" t="s">
        <v>132</v>
      </c>
      <c r="B7" s="4" t="s">
        <v>139</v>
      </c>
      <c r="C7" s="5">
        <v>180</v>
      </c>
      <c r="D7" s="5">
        <v>120</v>
      </c>
      <c r="E7" s="5">
        <v>420</v>
      </c>
      <c r="F7" s="5">
        <v>900</v>
      </c>
      <c r="G7" s="4" t="s">
        <v>137</v>
      </c>
      <c r="H7" s="4" t="s">
        <v>140</v>
      </c>
    </row>
    <row r="8" spans="1:8" ht="22" customHeight="1">
      <c r="A8" s="7" t="s">
        <v>141</v>
      </c>
      <c r="B8" s="7" t="s">
        <v>142</v>
      </c>
      <c r="C8" s="8">
        <v>25</v>
      </c>
      <c r="D8" s="8">
        <v>18</v>
      </c>
      <c r="E8" s="8">
        <v>50</v>
      </c>
      <c r="F8" s="8">
        <v>120</v>
      </c>
      <c r="G8" s="7" t="s">
        <v>137</v>
      </c>
      <c r="H8" s="7" t="s">
        <v>143</v>
      </c>
    </row>
    <row r="9" spans="1:8" ht="22" customHeight="1">
      <c r="A9" s="4" t="s">
        <v>144</v>
      </c>
      <c r="B9" s="4" t="s">
        <v>145</v>
      </c>
      <c r="C9" s="5">
        <v>45</v>
      </c>
      <c r="D9" s="5">
        <v>30</v>
      </c>
      <c r="E9" s="5">
        <v>120</v>
      </c>
      <c r="F9" s="5">
        <v>300</v>
      </c>
      <c r="G9" s="4" t="s">
        <v>137</v>
      </c>
      <c r="H9" s="4" t="s">
        <v>146</v>
      </c>
    </row>
    <row r="10" spans="1:8" ht="22" customHeight="1">
      <c r="A10" s="7" t="s">
        <v>147</v>
      </c>
      <c r="B10" s="7" t="s">
        <v>148</v>
      </c>
      <c r="C10" s="8">
        <v>30</v>
      </c>
      <c r="D10" s="8">
        <v>22</v>
      </c>
      <c r="E10" s="8">
        <v>60</v>
      </c>
      <c r="F10" s="8">
        <v>150</v>
      </c>
      <c r="G10" s="7" t="s">
        <v>137</v>
      </c>
      <c r="H10" s="7" t="s">
        <v>149</v>
      </c>
    </row>
    <row r="11" spans="1:8" ht="22" customHeight="1">
      <c r="A11" s="4" t="s">
        <v>147</v>
      </c>
      <c r="B11" s="4" t="s">
        <v>150</v>
      </c>
      <c r="C11" s="5">
        <v>300</v>
      </c>
      <c r="D11" s="5">
        <v>240</v>
      </c>
      <c r="E11" s="5">
        <v>600</v>
      </c>
      <c r="F11" s="5">
        <v>1200</v>
      </c>
      <c r="G11" s="4" t="s">
        <v>137</v>
      </c>
      <c r="H11" s="4" t="s">
        <v>151</v>
      </c>
    </row>
    <row r="12" spans="1:8" ht="22" customHeight="1">
      <c r="A12" s="7" t="s">
        <v>152</v>
      </c>
      <c r="B12" s="7" t="s">
        <v>153</v>
      </c>
      <c r="C12" s="8">
        <v>15</v>
      </c>
      <c r="D12" s="8">
        <v>10</v>
      </c>
      <c r="E12" s="8">
        <v>30</v>
      </c>
      <c r="F12" s="8">
        <v>60</v>
      </c>
      <c r="G12" s="7" t="s">
        <v>137</v>
      </c>
      <c r="H12" s="7" t="s">
        <v>154</v>
      </c>
    </row>
    <row r="13" spans="1:8" ht="22" customHeight="1">
      <c r="A13" s="4" t="s">
        <v>152</v>
      </c>
      <c r="B13" s="4" t="s">
        <v>155</v>
      </c>
      <c r="C13" s="5">
        <v>180</v>
      </c>
      <c r="D13" s="5">
        <v>120</v>
      </c>
      <c r="E13" s="5">
        <v>360</v>
      </c>
      <c r="F13" s="5">
        <v>900</v>
      </c>
      <c r="G13" s="4" t="s">
        <v>137</v>
      </c>
      <c r="H13" s="4" t="s">
        <v>156</v>
      </c>
    </row>
    <row r="14" spans="1:8" ht="22" customHeight="1">
      <c r="A14" s="7" t="s">
        <v>157</v>
      </c>
      <c r="B14" s="7" t="s">
        <v>158</v>
      </c>
      <c r="C14" s="8">
        <v>3</v>
      </c>
      <c r="D14" s="8">
        <v>2</v>
      </c>
      <c r="E14" s="8">
        <v>5</v>
      </c>
      <c r="F14" s="8">
        <v>10</v>
      </c>
      <c r="G14" s="7" t="s">
        <v>159</v>
      </c>
      <c r="H14" s="7" t="s">
        <v>160</v>
      </c>
    </row>
    <row r="15" spans="1:8" ht="22" customHeight="1">
      <c r="A15" s="4" t="s">
        <v>157</v>
      </c>
      <c r="B15" s="4" t="s">
        <v>161</v>
      </c>
      <c r="C15" s="5">
        <v>45</v>
      </c>
      <c r="D15" s="5">
        <v>30</v>
      </c>
      <c r="E15" s="5">
        <v>90</v>
      </c>
      <c r="F15" s="5">
        <v>180</v>
      </c>
      <c r="G15" s="4" t="s">
        <v>137</v>
      </c>
      <c r="H15" s="4" t="s">
        <v>162</v>
      </c>
    </row>
    <row r="16" spans="1:8" ht="22" customHeight="1">
      <c r="A16" s="7" t="s">
        <v>163</v>
      </c>
      <c r="B16" s="7" t="s">
        <v>164</v>
      </c>
      <c r="C16" s="8">
        <v>12</v>
      </c>
      <c r="D16" s="8">
        <v>8</v>
      </c>
      <c r="E16" s="8">
        <v>25</v>
      </c>
      <c r="F16" s="8">
        <v>60</v>
      </c>
      <c r="G16" s="7" t="s">
        <v>137</v>
      </c>
      <c r="H16" s="7" t="s">
        <v>165</v>
      </c>
    </row>
    <row r="17" spans="1:8" ht="22" customHeight="1">
      <c r="A17" s="4" t="s">
        <v>163</v>
      </c>
      <c r="B17" s="4" t="s">
        <v>166</v>
      </c>
      <c r="C17" s="5">
        <v>180</v>
      </c>
      <c r="D17" s="5">
        <v>120</v>
      </c>
      <c r="E17" s="5">
        <v>360</v>
      </c>
      <c r="F17" s="5">
        <v>720</v>
      </c>
      <c r="G17" s="4" t="s">
        <v>137</v>
      </c>
      <c r="H17" s="4" t="s">
        <v>167</v>
      </c>
    </row>
    <row r="18" spans="1:8" ht="22" customHeight="1">
      <c r="A18" s="7" t="s">
        <v>168</v>
      </c>
      <c r="B18" s="7" t="s">
        <v>169</v>
      </c>
      <c r="C18" s="8">
        <v>8</v>
      </c>
      <c r="D18" s="8">
        <v>5</v>
      </c>
      <c r="E18" s="8">
        <v>15</v>
      </c>
      <c r="F18" s="8">
        <v>30</v>
      </c>
      <c r="G18" s="7" t="s">
        <v>170</v>
      </c>
      <c r="H18" s="7" t="s">
        <v>171</v>
      </c>
    </row>
    <row r="19" spans="1:8" ht="22" customHeight="1">
      <c r="A19" s="4" t="s">
        <v>168</v>
      </c>
      <c r="B19" s="4" t="s">
        <v>172</v>
      </c>
      <c r="C19" s="5">
        <v>120</v>
      </c>
      <c r="D19" s="5">
        <v>90</v>
      </c>
      <c r="E19" s="5">
        <v>240</v>
      </c>
      <c r="F19" s="5">
        <v>480</v>
      </c>
      <c r="G19" s="4" t="s">
        <v>170</v>
      </c>
      <c r="H19" s="4" t="s">
        <v>173</v>
      </c>
    </row>
    <row r="20" spans="1:8" ht="22" customHeight="1">
      <c r="A20" s="7" t="s">
        <v>174</v>
      </c>
      <c r="B20" s="7" t="s">
        <v>175</v>
      </c>
      <c r="C20" s="8">
        <v>5</v>
      </c>
      <c r="D20" s="8">
        <v>3</v>
      </c>
      <c r="E20" s="8">
        <v>10</v>
      </c>
      <c r="F20" s="8">
        <v>20</v>
      </c>
      <c r="G20" s="7" t="s">
        <v>170</v>
      </c>
      <c r="H20" s="7" t="s">
        <v>176</v>
      </c>
    </row>
    <row r="21" spans="1:8" ht="22" customHeight="1">
      <c r="A21" s="4" t="s">
        <v>174</v>
      </c>
      <c r="B21" s="4" t="s">
        <v>177</v>
      </c>
      <c r="C21" s="5">
        <v>90</v>
      </c>
      <c r="D21" s="5">
        <v>60</v>
      </c>
      <c r="E21" s="5">
        <v>180</v>
      </c>
      <c r="F21" s="5">
        <v>450</v>
      </c>
      <c r="G21" s="4" t="s">
        <v>137</v>
      </c>
      <c r="H21" s="4" t="s">
        <v>178</v>
      </c>
    </row>
    <row r="22" spans="1:8" ht="22" customHeight="1">
      <c r="A22" s="7" t="s">
        <v>179</v>
      </c>
      <c r="B22" s="7" t="s">
        <v>180</v>
      </c>
      <c r="C22" s="8">
        <v>5</v>
      </c>
      <c r="D22" s="8">
        <v>3</v>
      </c>
      <c r="E22" s="8">
        <v>10</v>
      </c>
      <c r="F22" s="8">
        <v>20</v>
      </c>
      <c r="G22" s="7" t="s">
        <v>181</v>
      </c>
      <c r="H22" s="7" t="s">
        <v>182</v>
      </c>
    </row>
    <row r="23" spans="1:8" ht="22" customHeight="1">
      <c r="A23" s="4" t="s">
        <v>179</v>
      </c>
      <c r="B23" s="4" t="s">
        <v>183</v>
      </c>
      <c r="C23" s="5">
        <v>180</v>
      </c>
      <c r="D23" s="5">
        <v>120</v>
      </c>
      <c r="E23" s="5">
        <v>360</v>
      </c>
      <c r="F23" s="5">
        <v>600</v>
      </c>
      <c r="G23" s="4" t="s">
        <v>181</v>
      </c>
      <c r="H23" s="4" t="s">
        <v>184</v>
      </c>
    </row>
    <row r="24" spans="1:8" ht="22" customHeight="1">
      <c r="A24" s="7" t="s">
        <v>185</v>
      </c>
      <c r="B24" s="7" t="s">
        <v>186</v>
      </c>
      <c r="C24" s="8">
        <v>60</v>
      </c>
      <c r="D24" s="8">
        <v>40</v>
      </c>
      <c r="E24" s="8">
        <v>120</v>
      </c>
      <c r="F24" s="8">
        <v>300</v>
      </c>
      <c r="G24" s="7" t="s">
        <v>187</v>
      </c>
      <c r="H24" s="7" t="s">
        <v>188</v>
      </c>
    </row>
    <row r="25" spans="1:8" ht="22" customHeight="1">
      <c r="A25" s="4" t="s">
        <v>185</v>
      </c>
      <c r="B25" s="4" t="s">
        <v>189</v>
      </c>
      <c r="C25" s="5">
        <v>300</v>
      </c>
      <c r="D25" s="5">
        <v>200</v>
      </c>
      <c r="E25" s="5">
        <v>600</v>
      </c>
      <c r="F25" s="5">
        <v>1500</v>
      </c>
      <c r="G25" s="4" t="s">
        <v>187</v>
      </c>
      <c r="H25" s="4" t="s">
        <v>190</v>
      </c>
    </row>
    <row r="28" spans="1:8">
      <c r="A28" s="12" t="s">
        <v>191</v>
      </c>
    </row>
    <row r="29" spans="1:8">
      <c r="A29" s="11" t="s">
        <v>5</v>
      </c>
      <c r="B29" s="11" t="s">
        <v>126</v>
      </c>
    </row>
    <row r="30" spans="1:8">
      <c r="A30" s="4" t="s">
        <v>132</v>
      </c>
      <c r="B30" s="6">
        <v>102.6666666666667</v>
      </c>
    </row>
    <row r="31" spans="1:8">
      <c r="A31" s="4" t="s">
        <v>141</v>
      </c>
      <c r="B31" s="6">
        <v>25</v>
      </c>
    </row>
    <row r="32" spans="1:8">
      <c r="A32" s="4" t="s">
        <v>144</v>
      </c>
      <c r="B32" s="6">
        <v>45</v>
      </c>
    </row>
    <row r="33" spans="1:2">
      <c r="A33" s="4" t="s">
        <v>147</v>
      </c>
      <c r="B33" s="6">
        <v>165</v>
      </c>
    </row>
    <row r="34" spans="1:2">
      <c r="A34" s="4" t="s">
        <v>152</v>
      </c>
      <c r="B34" s="6">
        <v>97.5</v>
      </c>
    </row>
    <row r="35" spans="1:2">
      <c r="A35" s="4" t="s">
        <v>157</v>
      </c>
      <c r="B35" s="6">
        <v>24</v>
      </c>
    </row>
    <row r="36" spans="1:2">
      <c r="A36" s="4" t="s">
        <v>163</v>
      </c>
      <c r="B36" s="6">
        <v>96</v>
      </c>
    </row>
    <row r="37" spans="1:2">
      <c r="A37" s="4" t="s">
        <v>168</v>
      </c>
      <c r="B37" s="6">
        <v>64</v>
      </c>
    </row>
    <row r="38" spans="1:2">
      <c r="A38" s="4" t="s">
        <v>174</v>
      </c>
      <c r="B38" s="6">
        <v>47.5</v>
      </c>
    </row>
    <row r="39" spans="1:2">
      <c r="A39" s="4" t="s">
        <v>179</v>
      </c>
      <c r="B39" s="6">
        <v>92.5</v>
      </c>
    </row>
    <row r="40" spans="1:2">
      <c r="A40" s="4" t="s">
        <v>185</v>
      </c>
      <c r="B40" s="6">
        <v>180</v>
      </c>
    </row>
  </sheetData>
  <autoFilter ref="A4:H25"/>
  <mergeCells count="2">
    <mergeCell ref="A1:H1"/>
    <mergeCell ref="A2:H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sheetPr>
    <tabColor rgb="FF8B5CF6"/>
  </sheetPr>
  <dimension ref="A1:H42"/>
  <sheetViews>
    <sheetView showGridLines="0" workbookViewId="0">
      <pane ySplit="4" topLeftCell="A5" activePane="bottomLeft" state="frozen"/>
      <selection pane="bottomLeft"/>
    </sheetView>
  </sheetViews>
  <sheetFormatPr defaultRowHeight="15"/>
  <cols>
    <col min="1" max="1" width="35.7109375" customWidth="1"/>
    <col min="2" max="3" width="18.7109375" customWidth="1"/>
    <col min="4" max="4" width="16.7109375" customWidth="1"/>
    <col min="5" max="6" width="22.7109375" customWidth="1"/>
    <col min="7" max="7" width="14.7109375" customWidth="1"/>
    <col min="8" max="8" width="20.7109375" customWidth="1"/>
  </cols>
  <sheetData>
    <row r="1" spans="1:8">
      <c r="A1" s="1" t="s">
        <v>192</v>
      </c>
      <c r="B1" s="1"/>
      <c r="C1" s="1"/>
      <c r="D1" s="1"/>
      <c r="E1" s="1"/>
      <c r="F1" s="1"/>
      <c r="G1" s="1"/>
      <c r="H1" s="1"/>
    </row>
    <row r="2" spans="1:8">
      <c r="A2" s="2" t="s">
        <v>193</v>
      </c>
      <c r="B2" s="2"/>
      <c r="C2" s="2"/>
      <c r="D2" s="2"/>
      <c r="E2" s="2"/>
      <c r="F2" s="2"/>
      <c r="G2" s="2"/>
      <c r="H2" s="2"/>
    </row>
    <row r="4" spans="1:8" ht="35" customHeight="1">
      <c r="A4" s="13" t="s">
        <v>194</v>
      </c>
      <c r="B4" s="13" t="s">
        <v>195</v>
      </c>
      <c r="C4" s="13" t="s">
        <v>196</v>
      </c>
      <c r="D4" s="13" t="s">
        <v>197</v>
      </c>
      <c r="E4" s="13" t="s">
        <v>198</v>
      </c>
      <c r="F4" s="13" t="s">
        <v>199</v>
      </c>
      <c r="G4" s="13" t="s">
        <v>200</v>
      </c>
      <c r="H4" s="13" t="s">
        <v>201</v>
      </c>
    </row>
    <row r="5" spans="1:8" ht="22" customHeight="1">
      <c r="A5" s="4" t="s">
        <v>202</v>
      </c>
      <c r="B5" s="5">
        <v>500</v>
      </c>
      <c r="C5" s="5">
        <v>300</v>
      </c>
      <c r="D5" s="5">
        <v>800</v>
      </c>
      <c r="E5" s="14">
        <v>0.008</v>
      </c>
      <c r="F5" s="14">
        <v>0.0002</v>
      </c>
      <c r="G5" s="5">
        <v>0</v>
      </c>
      <c r="H5" s="5">
        <v>0</v>
      </c>
    </row>
    <row r="6" spans="1:8" ht="22" customHeight="1">
      <c r="A6" s="7" t="s">
        <v>203</v>
      </c>
      <c r="B6" s="8">
        <v>2000</v>
      </c>
      <c r="C6" s="8">
        <v>1500</v>
      </c>
      <c r="D6" s="8">
        <v>3500</v>
      </c>
      <c r="E6" s="15">
        <v>0.035</v>
      </c>
      <c r="F6" s="15">
        <v>0.0009</v>
      </c>
      <c r="G6" s="8">
        <v>1</v>
      </c>
      <c r="H6" s="8">
        <v>500</v>
      </c>
    </row>
    <row r="7" spans="1:8" ht="22" customHeight="1">
      <c r="A7" s="4" t="s">
        <v>204</v>
      </c>
      <c r="B7" s="5">
        <v>25000</v>
      </c>
      <c r="C7" s="5">
        <v>15000</v>
      </c>
      <c r="D7" s="5">
        <v>40000</v>
      </c>
      <c r="E7" s="14">
        <v>0.4</v>
      </c>
      <c r="F7" s="14">
        <v>0.01</v>
      </c>
      <c r="G7" s="5">
        <v>15</v>
      </c>
      <c r="H7" s="5">
        <v>8000</v>
      </c>
    </row>
    <row r="8" spans="1:8" ht="22" customHeight="1">
      <c r="A8" s="7" t="s">
        <v>205</v>
      </c>
      <c r="B8" s="8">
        <v>60000</v>
      </c>
      <c r="C8" s="8">
        <v>40000</v>
      </c>
      <c r="D8" s="8">
        <v>100000</v>
      </c>
      <c r="E8" s="15">
        <v>1</v>
      </c>
      <c r="F8" s="15">
        <v>0.025</v>
      </c>
      <c r="G8" s="8">
        <v>40</v>
      </c>
      <c r="H8" s="8">
        <v>20000</v>
      </c>
    </row>
    <row r="9" spans="1:8" ht="22" customHeight="1">
      <c r="A9" s="4" t="s">
        <v>206</v>
      </c>
      <c r="B9" s="5">
        <v>10000</v>
      </c>
      <c r="C9" s="5">
        <v>3000</v>
      </c>
      <c r="D9" s="5">
        <v>13000</v>
      </c>
      <c r="E9" s="14">
        <v>0.13</v>
      </c>
      <c r="F9" s="14">
        <v>0.003</v>
      </c>
      <c r="G9" s="5">
        <v>3</v>
      </c>
      <c r="H9" s="5">
        <v>2000</v>
      </c>
    </row>
    <row r="10" spans="1:8" ht="22" customHeight="1">
      <c r="A10" s="7" t="s">
        <v>144</v>
      </c>
      <c r="B10" s="8">
        <v>15000</v>
      </c>
      <c r="C10" s="8">
        <v>5000</v>
      </c>
      <c r="D10" s="8">
        <v>20000</v>
      </c>
      <c r="E10" s="15">
        <v>0.2</v>
      </c>
      <c r="F10" s="15">
        <v>0.005</v>
      </c>
      <c r="G10" s="8">
        <v>5</v>
      </c>
      <c r="H10" s="8">
        <v>5000</v>
      </c>
    </row>
    <row r="11" spans="1:8" ht="22" customHeight="1">
      <c r="A11" s="4" t="s">
        <v>207</v>
      </c>
      <c r="B11" s="5">
        <v>8000</v>
      </c>
      <c r="C11" s="5">
        <v>1500</v>
      </c>
      <c r="D11" s="5">
        <v>9500</v>
      </c>
      <c r="E11" s="14">
        <v>0.1</v>
      </c>
      <c r="F11" s="14">
        <v>0.002</v>
      </c>
      <c r="G11" s="5">
        <v>1</v>
      </c>
      <c r="H11" s="5">
        <v>1000</v>
      </c>
    </row>
    <row r="12" spans="1:8" ht="22" customHeight="1">
      <c r="A12" s="7" t="s">
        <v>208</v>
      </c>
      <c r="B12" s="8">
        <v>500000</v>
      </c>
      <c r="C12" s="8">
        <v>80000</v>
      </c>
      <c r="D12" s="8">
        <v>580000</v>
      </c>
      <c r="E12" s="15">
        <v>5.8</v>
      </c>
      <c r="F12" s="15">
        <v>0.145</v>
      </c>
      <c r="G12" s="8">
        <v>100</v>
      </c>
      <c r="H12" s="8">
        <v>50000</v>
      </c>
    </row>
    <row r="13" spans="1:8" ht="22" customHeight="1">
      <c r="A13" s="4" t="s">
        <v>209</v>
      </c>
      <c r="B13" s="5">
        <v>5000</v>
      </c>
      <c r="C13" s="5">
        <v>2000</v>
      </c>
      <c r="D13" s="5">
        <v>7000</v>
      </c>
      <c r="E13" s="14">
        <v>0.07000000000000001</v>
      </c>
      <c r="F13" s="14">
        <v>0.002</v>
      </c>
      <c r="G13" s="5">
        <v>3</v>
      </c>
      <c r="H13" s="5">
        <v>1500</v>
      </c>
    </row>
    <row r="14" spans="1:8" ht="22" customHeight="1">
      <c r="A14" s="7" t="s">
        <v>210</v>
      </c>
      <c r="B14" s="8">
        <v>80000</v>
      </c>
      <c r="C14" s="8">
        <v>20000</v>
      </c>
      <c r="D14" s="8">
        <v>100000</v>
      </c>
      <c r="E14" s="15">
        <v>1</v>
      </c>
      <c r="F14" s="15">
        <v>0.025</v>
      </c>
      <c r="G14" s="8">
        <v>25</v>
      </c>
      <c r="H14" s="8">
        <v>25000</v>
      </c>
    </row>
    <row r="15" spans="1:8" ht="22" customHeight="1">
      <c r="A15" s="4" t="s">
        <v>211</v>
      </c>
      <c r="B15" s="5">
        <v>1000</v>
      </c>
      <c r="C15" s="5">
        <v>500</v>
      </c>
      <c r="D15" s="5">
        <v>1500</v>
      </c>
      <c r="E15" s="14">
        <v>0.015</v>
      </c>
      <c r="F15" s="14">
        <v>0.0004</v>
      </c>
      <c r="G15" s="5">
        <v>0</v>
      </c>
      <c r="H15" s="5">
        <v>0</v>
      </c>
    </row>
    <row r="16" spans="1:8" ht="22" customHeight="1">
      <c r="A16" s="7" t="s">
        <v>212</v>
      </c>
      <c r="B16" s="8">
        <v>8000</v>
      </c>
      <c r="C16" s="8">
        <v>3000</v>
      </c>
      <c r="D16" s="8">
        <v>11000</v>
      </c>
      <c r="E16" s="15">
        <v>0.11</v>
      </c>
      <c r="F16" s="15">
        <v>0.003</v>
      </c>
      <c r="G16" s="8">
        <v>4</v>
      </c>
      <c r="H16" s="8">
        <v>2000</v>
      </c>
    </row>
    <row r="17" spans="1:8" ht="22" customHeight="1">
      <c r="A17" s="4" t="s">
        <v>213</v>
      </c>
      <c r="B17" s="5">
        <v>3000</v>
      </c>
      <c r="C17" s="5">
        <v>800</v>
      </c>
      <c r="D17" s="5">
        <v>3800</v>
      </c>
      <c r="E17" s="14">
        <v>0.04</v>
      </c>
      <c r="F17" s="14">
        <v>0.001</v>
      </c>
      <c r="G17" s="5">
        <v>2</v>
      </c>
      <c r="H17" s="5">
        <v>800</v>
      </c>
    </row>
    <row r="18" spans="1:8" ht="22" customHeight="1">
      <c r="A18" s="7" t="s">
        <v>214</v>
      </c>
      <c r="B18" s="8">
        <v>30000</v>
      </c>
      <c r="C18" s="8">
        <v>15000</v>
      </c>
      <c r="D18" s="8">
        <v>45000</v>
      </c>
      <c r="E18" s="15">
        <v>0.45</v>
      </c>
      <c r="F18" s="15">
        <v>0.011</v>
      </c>
      <c r="G18" s="8">
        <v>12</v>
      </c>
      <c r="H18" s="8">
        <v>8000</v>
      </c>
    </row>
    <row r="19" spans="1:8" ht="22" customHeight="1">
      <c r="A19" s="4" t="s">
        <v>215</v>
      </c>
      <c r="B19" s="5">
        <v>2000</v>
      </c>
      <c r="C19" s="5">
        <v>800</v>
      </c>
      <c r="D19" s="5">
        <v>2800</v>
      </c>
      <c r="E19" s="14">
        <v>0.03</v>
      </c>
      <c r="F19" s="14">
        <v>0.0007</v>
      </c>
      <c r="G19" s="5">
        <v>0</v>
      </c>
      <c r="H19" s="5">
        <v>300</v>
      </c>
    </row>
    <row r="20" spans="1:8" ht="22" customHeight="1">
      <c r="A20" s="7" t="s">
        <v>216</v>
      </c>
      <c r="B20" s="8">
        <v>50000</v>
      </c>
      <c r="C20" s="8">
        <v>30000</v>
      </c>
      <c r="D20" s="8">
        <v>80000</v>
      </c>
      <c r="E20" s="15">
        <v>0.8</v>
      </c>
      <c r="F20" s="15">
        <v>0.02</v>
      </c>
      <c r="G20" s="8">
        <v>0</v>
      </c>
      <c r="H20" s="8">
        <v>5000</v>
      </c>
    </row>
    <row r="21" spans="1:8" ht="22" customHeight="1">
      <c r="A21" s="4" t="s">
        <v>217</v>
      </c>
      <c r="B21" s="5">
        <v>1500</v>
      </c>
      <c r="C21" s="5">
        <v>500</v>
      </c>
      <c r="D21" s="5">
        <v>2000</v>
      </c>
      <c r="E21" s="14">
        <v>0.02</v>
      </c>
      <c r="F21" s="14">
        <v>0.0005</v>
      </c>
      <c r="G21" s="5">
        <v>1</v>
      </c>
      <c r="H21" s="5">
        <v>200</v>
      </c>
    </row>
    <row r="22" spans="1:8" ht="22" customHeight="1">
      <c r="A22" s="7" t="s">
        <v>218</v>
      </c>
      <c r="B22" s="8">
        <v>20000</v>
      </c>
      <c r="C22" s="8">
        <v>8000</v>
      </c>
      <c r="D22" s="8">
        <v>28000</v>
      </c>
      <c r="E22" s="15">
        <v>0.28</v>
      </c>
      <c r="F22" s="15">
        <v>0.007</v>
      </c>
      <c r="G22" s="8">
        <v>8</v>
      </c>
      <c r="H22" s="8">
        <v>5000</v>
      </c>
    </row>
    <row r="23" spans="1:8" ht="22" customHeight="1">
      <c r="A23" s="4" t="s">
        <v>219</v>
      </c>
      <c r="B23" s="5">
        <v>1000</v>
      </c>
      <c r="C23" s="5">
        <v>500</v>
      </c>
      <c r="D23" s="5">
        <v>1500</v>
      </c>
      <c r="E23" s="14">
        <v>0.02</v>
      </c>
      <c r="F23" s="14">
        <v>0.001</v>
      </c>
      <c r="G23" s="5">
        <v>0</v>
      </c>
      <c r="H23" s="5">
        <v>0</v>
      </c>
    </row>
    <row r="24" spans="1:8" ht="22" customHeight="1">
      <c r="A24" s="7" t="s">
        <v>220</v>
      </c>
      <c r="B24" s="8">
        <v>100000</v>
      </c>
      <c r="C24" s="8">
        <v>30000</v>
      </c>
      <c r="D24" s="8">
        <v>130000</v>
      </c>
      <c r="E24" s="15">
        <v>1.6</v>
      </c>
      <c r="F24" s="15">
        <v>0.08</v>
      </c>
      <c r="G24" s="8">
        <v>0</v>
      </c>
      <c r="H24" s="8">
        <v>0</v>
      </c>
    </row>
    <row r="25" spans="1:8" ht="22" customHeight="1">
      <c r="A25" s="4" t="s">
        <v>221</v>
      </c>
      <c r="B25" s="5">
        <v>15000</v>
      </c>
      <c r="C25" s="5">
        <v>5000</v>
      </c>
      <c r="D25" s="5">
        <v>20000</v>
      </c>
      <c r="E25" s="14">
        <v>0.25</v>
      </c>
      <c r="F25" s="14">
        <v>0.01</v>
      </c>
      <c r="G25" s="5">
        <v>10</v>
      </c>
      <c r="H25" s="5">
        <v>3000</v>
      </c>
    </row>
    <row r="26" spans="1:8" ht="22" customHeight="1">
      <c r="A26" s="7" t="s">
        <v>222</v>
      </c>
      <c r="B26" s="8">
        <v>80000</v>
      </c>
      <c r="C26" s="8">
        <v>20000</v>
      </c>
      <c r="D26" s="8">
        <v>100000</v>
      </c>
      <c r="E26" s="15">
        <v>1.2</v>
      </c>
      <c r="F26" s="15">
        <v>0.05</v>
      </c>
      <c r="G26" s="8">
        <v>40</v>
      </c>
      <c r="H26" s="8">
        <v>15000</v>
      </c>
    </row>
    <row r="27" spans="1:8" ht="22" customHeight="1">
      <c r="A27" s="4" t="s">
        <v>223</v>
      </c>
      <c r="B27" s="5">
        <v>150000</v>
      </c>
      <c r="C27" s="5">
        <v>60000</v>
      </c>
      <c r="D27" s="5">
        <v>210000</v>
      </c>
      <c r="E27" s="14">
        <v>2.1</v>
      </c>
      <c r="F27" s="14">
        <v>0.053</v>
      </c>
      <c r="G27" s="5">
        <v>50</v>
      </c>
      <c r="H27" s="5">
        <v>40000</v>
      </c>
    </row>
    <row r="28" spans="1:8" ht="22" customHeight="1">
      <c r="A28" s="7" t="s">
        <v>224</v>
      </c>
      <c r="B28" s="8">
        <v>500000</v>
      </c>
      <c r="C28" s="8">
        <v>200000</v>
      </c>
      <c r="D28" s="8">
        <v>700000</v>
      </c>
      <c r="E28" s="15">
        <v>7</v>
      </c>
      <c r="F28" s="15">
        <v>0.175</v>
      </c>
      <c r="G28" s="8">
        <v>150</v>
      </c>
      <c r="H28" s="8">
        <v>120000</v>
      </c>
    </row>
    <row r="31" spans="1:8">
      <c r="A31" s="12" t="s">
        <v>225</v>
      </c>
    </row>
    <row r="32" spans="1:8">
      <c r="A32" s="13" t="s">
        <v>194</v>
      </c>
      <c r="B32" s="13" t="s">
        <v>226</v>
      </c>
      <c r="C32" s="13" t="s">
        <v>227</v>
      </c>
      <c r="D32" s="13" t="s">
        <v>228</v>
      </c>
    </row>
    <row r="33" spans="1:4">
      <c r="A33" s="4" t="s">
        <v>224</v>
      </c>
      <c r="B33" s="5">
        <v>500000</v>
      </c>
      <c r="C33" s="5">
        <v>200000</v>
      </c>
      <c r="D33" s="5">
        <v>120000</v>
      </c>
    </row>
    <row r="34" spans="1:4">
      <c r="A34" s="4" t="s">
        <v>208</v>
      </c>
      <c r="B34" s="5">
        <v>500000</v>
      </c>
      <c r="C34" s="5">
        <v>80000</v>
      </c>
      <c r="D34" s="5">
        <v>50000</v>
      </c>
    </row>
    <row r="35" spans="1:4">
      <c r="A35" s="4" t="s">
        <v>223</v>
      </c>
      <c r="B35" s="5">
        <v>150000</v>
      </c>
      <c r="C35" s="5">
        <v>60000</v>
      </c>
      <c r="D35" s="5">
        <v>40000</v>
      </c>
    </row>
    <row r="36" spans="1:4">
      <c r="A36" s="4" t="s">
        <v>220</v>
      </c>
      <c r="B36" s="5">
        <v>100000</v>
      </c>
      <c r="C36" s="5">
        <v>30000</v>
      </c>
      <c r="D36" s="5">
        <v>0</v>
      </c>
    </row>
    <row r="37" spans="1:4">
      <c r="A37" s="4" t="s">
        <v>205</v>
      </c>
      <c r="B37" s="5">
        <v>60000</v>
      </c>
      <c r="C37" s="5">
        <v>40000</v>
      </c>
      <c r="D37" s="5">
        <v>20000</v>
      </c>
    </row>
    <row r="38" spans="1:4">
      <c r="A38" s="4" t="s">
        <v>210</v>
      </c>
      <c r="B38" s="5">
        <v>80000</v>
      </c>
      <c r="C38" s="5">
        <v>20000</v>
      </c>
      <c r="D38" s="5">
        <v>25000</v>
      </c>
    </row>
    <row r="39" spans="1:4">
      <c r="A39" s="4" t="s">
        <v>222</v>
      </c>
      <c r="B39" s="5">
        <v>80000</v>
      </c>
      <c r="C39" s="5">
        <v>20000</v>
      </c>
      <c r="D39" s="5">
        <v>15000</v>
      </c>
    </row>
    <row r="40" spans="1:4">
      <c r="A40" s="4" t="s">
        <v>216</v>
      </c>
      <c r="B40" s="5">
        <v>50000</v>
      </c>
      <c r="C40" s="5">
        <v>30000</v>
      </c>
      <c r="D40" s="5">
        <v>5000</v>
      </c>
    </row>
    <row r="41" spans="1:4">
      <c r="A41" s="4" t="s">
        <v>214</v>
      </c>
      <c r="B41" s="5">
        <v>30000</v>
      </c>
      <c r="C41" s="5">
        <v>15000</v>
      </c>
      <c r="D41" s="5">
        <v>8000</v>
      </c>
    </row>
    <row r="42" spans="1:4">
      <c r="A42" s="4" t="s">
        <v>204</v>
      </c>
      <c r="B42" s="5">
        <v>25000</v>
      </c>
      <c r="C42" s="5">
        <v>15000</v>
      </c>
      <c r="D42" s="5">
        <v>8000</v>
      </c>
    </row>
  </sheetData>
  <autoFilter ref="A4:H28"/>
  <mergeCells count="2">
    <mergeCell ref="A1:H1"/>
    <mergeCell ref="A2:H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sheetPr>
    <tabColor rgb="FFF59E0B"/>
  </sheetPr>
  <dimension ref="A1:G17"/>
  <sheetViews>
    <sheetView showGridLines="0" workbookViewId="0">
      <pane ySplit="4" topLeftCell="A5" activePane="bottomLeft" state="frozen"/>
      <selection pane="bottomLeft"/>
    </sheetView>
  </sheetViews>
  <sheetFormatPr defaultRowHeight="15"/>
  <cols>
    <col min="1" max="1" width="22.7109375" customWidth="1"/>
    <col min="2" max="2" width="16.7109375" customWidth="1"/>
    <col min="3" max="4" width="18.7109375" customWidth="1"/>
    <col min="5" max="6" width="14.7109375" customWidth="1"/>
    <col min="7" max="7" width="26.7109375" customWidth="1"/>
  </cols>
  <sheetData>
    <row r="1" spans="1:7">
      <c r="A1" s="1" t="s">
        <v>229</v>
      </c>
      <c r="B1" s="1"/>
      <c r="C1" s="1"/>
      <c r="D1" s="1"/>
      <c r="E1" s="1"/>
      <c r="F1" s="1"/>
      <c r="G1" s="1"/>
    </row>
    <row r="2" spans="1:7">
      <c r="A2" s="2" t="s">
        <v>230</v>
      </c>
      <c r="B2" s="2"/>
      <c r="C2" s="2"/>
      <c r="D2" s="2"/>
      <c r="E2" s="2"/>
      <c r="F2" s="2"/>
      <c r="G2" s="2"/>
    </row>
    <row r="4" spans="1:7" ht="35" customHeight="1">
      <c r="A4" s="16" t="s">
        <v>231</v>
      </c>
      <c r="B4" s="16" t="s">
        <v>232</v>
      </c>
      <c r="C4" s="16" t="s">
        <v>233</v>
      </c>
      <c r="D4" s="16" t="s">
        <v>234</v>
      </c>
      <c r="E4" s="16" t="s">
        <v>235</v>
      </c>
      <c r="F4" s="16" t="s">
        <v>236</v>
      </c>
      <c r="G4" s="16" t="s">
        <v>131</v>
      </c>
    </row>
    <row r="5" spans="1:7">
      <c r="A5" s="4" t="s">
        <v>237</v>
      </c>
      <c r="B5" s="4" t="s">
        <v>14</v>
      </c>
      <c r="C5" s="6">
        <v>2.5</v>
      </c>
      <c r="D5" s="6">
        <v>10</v>
      </c>
      <c r="E5" s="5">
        <v>128000</v>
      </c>
      <c r="F5" s="4" t="s">
        <v>238</v>
      </c>
      <c r="G5" s="4" t="s">
        <v>181</v>
      </c>
    </row>
    <row r="6" spans="1:7">
      <c r="A6" s="7" t="s">
        <v>239</v>
      </c>
      <c r="B6" s="7" t="s">
        <v>14</v>
      </c>
      <c r="C6" s="9">
        <v>0.15</v>
      </c>
      <c r="D6" s="9">
        <v>0.6</v>
      </c>
      <c r="E6" s="8">
        <v>128000</v>
      </c>
      <c r="F6" s="7" t="s">
        <v>238</v>
      </c>
      <c r="G6" s="7" t="s">
        <v>240</v>
      </c>
    </row>
    <row r="7" spans="1:7">
      <c r="A7" s="4" t="s">
        <v>241</v>
      </c>
      <c r="B7" s="4" t="s">
        <v>14</v>
      </c>
      <c r="C7" s="6">
        <v>10</v>
      </c>
      <c r="D7" s="6">
        <v>40</v>
      </c>
      <c r="E7" s="5">
        <v>200000</v>
      </c>
      <c r="F7" s="4" t="s">
        <v>238</v>
      </c>
      <c r="G7" s="4" t="s">
        <v>242</v>
      </c>
    </row>
    <row r="8" spans="1:7">
      <c r="A8" s="7" t="s">
        <v>243</v>
      </c>
      <c r="B8" s="7" t="s">
        <v>14</v>
      </c>
      <c r="C8" s="9">
        <v>1.1</v>
      </c>
      <c r="D8" s="9">
        <v>4.4</v>
      </c>
      <c r="E8" s="8">
        <v>200000</v>
      </c>
      <c r="F8" s="7" t="s">
        <v>238</v>
      </c>
      <c r="G8" s="7" t="s">
        <v>244</v>
      </c>
    </row>
    <row r="9" spans="1:7">
      <c r="A9" s="4" t="s">
        <v>245</v>
      </c>
      <c r="B9" s="4" t="s">
        <v>20</v>
      </c>
      <c r="C9" s="6">
        <v>15</v>
      </c>
      <c r="D9" s="6">
        <v>75</v>
      </c>
      <c r="E9" s="5">
        <v>200000</v>
      </c>
      <c r="F9" s="4" t="s">
        <v>238</v>
      </c>
      <c r="G9" s="4" t="s">
        <v>246</v>
      </c>
    </row>
    <row r="10" spans="1:7">
      <c r="A10" s="7" t="s">
        <v>247</v>
      </c>
      <c r="B10" s="7" t="s">
        <v>20</v>
      </c>
      <c r="C10" s="9">
        <v>3</v>
      </c>
      <c r="D10" s="9">
        <v>15</v>
      </c>
      <c r="E10" s="8">
        <v>200000</v>
      </c>
      <c r="F10" s="7" t="s">
        <v>238</v>
      </c>
      <c r="G10" s="7" t="s">
        <v>248</v>
      </c>
    </row>
    <row r="11" spans="1:7">
      <c r="A11" s="4" t="s">
        <v>249</v>
      </c>
      <c r="B11" s="4" t="s">
        <v>20</v>
      </c>
      <c r="C11" s="6">
        <v>0.8</v>
      </c>
      <c r="D11" s="6">
        <v>4</v>
      </c>
      <c r="E11" s="5">
        <v>200000</v>
      </c>
      <c r="F11" s="4" t="s">
        <v>238</v>
      </c>
      <c r="G11" s="4" t="s">
        <v>250</v>
      </c>
    </row>
    <row r="12" spans="1:7">
      <c r="A12" s="7" t="s">
        <v>251</v>
      </c>
      <c r="B12" s="7" t="s">
        <v>252</v>
      </c>
      <c r="C12" s="9">
        <v>0.1</v>
      </c>
      <c r="D12" s="9">
        <v>0.4</v>
      </c>
      <c r="E12" s="8">
        <v>1000000</v>
      </c>
      <c r="F12" s="7" t="s">
        <v>238</v>
      </c>
      <c r="G12" s="7" t="s">
        <v>253</v>
      </c>
    </row>
    <row r="13" spans="1:7">
      <c r="A13" s="4" t="s">
        <v>254</v>
      </c>
      <c r="B13" s="4" t="s">
        <v>252</v>
      </c>
      <c r="C13" s="6">
        <v>1.25</v>
      </c>
      <c r="D13" s="6">
        <v>5</v>
      </c>
      <c r="E13" s="5">
        <v>1000000</v>
      </c>
      <c r="F13" s="4" t="s">
        <v>238</v>
      </c>
      <c r="G13" s="4" t="s">
        <v>255</v>
      </c>
    </row>
    <row r="14" spans="1:7">
      <c r="A14" s="7" t="s">
        <v>256</v>
      </c>
      <c r="B14" s="7" t="s">
        <v>257</v>
      </c>
      <c r="C14" s="9">
        <v>2</v>
      </c>
      <c r="D14" s="9">
        <v>6</v>
      </c>
      <c r="E14" s="8">
        <v>128000</v>
      </c>
      <c r="F14" s="7" t="s">
        <v>238</v>
      </c>
      <c r="G14" s="7" t="s">
        <v>258</v>
      </c>
    </row>
    <row r="15" spans="1:7">
      <c r="A15" s="4" t="s">
        <v>259</v>
      </c>
      <c r="B15" s="4" t="s">
        <v>71</v>
      </c>
      <c r="C15" s="6">
        <v>2.5</v>
      </c>
      <c r="D15" s="6">
        <v>10</v>
      </c>
      <c r="E15" s="5">
        <v>128000</v>
      </c>
      <c r="F15" s="4" t="s">
        <v>238</v>
      </c>
      <c r="G15" s="4" t="s">
        <v>260</v>
      </c>
    </row>
    <row r="16" spans="1:7">
      <c r="A16" s="7" t="s">
        <v>261</v>
      </c>
      <c r="B16" s="7" t="s">
        <v>262</v>
      </c>
      <c r="C16" s="9">
        <v>1</v>
      </c>
      <c r="D16" s="9">
        <v>1</v>
      </c>
      <c r="E16" s="8">
        <v>128000</v>
      </c>
      <c r="F16" s="7" t="s">
        <v>238</v>
      </c>
      <c r="G16" s="7" t="s">
        <v>263</v>
      </c>
    </row>
    <row r="17" spans="1:7">
      <c r="A17" s="4" t="s">
        <v>264</v>
      </c>
      <c r="B17" s="4" t="s">
        <v>265</v>
      </c>
      <c r="C17" s="6">
        <v>0.27</v>
      </c>
      <c r="D17" s="6">
        <v>1.1</v>
      </c>
      <c r="E17" s="5">
        <v>128000</v>
      </c>
      <c r="F17" s="4" t="s">
        <v>238</v>
      </c>
      <c r="G17" s="4" t="s">
        <v>266</v>
      </c>
    </row>
  </sheetData>
  <autoFilter ref="A4:G17"/>
  <mergeCells count="2">
    <mergeCell ref="A1:G1"/>
    <mergeCell ref="A2:G2"/>
  </mergeCells>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EF4444"/>
  </sheetPr>
  <dimension ref="A1:I50"/>
  <sheetViews>
    <sheetView showGridLines="0" workbookViewId="0"/>
  </sheetViews>
  <sheetFormatPr defaultRowHeight="15"/>
  <cols>
    <col min="1" max="1" width="38.7109375" customWidth="1"/>
    <col min="2" max="8" width="16.7109375" customWidth="1"/>
    <col min="9" max="9" width="14.7109375" customWidth="1"/>
  </cols>
  <sheetData>
    <row r="1" spans="1:9">
      <c r="A1" s="1" t="s">
        <v>267</v>
      </c>
      <c r="B1" s="1"/>
      <c r="C1" s="1"/>
      <c r="D1" s="1"/>
      <c r="E1" s="1"/>
      <c r="F1" s="1"/>
      <c r="G1" s="1"/>
      <c r="H1" s="1"/>
    </row>
    <row r="2" spans="1:9">
      <c r="A2" s="2" t="s">
        <v>268</v>
      </c>
      <c r="B2" s="2"/>
      <c r="C2" s="2"/>
      <c r="D2" s="2"/>
      <c r="E2" s="2"/>
      <c r="F2" s="2"/>
      <c r="G2" s="2"/>
      <c r="H2" s="2"/>
    </row>
    <row r="4" spans="1:9" ht="30" customHeight="1">
      <c r="A4" s="3" t="s">
        <v>269</v>
      </c>
      <c r="B4" s="3">
        <v>2024</v>
      </c>
      <c r="C4" s="3">
        <v>2025</v>
      </c>
      <c r="D4" s="3">
        <v>2026</v>
      </c>
      <c r="E4" s="3">
        <v>2027</v>
      </c>
      <c r="F4" s="3">
        <v>2028</v>
      </c>
      <c r="G4" s="3">
        <v>2029</v>
      </c>
      <c r="H4" s="3">
        <v>2030</v>
      </c>
      <c r="I4" s="3" t="s">
        <v>276</v>
      </c>
    </row>
    <row r="5" spans="1:9">
      <c r="A5" s="4" t="s">
        <v>270</v>
      </c>
      <c r="B5" s="6">
        <v>5.2</v>
      </c>
      <c r="C5" s="6">
        <v>14</v>
      </c>
      <c r="D5" s="6">
        <v>35</v>
      </c>
      <c r="E5" s="6">
        <v>68</v>
      </c>
      <c r="F5" s="6">
        <v>110</v>
      </c>
      <c r="G5" s="6">
        <v>165</v>
      </c>
      <c r="H5" s="6">
        <v>240</v>
      </c>
      <c r="I5" s="17">
        <v>0.8939477039637347</v>
      </c>
    </row>
    <row r="6" spans="1:9">
      <c r="A6" s="7" t="s">
        <v>271</v>
      </c>
      <c r="B6" s="9">
        <v>0.8</v>
      </c>
      <c r="C6" s="9">
        <v>2.5</v>
      </c>
      <c r="D6" s="9">
        <v>6.5</v>
      </c>
      <c r="E6" s="9">
        <v>13</v>
      </c>
      <c r="F6" s="9">
        <v>22</v>
      </c>
      <c r="G6" s="9">
        <v>34</v>
      </c>
      <c r="H6" s="9">
        <v>50</v>
      </c>
      <c r="I6" s="17">
        <v>0.9921100948292236</v>
      </c>
    </row>
    <row r="7" spans="1:9">
      <c r="A7" s="4" t="s">
        <v>272</v>
      </c>
      <c r="B7" s="6">
        <v>1.5</v>
      </c>
      <c r="C7" s="6">
        <v>4</v>
      </c>
      <c r="D7" s="6">
        <v>10</v>
      </c>
      <c r="E7" s="6">
        <v>20</v>
      </c>
      <c r="F7" s="6">
        <v>34</v>
      </c>
      <c r="G7" s="6">
        <v>52</v>
      </c>
      <c r="H7" s="6">
        <v>76</v>
      </c>
      <c r="I7" s="17">
        <v>0.9236248946388599</v>
      </c>
    </row>
    <row r="8" spans="1:9">
      <c r="A8" s="7" t="s">
        <v>273</v>
      </c>
      <c r="B8" s="9">
        <v>1.2</v>
      </c>
      <c r="C8" s="9">
        <v>3</v>
      </c>
      <c r="D8" s="9">
        <v>7.5</v>
      </c>
      <c r="E8" s="9">
        <v>14</v>
      </c>
      <c r="F8" s="9">
        <v>22</v>
      </c>
      <c r="G8" s="9">
        <v>32</v>
      </c>
      <c r="H8" s="9">
        <v>45</v>
      </c>
      <c r="I8" s="17">
        <v>0.8295258266586036</v>
      </c>
    </row>
    <row r="9" spans="1:9">
      <c r="A9" s="4" t="s">
        <v>274</v>
      </c>
      <c r="B9" s="6">
        <v>0.5</v>
      </c>
      <c r="C9" s="6">
        <v>1.5</v>
      </c>
      <c r="D9" s="6">
        <v>4</v>
      </c>
      <c r="E9" s="6">
        <v>8</v>
      </c>
      <c r="F9" s="6">
        <v>14</v>
      </c>
      <c r="G9" s="6">
        <v>22</v>
      </c>
      <c r="H9" s="6">
        <v>32</v>
      </c>
      <c r="I9" s="17">
        <v>1</v>
      </c>
    </row>
    <row r="10" spans="1:9">
      <c r="A10" s="7" t="s">
        <v>275</v>
      </c>
      <c r="B10" s="9">
        <v>1.2</v>
      </c>
      <c r="C10" s="9">
        <v>3</v>
      </c>
      <c r="D10" s="9">
        <v>7</v>
      </c>
      <c r="E10" s="9">
        <v>13</v>
      </c>
      <c r="F10" s="9">
        <v>18</v>
      </c>
      <c r="G10" s="9">
        <v>25</v>
      </c>
      <c r="H10" s="9">
        <v>37</v>
      </c>
      <c r="I10" s="17">
        <v>0.7708023093003622</v>
      </c>
    </row>
    <row r="12" spans="1:9">
      <c r="A12" s="12" t="s">
        <v>277</v>
      </c>
    </row>
    <row r="13" spans="1:9">
      <c r="A13" s="3" t="s">
        <v>269</v>
      </c>
      <c r="B13" s="3">
        <v>2024</v>
      </c>
      <c r="C13" s="3">
        <v>2025</v>
      </c>
      <c r="D13" s="3">
        <v>2026</v>
      </c>
      <c r="E13" s="3">
        <v>2027</v>
      </c>
      <c r="F13" s="3">
        <v>2028</v>
      </c>
      <c r="G13" s="3">
        <v>2029</v>
      </c>
      <c r="H13" s="3">
        <v>2030</v>
      </c>
    </row>
    <row r="14" spans="1:9">
      <c r="A14" s="4" t="s">
        <v>270</v>
      </c>
      <c r="B14" s="4" t="s">
        <v>278</v>
      </c>
      <c r="C14" s="18">
        <v>1.692307692307692</v>
      </c>
      <c r="D14" s="18">
        <v>1.5</v>
      </c>
      <c r="E14" s="18">
        <v>0.9428571428571428</v>
      </c>
      <c r="F14" s="18">
        <v>0.6176470588235294</v>
      </c>
      <c r="G14" s="18">
        <v>0.5</v>
      </c>
      <c r="H14" s="18">
        <v>0.4545454545454545</v>
      </c>
    </row>
    <row r="15" spans="1:9">
      <c r="A15" s="4" t="s">
        <v>271</v>
      </c>
      <c r="B15" s="4" t="s">
        <v>278</v>
      </c>
      <c r="C15" s="18">
        <v>2.125</v>
      </c>
      <c r="D15" s="18">
        <v>1.6</v>
      </c>
      <c r="E15" s="18">
        <v>1</v>
      </c>
      <c r="F15" s="18">
        <v>0.6923076923076923</v>
      </c>
      <c r="G15" s="18">
        <v>0.5454545454545454</v>
      </c>
      <c r="H15" s="18">
        <v>0.4705882352941176</v>
      </c>
    </row>
    <row r="16" spans="1:9">
      <c r="A16" s="4" t="s">
        <v>272</v>
      </c>
      <c r="B16" s="4" t="s">
        <v>278</v>
      </c>
      <c r="C16" s="18">
        <v>1.666666666666667</v>
      </c>
      <c r="D16" s="18">
        <v>1.5</v>
      </c>
      <c r="E16" s="18">
        <v>1</v>
      </c>
      <c r="F16" s="18">
        <v>0.7</v>
      </c>
      <c r="G16" s="18">
        <v>0.5294117647058824</v>
      </c>
      <c r="H16" s="18">
        <v>0.4615384615384616</v>
      </c>
    </row>
    <row r="17" spans="1:8">
      <c r="A17" s="4" t="s">
        <v>273</v>
      </c>
      <c r="B17" s="4" t="s">
        <v>278</v>
      </c>
      <c r="C17" s="18">
        <v>1.5</v>
      </c>
      <c r="D17" s="18">
        <v>1.5</v>
      </c>
      <c r="E17" s="18">
        <v>0.8666666666666667</v>
      </c>
      <c r="F17" s="18">
        <v>0.5714285714285714</v>
      </c>
      <c r="G17" s="18">
        <v>0.4545454545454545</v>
      </c>
      <c r="H17" s="18">
        <v>0.40625</v>
      </c>
    </row>
    <row r="18" spans="1:8">
      <c r="A18" s="4" t="s">
        <v>274</v>
      </c>
      <c r="B18" s="4" t="s">
        <v>278</v>
      </c>
      <c r="C18" s="18">
        <v>2</v>
      </c>
      <c r="D18" s="18">
        <v>1.666666666666667</v>
      </c>
      <c r="E18" s="18">
        <v>1</v>
      </c>
      <c r="F18" s="18">
        <v>0.75</v>
      </c>
      <c r="G18" s="18">
        <v>0.5714285714285714</v>
      </c>
      <c r="H18" s="18">
        <v>0.4545454545454545</v>
      </c>
    </row>
    <row r="19" spans="1:8">
      <c r="A19" s="4" t="s">
        <v>275</v>
      </c>
      <c r="B19" s="4" t="s">
        <v>278</v>
      </c>
      <c r="C19" s="18">
        <v>1.5</v>
      </c>
      <c r="D19" s="18">
        <v>1.333333333333333</v>
      </c>
      <c r="E19" s="18">
        <v>0.8571428571428571</v>
      </c>
      <c r="F19" s="18">
        <v>0.3846153846153846</v>
      </c>
      <c r="G19" s="18">
        <v>0.3888888888888889</v>
      </c>
      <c r="H19" s="18">
        <v>0.48</v>
      </c>
    </row>
    <row r="50" spans="1:9">
      <c r="A50" s="10" t="s">
        <v>279</v>
      </c>
      <c r="B50" s="10"/>
      <c r="C50" s="10"/>
      <c r="D50" s="10"/>
      <c r="E50" s="10"/>
      <c r="F50" s="10"/>
      <c r="G50" s="10"/>
      <c r="H50" s="10"/>
      <c r="I50" s="10"/>
    </row>
  </sheetData>
  <mergeCells count="3">
    <mergeCell ref="A1:H1"/>
    <mergeCell ref="A2:H2"/>
    <mergeCell ref="A50:I5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sheetPr>
    <tabColor rgb="FF3B82F6"/>
  </sheetPr>
  <dimension ref="A1:I50"/>
  <sheetViews>
    <sheetView showGridLines="0" workbookViewId="0"/>
  </sheetViews>
  <sheetFormatPr defaultRowHeight="15"/>
  <cols>
    <col min="1" max="1" width="38.7109375" customWidth="1"/>
    <col min="2" max="8" width="16.7109375" customWidth="1"/>
    <col min="9" max="9" width="14.7109375" customWidth="1"/>
  </cols>
  <sheetData>
    <row r="1" spans="1:9">
      <c r="A1" s="1" t="s">
        <v>280</v>
      </c>
      <c r="B1" s="1"/>
      <c r="C1" s="1"/>
      <c r="D1" s="1"/>
      <c r="E1" s="1"/>
      <c r="F1" s="1"/>
      <c r="G1" s="1"/>
      <c r="H1" s="1"/>
    </row>
    <row r="2" spans="1:9">
      <c r="A2" s="2" t="s">
        <v>268</v>
      </c>
      <c r="B2" s="2"/>
      <c r="C2" s="2"/>
      <c r="D2" s="2"/>
      <c r="E2" s="2"/>
      <c r="F2" s="2"/>
      <c r="G2" s="2"/>
      <c r="H2" s="2"/>
    </row>
    <row r="4" spans="1:9" ht="30" customHeight="1">
      <c r="A4" s="3" t="s">
        <v>269</v>
      </c>
      <c r="B4" s="3">
        <v>2024</v>
      </c>
      <c r="C4" s="3">
        <v>2025</v>
      </c>
      <c r="D4" s="3">
        <v>2026</v>
      </c>
      <c r="E4" s="3">
        <v>2027</v>
      </c>
      <c r="F4" s="3">
        <v>2028</v>
      </c>
      <c r="G4" s="3">
        <v>2029</v>
      </c>
      <c r="H4" s="3">
        <v>2030</v>
      </c>
      <c r="I4" s="3" t="s">
        <v>276</v>
      </c>
    </row>
    <row r="5" spans="1:9">
      <c r="A5" s="4" t="s">
        <v>281</v>
      </c>
      <c r="B5" s="6">
        <v>2</v>
      </c>
      <c r="C5" s="6">
        <v>12</v>
      </c>
      <c r="D5" s="6">
        <v>50</v>
      </c>
      <c r="E5" s="6">
        <v>150</v>
      </c>
      <c r="F5" s="6">
        <v>400</v>
      </c>
      <c r="G5" s="6">
        <v>900</v>
      </c>
      <c r="H5" s="6">
        <v>1800</v>
      </c>
      <c r="I5" s="17">
        <v>2.107232505953859</v>
      </c>
    </row>
    <row r="6" spans="1:9">
      <c r="A6" s="7" t="s">
        <v>282</v>
      </c>
      <c r="B6" s="9">
        <v>0.5</v>
      </c>
      <c r="C6" s="9">
        <v>3</v>
      </c>
      <c r="D6" s="9">
        <v>12</v>
      </c>
      <c r="E6" s="9">
        <v>35</v>
      </c>
      <c r="F6" s="9">
        <v>90</v>
      </c>
      <c r="G6" s="9">
        <v>200</v>
      </c>
      <c r="H6" s="9">
        <v>400</v>
      </c>
      <c r="I6" s="17">
        <v>2.046830757890165</v>
      </c>
    </row>
    <row r="7" spans="1:9">
      <c r="A7" s="4" t="s">
        <v>283</v>
      </c>
      <c r="B7" s="6">
        <v>0.4</v>
      </c>
      <c r="C7" s="6">
        <v>2.5</v>
      </c>
      <c r="D7" s="6">
        <v>10</v>
      </c>
      <c r="E7" s="6">
        <v>30</v>
      </c>
      <c r="F7" s="6">
        <v>80</v>
      </c>
      <c r="G7" s="6">
        <v>180</v>
      </c>
      <c r="H7" s="6">
        <v>360</v>
      </c>
      <c r="I7" s="17">
        <v>2.107232505953859</v>
      </c>
    </row>
    <row r="8" spans="1:9">
      <c r="A8" s="7" t="s">
        <v>284</v>
      </c>
      <c r="B8" s="9">
        <v>0.8</v>
      </c>
      <c r="C8" s="9">
        <v>4</v>
      </c>
      <c r="D8" s="9">
        <v>18</v>
      </c>
      <c r="E8" s="9">
        <v>55</v>
      </c>
      <c r="F8" s="9">
        <v>150</v>
      </c>
      <c r="G8" s="9">
        <v>340</v>
      </c>
      <c r="H8" s="9">
        <v>680</v>
      </c>
      <c r="I8" s="17">
        <v>2.077772306695071</v>
      </c>
    </row>
    <row r="9" spans="1:9">
      <c r="A9" s="4" t="s">
        <v>285</v>
      </c>
      <c r="B9" s="6">
        <v>0.2</v>
      </c>
      <c r="C9" s="6">
        <v>1.5</v>
      </c>
      <c r="D9" s="6">
        <v>6</v>
      </c>
      <c r="E9" s="6">
        <v>18</v>
      </c>
      <c r="F9" s="6">
        <v>50</v>
      </c>
      <c r="G9" s="6">
        <v>110</v>
      </c>
      <c r="H9" s="6">
        <v>220</v>
      </c>
      <c r="I9" s="17">
        <v>2.212911631925732</v>
      </c>
    </row>
    <row r="10" spans="1:9">
      <c r="A10" s="7" t="s">
        <v>286</v>
      </c>
      <c r="B10" s="9">
        <v>0.1</v>
      </c>
      <c r="C10" s="9">
        <v>1</v>
      </c>
      <c r="D10" s="9">
        <v>4</v>
      </c>
      <c r="E10" s="9">
        <v>12</v>
      </c>
      <c r="F10" s="9">
        <v>30</v>
      </c>
      <c r="G10" s="9">
        <v>70</v>
      </c>
      <c r="H10" s="9">
        <v>140</v>
      </c>
      <c r="I10" s="17">
        <v>2.344680765157411</v>
      </c>
    </row>
    <row r="12" spans="1:9">
      <c r="A12" s="12" t="s">
        <v>277</v>
      </c>
    </row>
    <row r="13" spans="1:9">
      <c r="A13" s="3" t="s">
        <v>269</v>
      </c>
      <c r="B13" s="3">
        <v>2024</v>
      </c>
      <c r="C13" s="3">
        <v>2025</v>
      </c>
      <c r="D13" s="3">
        <v>2026</v>
      </c>
      <c r="E13" s="3">
        <v>2027</v>
      </c>
      <c r="F13" s="3">
        <v>2028</v>
      </c>
      <c r="G13" s="3">
        <v>2029</v>
      </c>
      <c r="H13" s="3">
        <v>2030</v>
      </c>
    </row>
    <row r="14" spans="1:9">
      <c r="A14" s="4" t="s">
        <v>281</v>
      </c>
      <c r="B14" s="4" t="s">
        <v>278</v>
      </c>
      <c r="C14" s="18">
        <v>5</v>
      </c>
      <c r="D14" s="18">
        <v>3.166666666666667</v>
      </c>
      <c r="E14" s="18">
        <v>2</v>
      </c>
      <c r="F14" s="18">
        <v>1.666666666666667</v>
      </c>
      <c r="G14" s="18">
        <v>1.25</v>
      </c>
      <c r="H14" s="18">
        <v>1</v>
      </c>
    </row>
    <row r="15" spans="1:9">
      <c r="A15" s="4" t="s">
        <v>282</v>
      </c>
      <c r="B15" s="4" t="s">
        <v>278</v>
      </c>
      <c r="C15" s="18">
        <v>5</v>
      </c>
      <c r="D15" s="18">
        <v>3</v>
      </c>
      <c r="E15" s="18">
        <v>1.916666666666667</v>
      </c>
      <c r="F15" s="18">
        <v>1.571428571428571</v>
      </c>
      <c r="G15" s="18">
        <v>1.222222222222222</v>
      </c>
      <c r="H15" s="18">
        <v>1</v>
      </c>
    </row>
    <row r="16" spans="1:9">
      <c r="A16" s="4" t="s">
        <v>283</v>
      </c>
      <c r="B16" s="4" t="s">
        <v>278</v>
      </c>
      <c r="C16" s="18">
        <v>5.25</v>
      </c>
      <c r="D16" s="18">
        <v>3</v>
      </c>
      <c r="E16" s="18">
        <v>2</v>
      </c>
      <c r="F16" s="18">
        <v>1.666666666666667</v>
      </c>
      <c r="G16" s="18">
        <v>1.25</v>
      </c>
      <c r="H16" s="18">
        <v>1</v>
      </c>
    </row>
    <row r="17" spans="1:8">
      <c r="A17" s="4" t="s">
        <v>284</v>
      </c>
      <c r="B17" s="4" t="s">
        <v>278</v>
      </c>
      <c r="C17" s="18">
        <v>4</v>
      </c>
      <c r="D17" s="18">
        <v>3.5</v>
      </c>
      <c r="E17" s="18">
        <v>2.055555555555555</v>
      </c>
      <c r="F17" s="18">
        <v>1.727272727272727</v>
      </c>
      <c r="G17" s="18">
        <v>1.266666666666667</v>
      </c>
      <c r="H17" s="18">
        <v>1</v>
      </c>
    </row>
    <row r="18" spans="1:8">
      <c r="A18" s="4" t="s">
        <v>285</v>
      </c>
      <c r="B18" s="4" t="s">
        <v>278</v>
      </c>
      <c r="C18" s="18">
        <v>6.5</v>
      </c>
      <c r="D18" s="18">
        <v>3</v>
      </c>
      <c r="E18" s="18">
        <v>2</v>
      </c>
      <c r="F18" s="18">
        <v>1.777777777777778</v>
      </c>
      <c r="G18" s="18">
        <v>1.2</v>
      </c>
      <c r="H18" s="18">
        <v>1</v>
      </c>
    </row>
    <row r="19" spans="1:8">
      <c r="A19" s="4" t="s">
        <v>286</v>
      </c>
      <c r="B19" s="4" t="s">
        <v>278</v>
      </c>
      <c r="C19" s="18">
        <v>9</v>
      </c>
      <c r="D19" s="18">
        <v>3</v>
      </c>
      <c r="E19" s="18">
        <v>2</v>
      </c>
      <c r="F19" s="18">
        <v>1.5</v>
      </c>
      <c r="G19" s="18">
        <v>1.333333333333333</v>
      </c>
      <c r="H19" s="18">
        <v>1</v>
      </c>
    </row>
    <row r="50" spans="1:9">
      <c r="A50" s="10" t="s">
        <v>279</v>
      </c>
      <c r="B50" s="10"/>
      <c r="C50" s="10"/>
      <c r="D50" s="10"/>
      <c r="E50" s="10"/>
      <c r="F50" s="10"/>
      <c r="G50" s="10"/>
      <c r="H50" s="10"/>
      <c r="I50" s="10"/>
    </row>
  </sheetData>
  <mergeCells count="3">
    <mergeCell ref="A1:H1"/>
    <mergeCell ref="A2:H2"/>
    <mergeCell ref="A50:I5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sheetPr>
    <tabColor rgb="FF8B5CF6"/>
  </sheetPr>
  <dimension ref="A1:I46"/>
  <sheetViews>
    <sheetView showGridLines="0" workbookViewId="0"/>
  </sheetViews>
  <sheetFormatPr defaultRowHeight="15"/>
  <cols>
    <col min="1" max="1" width="38.7109375" customWidth="1"/>
    <col min="2" max="8" width="16.7109375" customWidth="1"/>
    <col min="9" max="9" width="14.7109375" customWidth="1"/>
  </cols>
  <sheetData>
    <row r="1" spans="1:9">
      <c r="A1" s="1" t="s">
        <v>287</v>
      </c>
      <c r="B1" s="1"/>
      <c r="C1" s="1"/>
      <c r="D1" s="1"/>
      <c r="E1" s="1"/>
      <c r="F1" s="1"/>
      <c r="G1" s="1"/>
      <c r="H1" s="1"/>
    </row>
    <row r="2" spans="1:9">
      <c r="A2" s="2" t="s">
        <v>268</v>
      </c>
      <c r="B2" s="2"/>
      <c r="C2" s="2"/>
      <c r="D2" s="2"/>
      <c r="E2" s="2"/>
      <c r="F2" s="2"/>
      <c r="G2" s="2"/>
      <c r="H2" s="2"/>
    </row>
    <row r="4" spans="1:9" ht="30" customHeight="1">
      <c r="A4" s="3" t="s">
        <v>269</v>
      </c>
      <c r="B4" s="3">
        <v>2024</v>
      </c>
      <c r="C4" s="3">
        <v>2025</v>
      </c>
      <c r="D4" s="3">
        <v>2026</v>
      </c>
      <c r="E4" s="3">
        <v>2027</v>
      </c>
      <c r="F4" s="3">
        <v>2028</v>
      </c>
      <c r="G4" s="3">
        <v>2029</v>
      </c>
      <c r="H4" s="3">
        <v>2030</v>
      </c>
      <c r="I4" s="3" t="s">
        <v>276</v>
      </c>
    </row>
    <row r="5" spans="1:9">
      <c r="A5" s="4" t="s">
        <v>288</v>
      </c>
      <c r="B5" s="6">
        <v>50</v>
      </c>
      <c r="C5" s="6">
        <v>350</v>
      </c>
      <c r="D5" s="6">
        <v>1500</v>
      </c>
      <c r="E5" s="6">
        <v>5000</v>
      </c>
      <c r="F5" s="6">
        <v>15000</v>
      </c>
      <c r="G5" s="6">
        <v>40000</v>
      </c>
      <c r="H5" s="6">
        <v>100000</v>
      </c>
      <c r="I5" s="17">
        <v>2.54953665975557</v>
      </c>
    </row>
    <row r="6" spans="1:9">
      <c r="A6" s="7" t="s">
        <v>289</v>
      </c>
      <c r="B6" s="9">
        <v>30</v>
      </c>
      <c r="C6" s="9">
        <v>210</v>
      </c>
      <c r="D6" s="9">
        <v>900</v>
      </c>
      <c r="E6" s="9">
        <v>3000</v>
      </c>
      <c r="F6" s="9">
        <v>9000</v>
      </c>
      <c r="G6" s="9">
        <v>24000</v>
      </c>
      <c r="H6" s="9">
        <v>60000</v>
      </c>
      <c r="I6" s="17">
        <v>2.54953665975557</v>
      </c>
    </row>
    <row r="7" spans="1:9">
      <c r="A7" s="4" t="s">
        <v>290</v>
      </c>
      <c r="B7" s="6">
        <v>12</v>
      </c>
      <c r="C7" s="6">
        <v>84</v>
      </c>
      <c r="D7" s="6">
        <v>360</v>
      </c>
      <c r="E7" s="6">
        <v>1200</v>
      </c>
      <c r="F7" s="6">
        <v>3600</v>
      </c>
      <c r="G7" s="6">
        <v>9600</v>
      </c>
      <c r="H7" s="6">
        <v>24000</v>
      </c>
      <c r="I7" s="17">
        <v>2.54953665975557</v>
      </c>
    </row>
    <row r="8" spans="1:9">
      <c r="A8" s="7" t="s">
        <v>291</v>
      </c>
      <c r="B8" s="9">
        <v>8</v>
      </c>
      <c r="C8" s="9">
        <v>56</v>
      </c>
      <c r="D8" s="9">
        <v>240</v>
      </c>
      <c r="E8" s="9">
        <v>800</v>
      </c>
      <c r="F8" s="9">
        <v>2400</v>
      </c>
      <c r="G8" s="9">
        <v>6400</v>
      </c>
      <c r="H8" s="9">
        <v>16000</v>
      </c>
      <c r="I8" s="17">
        <v>2.54953665975557</v>
      </c>
    </row>
    <row r="10" spans="1:9">
      <c r="A10" s="12" t="s">
        <v>277</v>
      </c>
    </row>
    <row r="11" spans="1:9">
      <c r="A11" s="3" t="s">
        <v>269</v>
      </c>
      <c r="B11" s="3">
        <v>2024</v>
      </c>
      <c r="C11" s="3">
        <v>2025</v>
      </c>
      <c r="D11" s="3">
        <v>2026</v>
      </c>
      <c r="E11" s="3">
        <v>2027</v>
      </c>
      <c r="F11" s="3">
        <v>2028</v>
      </c>
      <c r="G11" s="3">
        <v>2029</v>
      </c>
      <c r="H11" s="3">
        <v>2030</v>
      </c>
    </row>
    <row r="12" spans="1:9">
      <c r="A12" s="4" t="s">
        <v>288</v>
      </c>
      <c r="B12" s="4" t="s">
        <v>278</v>
      </c>
      <c r="C12" s="18">
        <v>6</v>
      </c>
      <c r="D12" s="18">
        <v>3.285714285714286</v>
      </c>
      <c r="E12" s="18">
        <v>2.333333333333333</v>
      </c>
      <c r="F12" s="18">
        <v>2</v>
      </c>
      <c r="G12" s="18">
        <v>1.666666666666667</v>
      </c>
      <c r="H12" s="18">
        <v>1.5</v>
      </c>
    </row>
    <row r="13" spans="1:9">
      <c r="A13" s="4" t="s">
        <v>289</v>
      </c>
      <c r="B13" s="4" t="s">
        <v>278</v>
      </c>
      <c r="C13" s="18">
        <v>6</v>
      </c>
      <c r="D13" s="18">
        <v>3.285714285714286</v>
      </c>
      <c r="E13" s="18">
        <v>2.333333333333333</v>
      </c>
      <c r="F13" s="18">
        <v>2</v>
      </c>
      <c r="G13" s="18">
        <v>1.666666666666667</v>
      </c>
      <c r="H13" s="18">
        <v>1.5</v>
      </c>
    </row>
    <row r="14" spans="1:9">
      <c r="A14" s="4" t="s">
        <v>290</v>
      </c>
      <c r="B14" s="4" t="s">
        <v>278</v>
      </c>
      <c r="C14" s="18">
        <v>6</v>
      </c>
      <c r="D14" s="18">
        <v>3.285714285714286</v>
      </c>
      <c r="E14" s="18">
        <v>2.333333333333333</v>
      </c>
      <c r="F14" s="18">
        <v>2</v>
      </c>
      <c r="G14" s="18">
        <v>1.666666666666667</v>
      </c>
      <c r="H14" s="18">
        <v>1.5</v>
      </c>
    </row>
    <row r="15" spans="1:9">
      <c r="A15" s="4" t="s">
        <v>291</v>
      </c>
      <c r="B15" s="4" t="s">
        <v>278</v>
      </c>
      <c r="C15" s="18">
        <v>6</v>
      </c>
      <c r="D15" s="18">
        <v>3.285714285714286</v>
      </c>
      <c r="E15" s="18">
        <v>2.333333333333333</v>
      </c>
      <c r="F15" s="18">
        <v>2</v>
      </c>
      <c r="G15" s="18">
        <v>1.666666666666667</v>
      </c>
      <c r="H15" s="18">
        <v>1.5</v>
      </c>
    </row>
    <row r="46" spans="1:9">
      <c r="A46" s="10" t="s">
        <v>279</v>
      </c>
      <c r="B46" s="10"/>
      <c r="C46" s="10"/>
      <c r="D46" s="10"/>
      <c r="E46" s="10"/>
      <c r="F46" s="10"/>
      <c r="G46" s="10"/>
      <c r="H46" s="10"/>
      <c r="I46" s="10"/>
    </row>
  </sheetData>
  <mergeCells count="3">
    <mergeCell ref="A1:H1"/>
    <mergeCell ref="A2:H2"/>
    <mergeCell ref="A46:I4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sheetPr>
    <tabColor rgb="FFF59E0B"/>
  </sheetPr>
  <dimension ref="A1:I46"/>
  <sheetViews>
    <sheetView showGridLines="0" workbookViewId="0"/>
  </sheetViews>
  <sheetFormatPr defaultRowHeight="15"/>
  <cols>
    <col min="1" max="1" width="38.7109375" customWidth="1"/>
    <col min="2" max="8" width="16.7109375" customWidth="1"/>
    <col min="9" max="9" width="14.7109375" customWidth="1"/>
  </cols>
  <sheetData>
    <row r="1" spans="1:9">
      <c r="A1" s="1" t="s">
        <v>292</v>
      </c>
      <c r="B1" s="1"/>
      <c r="C1" s="1"/>
      <c r="D1" s="1"/>
      <c r="E1" s="1"/>
      <c r="F1" s="1"/>
      <c r="G1" s="1"/>
      <c r="H1" s="1"/>
    </row>
    <row r="2" spans="1:9">
      <c r="A2" s="2" t="s">
        <v>268</v>
      </c>
      <c r="B2" s="2"/>
      <c r="C2" s="2"/>
      <c r="D2" s="2"/>
      <c r="E2" s="2"/>
      <c r="F2" s="2"/>
      <c r="G2" s="2"/>
      <c r="H2" s="2"/>
    </row>
    <row r="4" spans="1:9" ht="30" customHeight="1">
      <c r="A4" s="3" t="s">
        <v>269</v>
      </c>
      <c r="B4" s="3">
        <v>2024</v>
      </c>
      <c r="C4" s="3">
        <v>2025</v>
      </c>
      <c r="D4" s="3">
        <v>2026</v>
      </c>
      <c r="E4" s="3">
        <v>2027</v>
      </c>
      <c r="F4" s="3">
        <v>2028</v>
      </c>
      <c r="G4" s="3">
        <v>2029</v>
      </c>
      <c r="H4" s="3">
        <v>2030</v>
      </c>
      <c r="I4" s="3" t="s">
        <v>276</v>
      </c>
    </row>
    <row r="5" spans="1:9">
      <c r="A5" s="4" t="s">
        <v>293</v>
      </c>
      <c r="B5" s="6">
        <v>15</v>
      </c>
      <c r="C5" s="6">
        <v>10</v>
      </c>
      <c r="D5" s="6">
        <v>6.5</v>
      </c>
      <c r="E5" s="6">
        <v>4</v>
      </c>
      <c r="F5" s="6">
        <v>2.5</v>
      </c>
      <c r="G5" s="6">
        <v>1.5</v>
      </c>
      <c r="H5" s="6">
        <v>0.8</v>
      </c>
      <c r="I5" s="17">
        <v>-0.3864737890257569</v>
      </c>
    </row>
    <row r="6" spans="1:9">
      <c r="A6" s="7" t="s">
        <v>294</v>
      </c>
      <c r="B6" s="9">
        <v>0.6</v>
      </c>
      <c r="C6" s="9">
        <v>0.3</v>
      </c>
      <c r="D6" s="9">
        <v>0.15</v>
      </c>
      <c r="E6" s="9">
        <v>0.08</v>
      </c>
      <c r="F6" s="9">
        <v>0.04</v>
      </c>
      <c r="G6" s="9">
        <v>0.02</v>
      </c>
      <c r="H6" s="9">
        <v>0.01</v>
      </c>
      <c r="I6" s="17">
        <v>-0.4945927607715559</v>
      </c>
    </row>
    <row r="7" spans="1:9">
      <c r="A7" s="4" t="s">
        <v>295</v>
      </c>
      <c r="B7" s="6">
        <v>0.3</v>
      </c>
      <c r="C7" s="6">
        <v>0.15</v>
      </c>
      <c r="D7" s="6">
        <v>0.08</v>
      </c>
      <c r="E7" s="6">
        <v>0.04</v>
      </c>
      <c r="F7" s="6">
        <v>0.02</v>
      </c>
      <c r="G7" s="6">
        <v>0.01</v>
      </c>
      <c r="H7" s="6">
        <v>0.005</v>
      </c>
      <c r="I7" s="17">
        <v>-0.4945927607715559</v>
      </c>
    </row>
    <row r="8" spans="1:9">
      <c r="A8" s="7" t="s">
        <v>296</v>
      </c>
      <c r="B8" s="9">
        <v>5</v>
      </c>
      <c r="C8" s="9">
        <v>3</v>
      </c>
      <c r="D8" s="9">
        <v>1.8</v>
      </c>
      <c r="E8" s="9">
        <v>1</v>
      </c>
      <c r="F8" s="9">
        <v>0.55</v>
      </c>
      <c r="G8" s="9">
        <v>0.3</v>
      </c>
      <c r="H8" s="9">
        <v>0.15</v>
      </c>
      <c r="I8" s="17">
        <v>-0.4425744438982135</v>
      </c>
    </row>
    <row r="10" spans="1:9">
      <c r="A10" s="12" t="s">
        <v>277</v>
      </c>
    </row>
    <row r="11" spans="1:9">
      <c r="A11" s="3" t="s">
        <v>269</v>
      </c>
      <c r="B11" s="3">
        <v>2024</v>
      </c>
      <c r="C11" s="3">
        <v>2025</v>
      </c>
      <c r="D11" s="3">
        <v>2026</v>
      </c>
      <c r="E11" s="3">
        <v>2027</v>
      </c>
      <c r="F11" s="3">
        <v>2028</v>
      </c>
      <c r="G11" s="3">
        <v>2029</v>
      </c>
      <c r="H11" s="3">
        <v>2030</v>
      </c>
    </row>
    <row r="12" spans="1:9">
      <c r="A12" s="4" t="s">
        <v>293</v>
      </c>
      <c r="B12" s="4" t="s">
        <v>278</v>
      </c>
      <c r="C12" s="19">
        <v>-0.3333333333333333</v>
      </c>
      <c r="D12" s="19">
        <v>-0.35</v>
      </c>
      <c r="E12" s="19">
        <v>-0.3846153846153846</v>
      </c>
      <c r="F12" s="19">
        <v>-0.375</v>
      </c>
      <c r="G12" s="19">
        <v>-0.4</v>
      </c>
      <c r="H12" s="19">
        <v>-0.4666666666666666</v>
      </c>
    </row>
    <row r="13" spans="1:9">
      <c r="A13" s="4" t="s">
        <v>294</v>
      </c>
      <c r="B13" s="4" t="s">
        <v>278</v>
      </c>
      <c r="C13" s="19">
        <v>-0.5</v>
      </c>
      <c r="D13" s="19">
        <v>-0.5</v>
      </c>
      <c r="E13" s="19">
        <v>-0.4666666666666666</v>
      </c>
      <c r="F13" s="19">
        <v>-0.5</v>
      </c>
      <c r="G13" s="19">
        <v>-0.5</v>
      </c>
      <c r="H13" s="19">
        <v>-0.5</v>
      </c>
    </row>
    <row r="14" spans="1:9">
      <c r="A14" s="4" t="s">
        <v>295</v>
      </c>
      <c r="B14" s="4" t="s">
        <v>278</v>
      </c>
      <c r="C14" s="19">
        <v>-0.5</v>
      </c>
      <c r="D14" s="19">
        <v>-0.4666666666666666</v>
      </c>
      <c r="E14" s="19">
        <v>-0.5</v>
      </c>
      <c r="F14" s="19">
        <v>-0.5</v>
      </c>
      <c r="G14" s="19">
        <v>-0.5</v>
      </c>
      <c r="H14" s="19">
        <v>-0.5</v>
      </c>
    </row>
    <row r="15" spans="1:9">
      <c r="A15" s="4" t="s">
        <v>296</v>
      </c>
      <c r="B15" s="4" t="s">
        <v>278</v>
      </c>
      <c r="C15" s="19">
        <v>-0.4</v>
      </c>
      <c r="D15" s="19">
        <v>-0.4</v>
      </c>
      <c r="E15" s="19">
        <v>-0.4444444444444445</v>
      </c>
      <c r="F15" s="19">
        <v>-0.45</v>
      </c>
      <c r="G15" s="19">
        <v>-0.4545454545454546</v>
      </c>
      <c r="H15" s="19">
        <v>-0.5</v>
      </c>
    </row>
    <row r="46" spans="1:9">
      <c r="A46" s="10" t="s">
        <v>279</v>
      </c>
      <c r="B46" s="10"/>
      <c r="C46" s="10"/>
      <c r="D46" s="10"/>
      <c r="E46" s="10"/>
      <c r="F46" s="10"/>
      <c r="G46" s="10"/>
      <c r="H46" s="10"/>
      <c r="I46" s="10"/>
    </row>
  </sheetData>
  <mergeCells count="3">
    <mergeCell ref="A1:H1"/>
    <mergeCell ref="A2:H2"/>
    <mergeCell ref="A46:I4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sheetPr>
    <tabColor rgb="FF10B981"/>
  </sheetPr>
  <dimension ref="A1:I46"/>
  <sheetViews>
    <sheetView showGridLines="0" workbookViewId="0"/>
  </sheetViews>
  <sheetFormatPr defaultRowHeight="15"/>
  <cols>
    <col min="1" max="1" width="38.7109375" customWidth="1"/>
    <col min="2" max="8" width="16.7109375" customWidth="1"/>
    <col min="9" max="9" width="14.7109375" customWidth="1"/>
  </cols>
  <sheetData>
    <row r="1" spans="1:9">
      <c r="A1" s="1" t="s">
        <v>297</v>
      </c>
      <c r="B1" s="1"/>
      <c r="C1" s="1"/>
      <c r="D1" s="1"/>
      <c r="E1" s="1"/>
      <c r="F1" s="1"/>
      <c r="G1" s="1"/>
      <c r="H1" s="1"/>
    </row>
    <row r="2" spans="1:9">
      <c r="A2" s="2" t="s">
        <v>268</v>
      </c>
      <c r="B2" s="2"/>
      <c r="C2" s="2"/>
      <c r="D2" s="2"/>
      <c r="E2" s="2"/>
      <c r="F2" s="2"/>
      <c r="G2" s="2"/>
      <c r="H2" s="2"/>
    </row>
    <row r="4" spans="1:9" ht="30" customHeight="1">
      <c r="A4" s="3" t="s">
        <v>269</v>
      </c>
      <c r="B4" s="3">
        <v>2024</v>
      </c>
      <c r="C4" s="3">
        <v>2025</v>
      </c>
      <c r="D4" s="3">
        <v>2026</v>
      </c>
      <c r="E4" s="3">
        <v>2027</v>
      </c>
      <c r="F4" s="3">
        <v>2028</v>
      </c>
      <c r="G4" s="3">
        <v>2029</v>
      </c>
      <c r="H4" s="3">
        <v>2030</v>
      </c>
      <c r="I4" s="3" t="s">
        <v>276</v>
      </c>
    </row>
    <row r="5" spans="1:9">
      <c r="A5" s="4" t="s">
        <v>298</v>
      </c>
      <c r="B5" s="6">
        <v>8</v>
      </c>
      <c r="C5" s="6">
        <v>5</v>
      </c>
      <c r="D5" s="6">
        <v>3.5</v>
      </c>
      <c r="E5" s="6">
        <v>2.5</v>
      </c>
      <c r="F5" s="6">
        <v>1.8</v>
      </c>
      <c r="G5" s="6">
        <v>1.2</v>
      </c>
      <c r="H5" s="6">
        <v>0.8</v>
      </c>
      <c r="I5" s="17">
        <v>-0.3187079309420386</v>
      </c>
    </row>
    <row r="6" spans="1:9">
      <c r="A6" s="7" t="s">
        <v>299</v>
      </c>
      <c r="B6" s="9">
        <v>300</v>
      </c>
      <c r="C6" s="9">
        <v>180</v>
      </c>
      <c r="D6" s="9">
        <v>120</v>
      </c>
      <c r="E6" s="9">
        <v>80</v>
      </c>
      <c r="F6" s="9">
        <v>55</v>
      </c>
      <c r="G6" s="9">
        <v>38</v>
      </c>
      <c r="H6" s="9">
        <v>25</v>
      </c>
      <c r="I6" s="17">
        <v>-0.3390989239166353</v>
      </c>
    </row>
    <row r="7" spans="1:9">
      <c r="A7" s="4" t="s">
        <v>300</v>
      </c>
      <c r="B7" s="6">
        <v>1800</v>
      </c>
      <c r="C7" s="6">
        <v>1200</v>
      </c>
      <c r="D7" s="6">
        <v>900</v>
      </c>
      <c r="E7" s="6">
        <v>600</v>
      </c>
      <c r="F7" s="6">
        <v>420</v>
      </c>
      <c r="G7" s="6">
        <v>300</v>
      </c>
      <c r="H7" s="6">
        <v>200</v>
      </c>
      <c r="I7" s="17">
        <v>-0.3066387256493653</v>
      </c>
    </row>
    <row r="8" spans="1:9">
      <c r="A8" s="7" t="s">
        <v>301</v>
      </c>
      <c r="B8" s="9">
        <v>800</v>
      </c>
      <c r="C8" s="9">
        <v>500</v>
      </c>
      <c r="D8" s="9">
        <v>300</v>
      </c>
      <c r="E8" s="9">
        <v>180</v>
      </c>
      <c r="F8" s="9">
        <v>120</v>
      </c>
      <c r="G8" s="9">
        <v>80</v>
      </c>
      <c r="H8" s="9">
        <v>50</v>
      </c>
      <c r="I8" s="17">
        <v>-0.3700394750525634</v>
      </c>
    </row>
    <row r="10" spans="1:9">
      <c r="A10" s="12" t="s">
        <v>277</v>
      </c>
    </row>
    <row r="11" spans="1:9">
      <c r="A11" s="3" t="s">
        <v>269</v>
      </c>
      <c r="B11" s="3">
        <v>2024</v>
      </c>
      <c r="C11" s="3">
        <v>2025</v>
      </c>
      <c r="D11" s="3">
        <v>2026</v>
      </c>
      <c r="E11" s="3">
        <v>2027</v>
      </c>
      <c r="F11" s="3">
        <v>2028</v>
      </c>
      <c r="G11" s="3">
        <v>2029</v>
      </c>
      <c r="H11" s="3">
        <v>2030</v>
      </c>
    </row>
    <row r="12" spans="1:9">
      <c r="A12" s="4" t="s">
        <v>298</v>
      </c>
      <c r="B12" s="4" t="s">
        <v>278</v>
      </c>
      <c r="C12" s="19">
        <v>-0.375</v>
      </c>
      <c r="D12" s="19">
        <v>-0.3</v>
      </c>
      <c r="E12" s="19">
        <v>-0.2857142857142857</v>
      </c>
      <c r="F12" s="19">
        <v>-0.28</v>
      </c>
      <c r="G12" s="19">
        <v>-0.3333333333333334</v>
      </c>
      <c r="H12" s="19">
        <v>-0.3333333333333333</v>
      </c>
    </row>
    <row r="13" spans="1:9">
      <c r="A13" s="4" t="s">
        <v>299</v>
      </c>
      <c r="B13" s="4" t="s">
        <v>278</v>
      </c>
      <c r="C13" s="19">
        <v>-0.4</v>
      </c>
      <c r="D13" s="19">
        <v>-0.3333333333333333</v>
      </c>
      <c r="E13" s="19">
        <v>-0.3333333333333333</v>
      </c>
      <c r="F13" s="19">
        <v>-0.3125</v>
      </c>
      <c r="G13" s="19">
        <v>-0.3090909090909091</v>
      </c>
      <c r="H13" s="19">
        <v>-0.3421052631578947</v>
      </c>
    </row>
    <row r="14" spans="1:9">
      <c r="A14" s="4" t="s">
        <v>300</v>
      </c>
      <c r="B14" s="4" t="s">
        <v>278</v>
      </c>
      <c r="C14" s="19">
        <v>-0.3333333333333333</v>
      </c>
      <c r="D14" s="19">
        <v>-0.25</v>
      </c>
      <c r="E14" s="19">
        <v>-0.3333333333333333</v>
      </c>
      <c r="F14" s="19">
        <v>-0.3</v>
      </c>
      <c r="G14" s="19">
        <v>-0.2857142857142857</v>
      </c>
      <c r="H14" s="19">
        <v>-0.3333333333333333</v>
      </c>
    </row>
    <row r="15" spans="1:9">
      <c r="A15" s="4" t="s">
        <v>301</v>
      </c>
      <c r="B15" s="4" t="s">
        <v>278</v>
      </c>
      <c r="C15" s="19">
        <v>-0.375</v>
      </c>
      <c r="D15" s="19">
        <v>-0.4</v>
      </c>
      <c r="E15" s="19">
        <v>-0.4</v>
      </c>
      <c r="F15" s="19">
        <v>-0.3333333333333333</v>
      </c>
      <c r="G15" s="19">
        <v>-0.3333333333333333</v>
      </c>
      <c r="H15" s="19">
        <v>-0.375</v>
      </c>
    </row>
    <row r="46" spans="1:9">
      <c r="A46" s="10" t="s">
        <v>279</v>
      </c>
      <c r="B46" s="10"/>
      <c r="C46" s="10"/>
      <c r="D46" s="10"/>
      <c r="E46" s="10"/>
      <c r="F46" s="10"/>
      <c r="G46" s="10"/>
      <c r="H46" s="10"/>
      <c r="I46" s="10"/>
    </row>
  </sheetData>
  <mergeCells count="3">
    <mergeCell ref="A1:H1"/>
    <mergeCell ref="A2:H2"/>
    <mergeCell ref="A46:I4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sheetPr>
    <tabColor rgb="FFEC4899"/>
  </sheetPr>
  <dimension ref="A1:I44"/>
  <sheetViews>
    <sheetView showGridLines="0" workbookViewId="0"/>
  </sheetViews>
  <sheetFormatPr defaultRowHeight="15"/>
  <cols>
    <col min="1" max="1" width="38.7109375" customWidth="1"/>
    <col min="2" max="8" width="16.7109375" customWidth="1"/>
    <col min="9" max="9" width="14.7109375" customWidth="1"/>
  </cols>
  <sheetData>
    <row r="1" spans="1:9">
      <c r="A1" s="1" t="s">
        <v>302</v>
      </c>
      <c r="B1" s="1"/>
      <c r="C1" s="1"/>
      <c r="D1" s="1"/>
      <c r="E1" s="1"/>
      <c r="F1" s="1"/>
      <c r="G1" s="1"/>
      <c r="H1" s="1"/>
    </row>
    <row r="2" spans="1:9">
      <c r="A2" s="2" t="s">
        <v>268</v>
      </c>
      <c r="B2" s="2"/>
      <c r="C2" s="2"/>
      <c r="D2" s="2"/>
      <c r="E2" s="2"/>
      <c r="F2" s="2"/>
      <c r="G2" s="2"/>
      <c r="H2" s="2"/>
    </row>
    <row r="4" spans="1:9" ht="30" customHeight="1">
      <c r="A4" s="3" t="s">
        <v>269</v>
      </c>
      <c r="B4" s="3">
        <v>2024</v>
      </c>
      <c r="C4" s="3">
        <v>2025</v>
      </c>
      <c r="D4" s="3">
        <v>2026</v>
      </c>
      <c r="E4" s="3">
        <v>2027</v>
      </c>
      <c r="F4" s="3">
        <v>2028</v>
      </c>
      <c r="G4" s="3">
        <v>2029</v>
      </c>
      <c r="H4" s="3">
        <v>2030</v>
      </c>
      <c r="I4" s="3" t="s">
        <v>276</v>
      </c>
    </row>
    <row r="5" spans="1:9">
      <c r="A5" s="4" t="s">
        <v>303</v>
      </c>
      <c r="B5" s="6">
        <v>0.5</v>
      </c>
      <c r="C5" s="6">
        <v>3</v>
      </c>
      <c r="D5" s="6">
        <v>12</v>
      </c>
      <c r="E5" s="6">
        <v>40</v>
      </c>
      <c r="F5" s="6">
        <v>100</v>
      </c>
      <c r="G5" s="6">
        <v>250</v>
      </c>
      <c r="H5" s="6">
        <v>600</v>
      </c>
      <c r="I5" s="17">
        <v>2.259844427549589</v>
      </c>
    </row>
    <row r="6" spans="1:9">
      <c r="A6" s="7" t="s">
        <v>304</v>
      </c>
      <c r="B6" s="9">
        <v>2</v>
      </c>
      <c r="C6" s="9">
        <v>8</v>
      </c>
      <c r="D6" s="9">
        <v>25</v>
      </c>
      <c r="E6" s="9">
        <v>60</v>
      </c>
      <c r="F6" s="9">
        <v>110</v>
      </c>
      <c r="G6" s="9">
        <v>180</v>
      </c>
      <c r="H6" s="9">
        <v>280</v>
      </c>
      <c r="I6" s="17">
        <v>1.278704478832458</v>
      </c>
    </row>
    <row r="7" spans="1:9">
      <c r="A7" s="4" t="s">
        <v>305</v>
      </c>
      <c r="B7" s="6">
        <v>5</v>
      </c>
      <c r="C7" s="6">
        <v>12</v>
      </c>
      <c r="D7" s="6">
        <v>22</v>
      </c>
      <c r="E7" s="6">
        <v>35</v>
      </c>
      <c r="F7" s="6">
        <v>48</v>
      </c>
      <c r="G7" s="6">
        <v>58</v>
      </c>
      <c r="H7" s="6">
        <v>65</v>
      </c>
      <c r="I7" s="17">
        <v>0.5334062370163875</v>
      </c>
    </row>
    <row r="9" spans="1:9">
      <c r="A9" s="12" t="s">
        <v>277</v>
      </c>
    </row>
    <row r="10" spans="1:9">
      <c r="A10" s="3" t="s">
        <v>269</v>
      </c>
      <c r="B10" s="3">
        <v>2024</v>
      </c>
      <c r="C10" s="3">
        <v>2025</v>
      </c>
      <c r="D10" s="3">
        <v>2026</v>
      </c>
      <c r="E10" s="3">
        <v>2027</v>
      </c>
      <c r="F10" s="3">
        <v>2028</v>
      </c>
      <c r="G10" s="3">
        <v>2029</v>
      </c>
      <c r="H10" s="3">
        <v>2030</v>
      </c>
    </row>
    <row r="11" spans="1:9">
      <c r="A11" s="4" t="s">
        <v>303</v>
      </c>
      <c r="B11" s="4" t="s">
        <v>278</v>
      </c>
      <c r="C11" s="18">
        <v>5</v>
      </c>
      <c r="D11" s="18">
        <v>3</v>
      </c>
      <c r="E11" s="18">
        <v>2.333333333333333</v>
      </c>
      <c r="F11" s="18">
        <v>1.5</v>
      </c>
      <c r="G11" s="18">
        <v>1.5</v>
      </c>
      <c r="H11" s="18">
        <v>1.4</v>
      </c>
    </row>
    <row r="12" spans="1:9">
      <c r="A12" s="4" t="s">
        <v>304</v>
      </c>
      <c r="B12" s="4" t="s">
        <v>278</v>
      </c>
      <c r="C12" s="18">
        <v>3</v>
      </c>
      <c r="D12" s="18">
        <v>2.125</v>
      </c>
      <c r="E12" s="18">
        <v>1.4</v>
      </c>
      <c r="F12" s="18">
        <v>0.8333333333333334</v>
      </c>
      <c r="G12" s="18">
        <v>0.6363636363636364</v>
      </c>
      <c r="H12" s="18">
        <v>0.5555555555555556</v>
      </c>
    </row>
    <row r="13" spans="1:9">
      <c r="A13" s="4" t="s">
        <v>305</v>
      </c>
      <c r="B13" s="4" t="s">
        <v>278</v>
      </c>
      <c r="C13" s="18">
        <v>1.4</v>
      </c>
      <c r="D13" s="18">
        <v>0.8333333333333334</v>
      </c>
      <c r="E13" s="18">
        <v>0.5909090909090909</v>
      </c>
      <c r="F13" s="18">
        <v>0.3714285714285714</v>
      </c>
      <c r="G13" s="18">
        <v>0.2083333333333333</v>
      </c>
      <c r="H13" s="18">
        <v>0.1206896551724138</v>
      </c>
    </row>
    <row r="44" spans="1:9">
      <c r="A44" s="10" t="s">
        <v>279</v>
      </c>
      <c r="B44" s="10"/>
      <c r="C44" s="10"/>
      <c r="D44" s="10"/>
      <c r="E44" s="10"/>
      <c r="F44" s="10"/>
      <c r="G44" s="10"/>
      <c r="H44" s="10"/>
      <c r="I44" s="10"/>
    </row>
  </sheetData>
  <mergeCells count="3">
    <mergeCell ref="A1:H1"/>
    <mergeCell ref="A2:H2"/>
    <mergeCell ref="A44:I4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sheetPr>
    <tabColor rgb="FF6366F1"/>
  </sheetPr>
  <dimension ref="A1:I52"/>
  <sheetViews>
    <sheetView showGridLines="0" workbookViewId="0"/>
  </sheetViews>
  <sheetFormatPr defaultRowHeight="15"/>
  <cols>
    <col min="1" max="1" width="38.7109375" customWidth="1"/>
    <col min="2" max="8" width="16.7109375" customWidth="1"/>
    <col min="9" max="9" width="14.7109375" customWidth="1"/>
  </cols>
  <sheetData>
    <row r="1" spans="1:9">
      <c r="A1" s="1" t="s">
        <v>306</v>
      </c>
      <c r="B1" s="1"/>
      <c r="C1" s="1"/>
      <c r="D1" s="1"/>
      <c r="E1" s="1"/>
      <c r="F1" s="1"/>
      <c r="G1" s="1"/>
      <c r="H1" s="1"/>
    </row>
    <row r="2" spans="1:9">
      <c r="A2" s="2" t="s">
        <v>268</v>
      </c>
      <c r="B2" s="2"/>
      <c r="C2" s="2"/>
      <c r="D2" s="2"/>
      <c r="E2" s="2"/>
      <c r="F2" s="2"/>
      <c r="G2" s="2"/>
      <c r="H2" s="2"/>
    </row>
    <row r="4" spans="1:9" ht="30" customHeight="1">
      <c r="A4" s="3" t="s">
        <v>269</v>
      </c>
      <c r="B4" s="3">
        <v>2024</v>
      </c>
      <c r="C4" s="3">
        <v>2025</v>
      </c>
      <c r="D4" s="3">
        <v>2026</v>
      </c>
      <c r="E4" s="3">
        <v>2027</v>
      </c>
      <c r="F4" s="3">
        <v>2028</v>
      </c>
      <c r="G4" s="3">
        <v>2029</v>
      </c>
      <c r="H4" s="3">
        <v>2030</v>
      </c>
      <c r="I4" s="3" t="s">
        <v>276</v>
      </c>
    </row>
    <row r="5" spans="1:9">
      <c r="A5" s="4" t="s">
        <v>307</v>
      </c>
      <c r="B5" s="6">
        <v>3.4</v>
      </c>
      <c r="C5" s="6">
        <v>12.7</v>
      </c>
      <c r="D5" s="6">
        <v>29</v>
      </c>
      <c r="E5" s="6">
        <v>50</v>
      </c>
      <c r="F5" s="6">
        <v>75</v>
      </c>
      <c r="G5" s="6">
        <v>100</v>
      </c>
      <c r="H5" s="6">
        <v>130</v>
      </c>
      <c r="I5" s="17">
        <v>0.8354563997770359</v>
      </c>
    </row>
    <row r="6" spans="1:9">
      <c r="A6" s="7" t="s">
        <v>308</v>
      </c>
      <c r="B6" s="9">
        <v>0.5</v>
      </c>
      <c r="C6" s="9">
        <v>2.5</v>
      </c>
      <c r="D6" s="9">
        <v>6</v>
      </c>
      <c r="E6" s="9">
        <v>12</v>
      </c>
      <c r="F6" s="9">
        <v>20</v>
      </c>
      <c r="G6" s="9">
        <v>30</v>
      </c>
      <c r="H6" s="9">
        <v>42</v>
      </c>
      <c r="I6" s="17">
        <v>1.092730068567824</v>
      </c>
    </row>
    <row r="7" spans="1:9">
      <c r="A7" s="4" t="s">
        <v>309</v>
      </c>
      <c r="B7" s="6">
        <v>1</v>
      </c>
      <c r="C7" s="6">
        <v>4</v>
      </c>
      <c r="D7" s="6">
        <v>10</v>
      </c>
      <c r="E7" s="6">
        <v>20</v>
      </c>
      <c r="F7" s="6">
        <v>35</v>
      </c>
      <c r="G7" s="6">
        <v>52</v>
      </c>
      <c r="H7" s="6">
        <v>70</v>
      </c>
      <c r="I7" s="17">
        <v>1.030094899212487</v>
      </c>
    </row>
    <row r="8" spans="1:9">
      <c r="A8" s="7" t="s">
        <v>310</v>
      </c>
      <c r="B8" s="9">
        <v>2</v>
      </c>
      <c r="C8" s="9">
        <v>8</v>
      </c>
      <c r="D8" s="9">
        <v>18</v>
      </c>
      <c r="E8" s="9">
        <v>32</v>
      </c>
      <c r="F8" s="9">
        <v>48</v>
      </c>
      <c r="G8" s="9">
        <v>65</v>
      </c>
      <c r="H8" s="9">
        <v>85</v>
      </c>
      <c r="I8" s="17">
        <v>0.8680915457906349</v>
      </c>
    </row>
    <row r="9" spans="1:9">
      <c r="A9" s="4" t="s">
        <v>311</v>
      </c>
      <c r="B9" s="6">
        <v>0.2</v>
      </c>
      <c r="C9" s="6">
        <v>1.5</v>
      </c>
      <c r="D9" s="6">
        <v>4</v>
      </c>
      <c r="E9" s="6">
        <v>8</v>
      </c>
      <c r="F9" s="6">
        <v>14</v>
      </c>
      <c r="G9" s="6">
        <v>22</v>
      </c>
      <c r="H9" s="6">
        <v>32</v>
      </c>
      <c r="I9" s="17">
        <v>1.329986101501426</v>
      </c>
    </row>
    <row r="10" spans="1:9">
      <c r="A10" s="7" t="s">
        <v>312</v>
      </c>
      <c r="B10" s="9">
        <v>0.1</v>
      </c>
      <c r="C10" s="9">
        <v>0.5</v>
      </c>
      <c r="D10" s="9">
        <v>1.2</v>
      </c>
      <c r="E10" s="9">
        <v>2.5</v>
      </c>
      <c r="F10" s="9">
        <v>5</v>
      </c>
      <c r="G10" s="9">
        <v>8</v>
      </c>
      <c r="H10" s="9">
        <v>12</v>
      </c>
      <c r="I10" s="17">
        <v>1.220906154852325</v>
      </c>
    </row>
    <row r="11" spans="1:9">
      <c r="A11" s="4" t="s">
        <v>313</v>
      </c>
      <c r="B11" s="6">
        <v>0.5</v>
      </c>
      <c r="C11" s="6">
        <v>2</v>
      </c>
      <c r="D11" s="6">
        <v>6</v>
      </c>
      <c r="E11" s="6">
        <v>15</v>
      </c>
      <c r="F11" s="6">
        <v>30</v>
      </c>
      <c r="G11" s="6">
        <v>50</v>
      </c>
      <c r="H11" s="6">
        <v>80</v>
      </c>
      <c r="I11" s="17">
        <v>1.329986101501426</v>
      </c>
    </row>
    <row r="13" spans="1:9">
      <c r="A13" s="12" t="s">
        <v>277</v>
      </c>
    </row>
    <row r="14" spans="1:9">
      <c r="A14" s="3" t="s">
        <v>269</v>
      </c>
      <c r="B14" s="3">
        <v>2024</v>
      </c>
      <c r="C14" s="3">
        <v>2025</v>
      </c>
      <c r="D14" s="3">
        <v>2026</v>
      </c>
      <c r="E14" s="3">
        <v>2027</v>
      </c>
      <c r="F14" s="3">
        <v>2028</v>
      </c>
      <c r="G14" s="3">
        <v>2029</v>
      </c>
      <c r="H14" s="3">
        <v>2030</v>
      </c>
    </row>
    <row r="15" spans="1:9">
      <c r="A15" s="4" t="s">
        <v>307</v>
      </c>
      <c r="B15" s="4" t="s">
        <v>278</v>
      </c>
      <c r="C15" s="18">
        <v>2.735294117647058</v>
      </c>
      <c r="D15" s="18">
        <v>1.283464566929134</v>
      </c>
      <c r="E15" s="18">
        <v>0.7241379310344828</v>
      </c>
      <c r="F15" s="18">
        <v>0.5</v>
      </c>
      <c r="G15" s="18">
        <v>0.3333333333333333</v>
      </c>
      <c r="H15" s="18">
        <v>0.3</v>
      </c>
    </row>
    <row r="16" spans="1:9">
      <c r="A16" s="4" t="s">
        <v>308</v>
      </c>
      <c r="B16" s="4" t="s">
        <v>278</v>
      </c>
      <c r="C16" s="18">
        <v>4</v>
      </c>
      <c r="D16" s="18">
        <v>1.4</v>
      </c>
      <c r="E16" s="18">
        <v>1</v>
      </c>
      <c r="F16" s="18">
        <v>0.6666666666666666</v>
      </c>
      <c r="G16" s="18">
        <v>0.5</v>
      </c>
      <c r="H16" s="18">
        <v>0.4</v>
      </c>
    </row>
    <row r="17" spans="1:8">
      <c r="A17" s="4" t="s">
        <v>309</v>
      </c>
      <c r="B17" s="4" t="s">
        <v>278</v>
      </c>
      <c r="C17" s="18">
        <v>3</v>
      </c>
      <c r="D17" s="18">
        <v>1.5</v>
      </c>
      <c r="E17" s="18">
        <v>1</v>
      </c>
      <c r="F17" s="18">
        <v>0.75</v>
      </c>
      <c r="G17" s="18">
        <v>0.4857142857142857</v>
      </c>
      <c r="H17" s="18">
        <v>0.3461538461538461</v>
      </c>
    </row>
    <row r="18" spans="1:8">
      <c r="A18" s="4" t="s">
        <v>310</v>
      </c>
      <c r="B18" s="4" t="s">
        <v>278</v>
      </c>
      <c r="C18" s="18">
        <v>3</v>
      </c>
      <c r="D18" s="18">
        <v>1.25</v>
      </c>
      <c r="E18" s="18">
        <v>0.7777777777777778</v>
      </c>
      <c r="F18" s="18">
        <v>0.5</v>
      </c>
      <c r="G18" s="18">
        <v>0.3541666666666667</v>
      </c>
      <c r="H18" s="18">
        <v>0.3076923076923077</v>
      </c>
    </row>
    <row r="19" spans="1:8">
      <c r="A19" s="4" t="s">
        <v>311</v>
      </c>
      <c r="B19" s="4" t="s">
        <v>278</v>
      </c>
      <c r="C19" s="18">
        <v>6.5</v>
      </c>
      <c r="D19" s="18">
        <v>1.666666666666667</v>
      </c>
      <c r="E19" s="18">
        <v>1</v>
      </c>
      <c r="F19" s="18">
        <v>0.75</v>
      </c>
      <c r="G19" s="18">
        <v>0.5714285714285714</v>
      </c>
      <c r="H19" s="18">
        <v>0.4545454545454545</v>
      </c>
    </row>
    <row r="20" spans="1:8">
      <c r="A20" s="4" t="s">
        <v>312</v>
      </c>
      <c r="B20" s="4" t="s">
        <v>278</v>
      </c>
      <c r="C20" s="18">
        <v>4</v>
      </c>
      <c r="D20" s="18">
        <v>1.4</v>
      </c>
      <c r="E20" s="18">
        <v>1.083333333333333</v>
      </c>
      <c r="F20" s="18">
        <v>1</v>
      </c>
      <c r="G20" s="18">
        <v>0.6</v>
      </c>
      <c r="H20" s="18">
        <v>0.5</v>
      </c>
    </row>
    <row r="21" spans="1:8">
      <c r="A21" s="4" t="s">
        <v>313</v>
      </c>
      <c r="B21" s="4" t="s">
        <v>278</v>
      </c>
      <c r="C21" s="18">
        <v>3</v>
      </c>
      <c r="D21" s="18">
        <v>2</v>
      </c>
      <c r="E21" s="18">
        <v>1.5</v>
      </c>
      <c r="F21" s="18">
        <v>1</v>
      </c>
      <c r="G21" s="18">
        <v>0.6666666666666666</v>
      </c>
      <c r="H21" s="18">
        <v>0.6</v>
      </c>
    </row>
    <row r="52" spans="1:9">
      <c r="A52" s="10" t="s">
        <v>279</v>
      </c>
      <c r="B52" s="10"/>
      <c r="C52" s="10"/>
      <c r="D52" s="10"/>
      <c r="E52" s="10"/>
      <c r="F52" s="10"/>
      <c r="G52" s="10"/>
      <c r="H52" s="10"/>
      <c r="I52" s="10"/>
    </row>
  </sheetData>
  <mergeCells count="3">
    <mergeCell ref="A1:H1"/>
    <mergeCell ref="A2:H2"/>
    <mergeCell ref="A52:I5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sheetPr>
    <tabColor rgb="FF111827"/>
  </sheetPr>
  <dimension ref="A1:J30"/>
  <sheetViews>
    <sheetView showGridLines="0" workbookViewId="0"/>
  </sheetViews>
  <sheetFormatPr defaultRowHeight="15"/>
  <cols>
    <col min="1" max="1" width="5.7109375" customWidth="1"/>
    <col min="2" max="11" width="14.7109375" customWidth="1"/>
  </cols>
  <sheetData>
    <row r="1" spans="1:10">
      <c r="A1" s="1" t="s">
        <v>314</v>
      </c>
      <c r="B1" s="1"/>
      <c r="C1" s="1"/>
      <c r="D1" s="1"/>
      <c r="E1" s="1"/>
      <c r="F1" s="1"/>
      <c r="G1" s="1"/>
      <c r="H1" s="1"/>
      <c r="I1" s="1"/>
      <c r="J1" s="1"/>
    </row>
    <row r="2" spans="1:10">
      <c r="A2" s="2" t="s">
        <v>315</v>
      </c>
      <c r="B2" s="2"/>
      <c r="C2" s="2"/>
      <c r="D2" s="2"/>
      <c r="E2" s="2"/>
      <c r="F2" s="2"/>
      <c r="G2" s="2"/>
      <c r="H2" s="2"/>
      <c r="I2" s="2"/>
      <c r="J2" s="2"/>
    </row>
    <row r="5" spans="1:10">
      <c r="B5" s="20">
        <v>35</v>
      </c>
      <c r="C5" s="20"/>
      <c r="E5" s="20">
        <v>240</v>
      </c>
      <c r="F5" s="20"/>
      <c r="H5" s="21">
        <v>0.9</v>
      </c>
      <c r="I5" s="21"/>
    </row>
    <row r="6" spans="1:10">
      <c r="B6" s="22" t="s">
        <v>316</v>
      </c>
      <c r="C6" s="22"/>
      <c r="E6" s="22" t="s">
        <v>317</v>
      </c>
      <c r="F6" s="22"/>
      <c r="H6" s="22" t="s">
        <v>318</v>
      </c>
      <c r="I6" s="22"/>
    </row>
    <row r="8" spans="1:10">
      <c r="B8" s="23">
        <v>20</v>
      </c>
      <c r="C8" s="23"/>
      <c r="E8" s="23">
        <v>21</v>
      </c>
      <c r="F8" s="23"/>
      <c r="H8" s="23">
        <v>50</v>
      </c>
      <c r="I8" s="23"/>
    </row>
    <row r="9" spans="1:10">
      <c r="B9" s="22" t="s">
        <v>319</v>
      </c>
      <c r="C9" s="22"/>
      <c r="E9" s="22" t="s">
        <v>320</v>
      </c>
      <c r="F9" s="22"/>
      <c r="H9" s="22" t="s">
        <v>321</v>
      </c>
      <c r="I9" s="22"/>
    </row>
    <row r="13" spans="1:10">
      <c r="B13" s="12" t="s">
        <v>322</v>
      </c>
      <c r="C13" s="12"/>
      <c r="D13" s="12"/>
      <c r="E13" s="12"/>
      <c r="F13" s="12"/>
      <c r="G13" s="12"/>
      <c r="H13" s="12"/>
      <c r="I13" s="12"/>
      <c r="J13" s="12"/>
    </row>
    <row r="14" spans="1:10">
      <c r="B14" s="24" t="s">
        <v>323</v>
      </c>
      <c r="C14" s="24"/>
      <c r="D14" s="24"/>
      <c r="E14" s="24"/>
      <c r="F14" s="24"/>
      <c r="G14" s="24"/>
      <c r="H14" s="24"/>
      <c r="I14" s="24"/>
      <c r="J14" s="24"/>
    </row>
    <row r="15" spans="1:10">
      <c r="B15" s="24"/>
      <c r="C15" s="24"/>
      <c r="D15" s="24"/>
      <c r="E15" s="24"/>
      <c r="F15" s="24"/>
      <c r="G15" s="24"/>
      <c r="H15" s="24"/>
      <c r="I15" s="24"/>
      <c r="J15" s="24"/>
    </row>
    <row r="16" spans="1:10">
      <c r="B16" s="24"/>
      <c r="C16" s="24"/>
      <c r="D16" s="24"/>
      <c r="E16" s="24"/>
      <c r="F16" s="24"/>
      <c r="G16" s="24"/>
      <c r="H16" s="24"/>
      <c r="I16" s="24"/>
      <c r="J16" s="24"/>
    </row>
    <row r="17" spans="2:10">
      <c r="B17" s="24"/>
      <c r="C17" s="24"/>
      <c r="D17" s="24"/>
      <c r="E17" s="24"/>
      <c r="F17" s="24"/>
      <c r="G17" s="24"/>
      <c r="H17" s="24"/>
      <c r="I17" s="24"/>
      <c r="J17" s="24"/>
    </row>
    <row r="19" spans="2:10">
      <c r="B19" s="12" t="s">
        <v>324</v>
      </c>
      <c r="C19" s="12"/>
      <c r="D19" s="12"/>
      <c r="E19" s="12"/>
      <c r="F19" s="12"/>
      <c r="G19" s="12"/>
      <c r="H19" s="12"/>
      <c r="I19" s="12"/>
      <c r="J19" s="12"/>
    </row>
    <row r="20" spans="2:10">
      <c r="B20" s="25" t="s">
        <v>325</v>
      </c>
      <c r="D20" s="4" t="s">
        <v>326</v>
      </c>
      <c r="E20" s="4"/>
      <c r="F20" s="4"/>
      <c r="G20" s="4"/>
      <c r="H20" s="4"/>
      <c r="I20" s="4"/>
      <c r="J20" s="4"/>
    </row>
    <row r="21" spans="2:10">
      <c r="B21" s="25" t="s">
        <v>327</v>
      </c>
      <c r="D21" s="4" t="s">
        <v>328</v>
      </c>
      <c r="E21" s="4"/>
      <c r="F21" s="4"/>
      <c r="G21" s="4"/>
      <c r="H21" s="4"/>
      <c r="I21" s="4"/>
      <c r="J21" s="4"/>
    </row>
    <row r="22" spans="2:10">
      <c r="B22" s="25" t="s">
        <v>329</v>
      </c>
      <c r="D22" s="4" t="s">
        <v>330</v>
      </c>
      <c r="E22" s="4"/>
      <c r="F22" s="4"/>
      <c r="G22" s="4"/>
      <c r="H22" s="4"/>
      <c r="I22" s="4"/>
      <c r="J22" s="4"/>
    </row>
    <row r="23" spans="2:10">
      <c r="B23" s="25" t="s">
        <v>331</v>
      </c>
      <c r="D23" s="4" t="s">
        <v>332</v>
      </c>
      <c r="E23" s="4"/>
      <c r="F23" s="4"/>
      <c r="G23" s="4"/>
      <c r="H23" s="4"/>
      <c r="I23" s="4"/>
      <c r="J23" s="4"/>
    </row>
    <row r="24" spans="2:10">
      <c r="B24" s="25" t="s">
        <v>333</v>
      </c>
      <c r="D24" s="4" t="s">
        <v>334</v>
      </c>
      <c r="E24" s="4"/>
      <c r="F24" s="4"/>
      <c r="G24" s="4"/>
      <c r="H24" s="4"/>
      <c r="I24" s="4"/>
      <c r="J24" s="4"/>
    </row>
    <row r="25" spans="2:10">
      <c r="B25" s="25" t="s">
        <v>335</v>
      </c>
      <c r="D25" s="4" t="s">
        <v>336</v>
      </c>
      <c r="E25" s="4"/>
      <c r="F25" s="4"/>
      <c r="G25" s="4"/>
      <c r="H25" s="4"/>
      <c r="I25" s="4"/>
      <c r="J25" s="4"/>
    </row>
    <row r="26" spans="2:10">
      <c r="B26" s="25" t="s">
        <v>337</v>
      </c>
      <c r="D26" s="4" t="s">
        <v>338</v>
      </c>
      <c r="E26" s="4"/>
      <c r="F26" s="4"/>
      <c r="G26" s="4"/>
      <c r="H26" s="4"/>
      <c r="I26" s="4"/>
      <c r="J26" s="4"/>
    </row>
    <row r="27" spans="2:10">
      <c r="B27" s="25" t="s">
        <v>339</v>
      </c>
      <c r="D27" s="4" t="s">
        <v>340</v>
      </c>
      <c r="E27" s="4"/>
      <c r="F27" s="4"/>
      <c r="G27" s="4"/>
      <c r="H27" s="4"/>
      <c r="I27" s="4"/>
      <c r="J27" s="4"/>
    </row>
    <row r="28" spans="2:10">
      <c r="B28" s="25" t="s">
        <v>341</v>
      </c>
      <c r="D28" s="4" t="s">
        <v>342</v>
      </c>
      <c r="E28" s="4"/>
      <c r="F28" s="4"/>
      <c r="G28" s="4"/>
      <c r="H28" s="4"/>
      <c r="I28" s="4"/>
      <c r="J28" s="4"/>
    </row>
    <row r="29" spans="2:10">
      <c r="B29" s="25" t="s">
        <v>343</v>
      </c>
      <c r="D29" s="4" t="s">
        <v>344</v>
      </c>
      <c r="E29" s="4"/>
      <c r="F29" s="4"/>
      <c r="G29" s="4"/>
      <c r="H29" s="4"/>
      <c r="I29" s="4"/>
      <c r="J29" s="4"/>
    </row>
    <row r="30" spans="2:10">
      <c r="B30" s="25" t="s">
        <v>345</v>
      </c>
      <c r="D30" s="4" t="s">
        <v>346</v>
      </c>
      <c r="E30" s="4"/>
      <c r="F30" s="4"/>
      <c r="G30" s="4"/>
      <c r="H30" s="4"/>
      <c r="I30" s="4"/>
      <c r="J30" s="4"/>
    </row>
  </sheetData>
  <mergeCells count="28">
    <mergeCell ref="A1:J1"/>
    <mergeCell ref="A2:J2"/>
    <mergeCell ref="B5:C5"/>
    <mergeCell ref="B6:C6"/>
    <mergeCell ref="E5:F5"/>
    <mergeCell ref="E6:F6"/>
    <mergeCell ref="H5:I5"/>
    <mergeCell ref="H6:I6"/>
    <mergeCell ref="B8:C8"/>
    <mergeCell ref="B9:C9"/>
    <mergeCell ref="E8:F8"/>
    <mergeCell ref="E9:F9"/>
    <mergeCell ref="H8:I8"/>
    <mergeCell ref="H9:I9"/>
    <mergeCell ref="B13:J13"/>
    <mergeCell ref="B14:J17"/>
    <mergeCell ref="B19:J19"/>
    <mergeCell ref="D20:J20"/>
    <mergeCell ref="D21:J21"/>
    <mergeCell ref="D22:J22"/>
    <mergeCell ref="D23:J23"/>
    <mergeCell ref="D24:J24"/>
    <mergeCell ref="D25:J25"/>
    <mergeCell ref="D26:J26"/>
    <mergeCell ref="D27:J27"/>
    <mergeCell ref="D28:J28"/>
    <mergeCell ref="D29:J29"/>
    <mergeCell ref="D30:J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Top Companies</vt:lpstr>
      <vt:lpstr>Task Duration</vt:lpstr>
      <vt:lpstr>Token Consumption</vt:lpstr>
      <vt:lpstr>Model Pricing</vt:lpstr>
      <vt:lpstr>TS - Market Size</vt:lpstr>
      <vt:lpstr>TS - Daily Task Volume</vt:lpstr>
      <vt:lpstr>TS - Daily Token Consumption</vt:lpstr>
      <vt:lpstr>TS - Cost per Million Tokens</vt:lpstr>
      <vt:lpstr>TS - Average Task Duration</vt:lpstr>
      <vt:lpstr>TS - Compute Infrastructure</vt:lpstr>
      <vt:lpstr>TS - Company Revenue Projection</vt:lpstr>
      <vt:lpstr>Dashboard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2026-02-12T02:07:04Z</dcterms:created>
  <dcterms:modified xsi:type="dcterms:W3CDTF">2026-02-12T02:07:04Z</dcterms:modified>
</cp:coreProperties>
</file>