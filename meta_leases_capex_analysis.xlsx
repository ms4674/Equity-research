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 Matrix" sheetId="1" state="visible" r:id="rId1"/>
    <sheet name="Uncommenced Leases &amp; CapEx" sheetId="2" state="visible" r:id="rId2"/>
    <sheet name="CapEx Comparison" sheetId="3" state="visible" r:id="rId3"/>
    <sheet name="Meta Leases Detail" sheetId="4" state="visible" r:id="rId4"/>
    <sheet name="Margin Impact" sheetId="5" state="visible" r:id="rId5"/>
    <sheet name="Peer Lease Comparis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x"/>
    <numFmt numFmtId="167" formatCode="0.0x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sz val="10"/>
    </font>
    <font>
      <name val="Calibri"/>
      <i val="1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548235"/>
      <sz val="10"/>
    </font>
    <font>
      <name val="Calibri"/>
      <i val="1"/>
      <color rgb="00BF8F00"/>
      <sz val="10"/>
    </font>
    <font>
      <name val="Calibri"/>
      <b val="1"/>
      <sz val="9"/>
    </font>
    <font>
      <name val="Calibri"/>
      <b val="1"/>
      <color rgb="004A235A"/>
      <sz val="10"/>
    </font>
    <font>
      <name val="Calibri"/>
      <color rgb="00999999"/>
      <sz val="9"/>
    </font>
  </fonts>
  <fills count="1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EB9C"/>
        <bgColor rgb="00FFEB9C"/>
      </patternFill>
    </fill>
    <fill>
      <patternFill patternType="solid">
        <fgColor rgb="00D6E4F0"/>
        <bgColor rgb="00D6E4F0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  <fill>
      <patternFill patternType="solid">
        <fgColor rgb="00FCE4D6"/>
        <bgColor rgb="00FCE4D6"/>
      </patternFill>
    </fill>
    <fill>
      <patternFill patternType="solid">
        <fgColor rgb="00E2CCFF"/>
        <bgColor rgb="00E2CCFF"/>
      </patternFill>
    </fill>
    <fill>
      <patternFill patternType="solid">
        <fgColor rgb="00D9D9D9"/>
        <bgColor rgb="00D9D9D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5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right" vertical="center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2" fillId="0" borderId="1" pivotButton="0" quotePrefix="0" xfId="0"/>
    <xf numFmtId="0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165" fontId="4" fillId="7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pivotButton="0" quotePrefix="0" xfId="0"/>
    <xf numFmtId="0" fontId="3" fillId="8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166" fontId="8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2" fillId="11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top" wrapText="1"/>
    </xf>
    <xf numFmtId="0" fontId="0" fillId="6" borderId="0" pivotButton="0" quotePrefix="0" xfId="0"/>
    <xf numFmtId="0" fontId="0" fillId="4" borderId="0" pivotButton="0" quotePrefix="0" xfId="0"/>
    <xf numFmtId="164" fontId="6" fillId="10" borderId="1" applyAlignment="1" pivotButton="0" quotePrefix="0" xfId="0">
      <alignment horizontal="right" vertical="center"/>
    </xf>
    <xf numFmtId="0" fontId="0" fillId="10" borderId="0" pivotButton="0" quotePrefix="0" xfId="0"/>
    <xf numFmtId="167" fontId="6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6" fillId="5" borderId="1" pivotButton="0" quotePrefix="0" xfId="0"/>
    <xf numFmtId="0" fontId="0" fillId="5" borderId="1" pivotButton="0" quotePrefix="0" xfId="0"/>
    <xf numFmtId="0" fontId="0" fillId="5" borderId="0" pivotButton="0" quotePrefix="0" xfId="0"/>
    <xf numFmtId="165" fontId="4" fillId="9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50" customWidth="1" min="11" max="11"/>
  </cols>
  <sheetData>
    <row r="1" ht="22" customHeight="1">
      <c r="A1" s="1" t="inlineStr">
        <is>
          <t>Hyperscaler &amp; Neocloud Data Center Lease Matrix</t>
        </is>
      </c>
    </row>
    <row r="2" ht="22" customHeight="1">
      <c r="A2" s="2" t="inlineStr">
        <is>
          <t>Who leases from whom  |  Q1 2026 data  |  ✓ = confirmed tenant  |  ~ = suspected / indirect  |  Neoclouds highlighted in purple</t>
        </is>
      </c>
    </row>
    <row r="3" ht="22" customHeight="1"/>
    <row r="4" ht="22" customHeight="1">
      <c r="A4" s="36" t="inlineStr">
        <is>
          <t>A. DATA CENTER OPERATOR / LANDLORD  ×  TENANT MATRIX (Hyperscalers + Neoclouds)</t>
        </is>
      </c>
    </row>
    <row r="5" ht="22" customHeight="1">
      <c r="A5" s="37" t="inlineStr">
        <is>
          <t>DC Operator / Landlord</t>
        </is>
      </c>
      <c r="B5" s="37" t="inlineStr">
        <is>
          <t>Capacity</t>
        </is>
      </c>
      <c r="C5" s="37" t="inlineStr">
        <is>
          <t>Amazon / AWS</t>
        </is>
      </c>
      <c r="D5" s="37" t="inlineStr">
        <is>
          <t>Microsoft</t>
        </is>
      </c>
      <c r="E5" s="37" t="inlineStr">
        <is>
          <t>Google</t>
        </is>
      </c>
      <c r="F5" s="37" t="inlineStr">
        <is>
          <t>Meta</t>
        </is>
      </c>
      <c r="G5" s="37" t="inlineStr">
        <is>
          <t>Oracle</t>
        </is>
      </c>
      <c r="H5" s="37" t="inlineStr">
        <is>
          <t>CoreWeave</t>
        </is>
      </c>
      <c r="I5" s="37" t="inlineStr">
        <is>
          <t>Nebius</t>
        </is>
      </c>
      <c r="J5" s="37" t="inlineStr">
        <is>
          <t>IREN</t>
        </is>
      </c>
      <c r="K5" s="37" t="inlineStr">
        <is>
          <t>Key Notes</t>
        </is>
      </c>
    </row>
    <row r="6" ht="22" customHeight="1">
      <c r="A6" s="10" t="inlineStr">
        <is>
          <t>QTS Realty (Blackstone)</t>
        </is>
      </c>
      <c r="B6" s="38" t="inlineStr">
        <is>
          <t>4.8 GW</t>
        </is>
      </c>
      <c r="C6" s="39" t="inlineStr">
        <is>
          <t>✓</t>
        </is>
      </c>
      <c r="D6" s="39" t="inlineStr">
        <is>
          <t>✓</t>
        </is>
      </c>
      <c r="E6" s="39" t="inlineStr">
        <is>
          <t>✓</t>
        </is>
      </c>
      <c r="F6" s="40" t="inlineStr">
        <is>
          <t>~</t>
        </is>
      </c>
      <c r="G6" s="39" t="inlineStr">
        <is>
          <t>✓</t>
        </is>
      </c>
      <c r="H6" s="38" t="inlineStr"/>
      <c r="I6" s="38" t="inlineStr"/>
      <c r="J6" s="38" t="inlineStr"/>
      <c r="K6" s="41" t="inlineStr">
        <is>
          <t>Largest by MW. AWS anchor ATL/CHI/NJ. $12B+ pipeline. Acquired for $10B (2021).</t>
        </is>
      </c>
    </row>
    <row r="7" ht="22" customHeight="1">
      <c r="A7" s="42" t="inlineStr">
        <is>
          <t>Vantage Data Centers</t>
        </is>
      </c>
      <c r="B7" s="43" t="inlineStr">
        <is>
          <t>4.2 GW</t>
        </is>
      </c>
      <c r="C7" s="39" t="inlineStr">
        <is>
          <t>✓</t>
        </is>
      </c>
      <c r="D7" s="39" t="inlineStr">
        <is>
          <t>✓</t>
        </is>
      </c>
      <c r="E7" s="39" t="inlineStr">
        <is>
          <t>✓</t>
        </is>
      </c>
      <c r="F7" s="39" t="inlineStr">
        <is>
          <t>✓</t>
        </is>
      </c>
      <c r="G7" s="43" t="inlineStr"/>
      <c r="H7" s="43" t="inlineStr"/>
      <c r="I7" s="43" t="inlineStr"/>
      <c r="J7" s="43" t="inlineStr"/>
      <c r="K7" s="44" t="inlineStr">
        <is>
          <t>100% hyperscale. Frontier TX (1.4 GW), Port Washington WI (1.3 GW). DigitalBridge/Silver Lake.</t>
        </is>
      </c>
    </row>
    <row r="8" ht="22" customHeight="1">
      <c r="A8" s="10" t="inlineStr">
        <is>
          <t>Digital Realty (DLR)</t>
        </is>
      </c>
      <c r="B8" s="38" t="inlineStr">
        <is>
          <t>2.3 GW</t>
        </is>
      </c>
      <c r="C8" s="39" t="inlineStr">
        <is>
          <t>✓</t>
        </is>
      </c>
      <c r="D8" s="39" t="inlineStr">
        <is>
          <t>✓</t>
        </is>
      </c>
      <c r="E8" s="39" t="inlineStr">
        <is>
          <t>✓</t>
        </is>
      </c>
      <c r="F8" s="39" t="inlineStr">
        <is>
          <t>✓</t>
        </is>
      </c>
      <c r="G8" s="39" t="inlineStr">
        <is>
          <t>✓</t>
        </is>
      </c>
      <c r="H8" s="38" t="inlineStr"/>
      <c r="I8" s="38" t="inlineStr"/>
      <c r="J8" s="38" t="inlineStr"/>
      <c r="K8" s="41" t="inlineStr">
        <is>
          <t>Public REIT. 310 DCs, 42.5M sq ft. $817M backlog. Broadest tenant diversification.</t>
        </is>
      </c>
    </row>
    <row r="9" ht="22" customHeight="1">
      <c r="A9" s="42" t="inlineStr">
        <is>
          <t>STACK Infrastructure</t>
        </is>
      </c>
      <c r="B9" s="43" t="inlineStr">
        <is>
          <t>7.5+ GW</t>
        </is>
      </c>
      <c r="C9" s="39" t="inlineStr">
        <is>
          <t>✓</t>
        </is>
      </c>
      <c r="D9" s="40" t="inlineStr">
        <is>
          <t>~</t>
        </is>
      </c>
      <c r="E9" s="40" t="inlineStr">
        <is>
          <t>~</t>
        </is>
      </c>
      <c r="F9" s="43" t="inlineStr"/>
      <c r="G9" s="39" t="inlineStr">
        <is>
          <t>✓</t>
        </is>
      </c>
      <c r="H9" s="43" t="inlineStr"/>
      <c r="I9" s="43" t="inlineStr"/>
      <c r="J9" s="43" t="inlineStr"/>
      <c r="K9" s="44" t="inlineStr">
        <is>
          <t>$12B Amazon partnership in Louisiana. IPI Partners / Mubadala. 24 global markets.</t>
        </is>
      </c>
    </row>
    <row r="10" ht="22" customHeight="1">
      <c r="A10" s="10" t="inlineStr">
        <is>
          <t>Aligned Data Centers (AIP)</t>
        </is>
      </c>
      <c r="B10" s="38" t="inlineStr">
        <is>
          <t>5.0 GW</t>
        </is>
      </c>
      <c r="C10" s="38" t="inlineStr"/>
      <c r="D10" s="39" t="inlineStr">
        <is>
          <t>✓</t>
        </is>
      </c>
      <c r="E10" s="38" t="inlineStr"/>
      <c r="F10" s="38" t="inlineStr"/>
      <c r="G10" s="38" t="inlineStr"/>
      <c r="H10" s="38" t="inlineStr"/>
      <c r="I10" s="38" t="inlineStr"/>
      <c r="J10" s="39" t="inlineStr">
        <is>
          <t>✓</t>
        </is>
      </c>
      <c r="K10" s="41" t="inlineStr">
        <is>
          <t>$40B acq. by BlackRock/Nvidia/MSFT/xAI (Oct 2025). 50 campuses. Largest DC deal ever.</t>
        </is>
      </c>
    </row>
    <row r="11" ht="22" customHeight="1">
      <c r="A11" s="42" t="inlineStr">
        <is>
          <t>Equinix (EQIX)</t>
        </is>
      </c>
      <c r="B11" s="43" t="inlineStr">
        <is>
          <t>0.5 GW</t>
        </is>
      </c>
      <c r="C11" s="39" t="inlineStr">
        <is>
          <t>✓</t>
        </is>
      </c>
      <c r="D11" s="39" t="inlineStr">
        <is>
          <t>✓</t>
        </is>
      </c>
      <c r="E11" s="39" t="inlineStr">
        <is>
          <t>✓</t>
        </is>
      </c>
      <c r="F11" s="39" t="inlineStr">
        <is>
          <t>✓</t>
        </is>
      </c>
      <c r="G11" s="39" t="inlineStr">
        <is>
          <t>✓</t>
        </is>
      </c>
      <c r="H11" s="43" t="inlineStr"/>
      <c r="I11" s="43" t="inlineStr"/>
      <c r="J11" s="43" t="inlineStr"/>
      <c r="K11" s="44" t="inlineStr">
        <is>
          <t>Interconnection leader. 260+ DCs. 63% of F500. Low tenant concentration risk.</t>
        </is>
      </c>
    </row>
    <row r="12" ht="22" customHeight="1">
      <c r="A12" s="10" t="inlineStr">
        <is>
          <t>CyrusOne (KKR/GIP)</t>
        </is>
      </c>
      <c r="B12" s="38" t="inlineStr">
        <is>
          <t>0.8 GW</t>
        </is>
      </c>
      <c r="C12" s="39" t="inlineStr">
        <is>
          <t>✓</t>
        </is>
      </c>
      <c r="D12" s="39" t="inlineStr">
        <is>
          <t>✓</t>
        </is>
      </c>
      <c r="E12" s="38" t="inlineStr"/>
      <c r="F12" s="38" t="inlineStr"/>
      <c r="G12" s="38" t="inlineStr"/>
      <c r="H12" s="38" t="inlineStr"/>
      <c r="I12" s="38" t="inlineStr"/>
      <c r="J12" s="38" t="inlineStr"/>
      <c r="K12" s="41" t="inlineStr">
        <is>
          <t>AWS &amp; MSFT London leases. Calpine energy partnership (400 MW TX).</t>
        </is>
      </c>
    </row>
    <row r="13" ht="22" customHeight="1">
      <c r="A13" s="42" t="inlineStr">
        <is>
          <t>Compass (Brookfield/OTPP)</t>
        </is>
      </c>
      <c r="B13" s="43" t="inlineStr">
        <is>
          <t>~2.0 GW</t>
        </is>
      </c>
      <c r="C13" s="43" t="inlineStr"/>
      <c r="D13" s="40" t="inlineStr">
        <is>
          <t>~</t>
        </is>
      </c>
      <c r="E13" s="43" t="inlineStr"/>
      <c r="F13" s="40" t="inlineStr">
        <is>
          <t>~</t>
        </is>
      </c>
      <c r="G13" s="43" t="inlineStr"/>
      <c r="H13" s="43" t="inlineStr"/>
      <c r="I13" s="43" t="inlineStr"/>
      <c r="J13" s="43" t="inlineStr"/>
      <c r="K13" s="44" t="inlineStr">
        <is>
          <t>$10B Meridian MS campus. Tenant undisclosed (suspected Meta or MSFT). Single-tenant modular.</t>
        </is>
      </c>
    </row>
    <row r="14" ht="22" customHeight="1">
      <c r="A14" s="10" t="inlineStr">
        <is>
          <t>EdgeConneX (EQT)</t>
        </is>
      </c>
      <c r="B14" s="38" t="inlineStr">
        <is>
          <t>1.0+ GW</t>
        </is>
      </c>
      <c r="C14" s="39" t="inlineStr">
        <is>
          <t>✓</t>
        </is>
      </c>
      <c r="D14" s="39" t="inlineStr">
        <is>
          <t>✓</t>
        </is>
      </c>
      <c r="E14" s="39" t="inlineStr">
        <is>
          <t>✓</t>
        </is>
      </c>
      <c r="F14" s="40" t="inlineStr">
        <is>
          <t>~</t>
        </is>
      </c>
      <c r="G14" s="39" t="inlineStr">
        <is>
          <t>✓</t>
        </is>
      </c>
      <c r="H14" s="38" t="inlineStr"/>
      <c r="I14" s="38" t="inlineStr"/>
      <c r="J14" s="38" t="inlineStr"/>
      <c r="K14" s="41" t="inlineStr">
        <is>
          <t>80+ DCs, 60+ markets, 20+ countries. Cloud on-ramps for all majors.</t>
        </is>
      </c>
    </row>
    <row r="15" ht="22" customHeight="1">
      <c r="A15" s="42" t="inlineStr">
        <is>
          <t>Crusoe Energy</t>
        </is>
      </c>
      <c r="B15" s="43" t="inlineStr">
        <is>
          <t>1.2 GW</t>
        </is>
      </c>
      <c r="C15" s="43" t="inlineStr"/>
      <c r="D15" s="40" t="inlineStr">
        <is>
          <t>~</t>
        </is>
      </c>
      <c r="E15" s="43" t="inlineStr"/>
      <c r="F15" s="43" t="inlineStr"/>
      <c r="G15" s="39" t="inlineStr">
        <is>
          <t>✓</t>
        </is>
      </c>
      <c r="H15" s="43" t="inlineStr"/>
      <c r="I15" s="43" t="inlineStr"/>
      <c r="J15" s="43" t="inlineStr"/>
      <c r="K15" s="44" t="inlineStr">
        <is>
          <t>Abilene TX. Oracle tenant → MSFT → OpenAI sublease chain. Blue Owl JV.</t>
        </is>
      </c>
    </row>
    <row r="16" ht="22" customHeight="1">
      <c r="A16" s="10" t="inlineStr">
        <is>
          <t>Hut 8 Corp (HUT)</t>
        </is>
      </c>
      <c r="B16" s="38" t="inlineStr">
        <is>
          <t>0.3 GW</t>
        </is>
      </c>
      <c r="C16" s="38" t="inlineStr"/>
      <c r="D16" s="38" t="inlineStr"/>
      <c r="E16" s="39" t="inlineStr">
        <is>
          <t>✓</t>
        </is>
      </c>
      <c r="F16" s="38" t="inlineStr"/>
      <c r="G16" s="38" t="inlineStr"/>
      <c r="H16" s="38" t="inlineStr"/>
      <c r="I16" s="38" t="inlineStr"/>
      <c r="J16" s="38" t="inlineStr"/>
      <c r="K16" s="41" t="inlineStr">
        <is>
          <t>$7B/15-yr lease via Fluidstack (Google-backed). River Bend LA. 245 MW.</t>
        </is>
      </c>
    </row>
    <row r="17" ht="22" customHeight="1">
      <c r="A17" s="42" t="inlineStr">
        <is>
          <t>Applied Digital (APLD)</t>
        </is>
      </c>
      <c r="B17" s="43" t="inlineStr">
        <is>
          <t>0.4 GW</t>
        </is>
      </c>
      <c r="C17" s="43" t="inlineStr"/>
      <c r="D17" s="43" t="inlineStr"/>
      <c r="E17" s="43" t="inlineStr"/>
      <c r="F17" s="43" t="inlineStr"/>
      <c r="G17" s="43" t="inlineStr"/>
      <c r="H17" s="39" t="inlineStr">
        <is>
          <t>✓</t>
        </is>
      </c>
      <c r="I17" s="43" t="inlineStr"/>
      <c r="J17" s="43" t="inlineStr"/>
      <c r="K17" s="44" t="inlineStr">
        <is>
          <t>$11B contracted from CoreWeave. Polaris Forge ND (400 MW). 15-yr triple-net leases.</t>
        </is>
      </c>
    </row>
    <row r="18" ht="22" customHeight="1">
      <c r="A18" s="10" t="inlineStr">
        <is>
          <t>Core Scientific (CORZ)</t>
        </is>
      </c>
      <c r="B18" s="38" t="inlineStr">
        <is>
          <t>1.3 GW</t>
        </is>
      </c>
      <c r="C18" s="38" t="inlineStr"/>
      <c r="D18" s="38" t="inlineStr"/>
      <c r="E18" s="38" t="inlineStr"/>
      <c r="F18" s="38" t="inlineStr"/>
      <c r="G18" s="38" t="inlineStr"/>
      <c r="H18" s="39" t="inlineStr">
        <is>
          <t>✓</t>
        </is>
      </c>
      <c r="I18" s="38" t="inlineStr"/>
      <c r="J18" s="38" t="inlineStr"/>
      <c r="K18" s="41" t="inlineStr">
        <is>
          <t>Acquired by CoreWeave for $9B (Jul 2025). 10 US sites. Pipeline to 2.3 GW.</t>
        </is>
      </c>
    </row>
    <row r="19" ht="22" customHeight="1">
      <c r="A19" s="42" t="inlineStr">
        <is>
          <t>Stargate JV</t>
        </is>
      </c>
      <c r="B19" s="43" t="inlineStr">
        <is>
          <t>4.5+ GW</t>
        </is>
      </c>
      <c r="C19" s="43" t="inlineStr"/>
      <c r="D19" s="39" t="inlineStr">
        <is>
          <t>✓</t>
        </is>
      </c>
      <c r="E19" s="43" t="inlineStr"/>
      <c r="F19" s="40" t="inlineStr">
        <is>
          <t>~</t>
        </is>
      </c>
      <c r="G19" s="39" t="inlineStr">
        <is>
          <t>✓</t>
        </is>
      </c>
      <c r="H19" s="43" t="inlineStr"/>
      <c r="I19" s="43" t="inlineStr"/>
      <c r="J19" s="43" t="inlineStr"/>
      <c r="K19" s="44" t="inlineStr">
        <is>
          <t>Oracle/SoftBank/OpenAI. Abilene TX mega-campus. MSFT &amp; Meta negotiating capacity.</t>
        </is>
      </c>
    </row>
    <row r="20" ht="22" customHeight="1">
      <c r="A20" s="10" t="inlineStr">
        <is>
          <t>Meta SPV (Pimco/Blue Owl)</t>
        </is>
      </c>
      <c r="B20" s="38" t="inlineStr">
        <is>
          <t>—</t>
        </is>
      </c>
      <c r="C20" s="38" t="inlineStr"/>
      <c r="D20" s="38" t="inlineStr"/>
      <c r="E20" s="38" t="inlineStr"/>
      <c r="F20" s="39" t="inlineStr">
        <is>
          <t>✓</t>
        </is>
      </c>
      <c r="G20" s="38" t="inlineStr"/>
      <c r="H20" s="38" t="inlineStr"/>
      <c r="I20" s="38" t="inlineStr"/>
      <c r="J20" s="38" t="inlineStr"/>
      <c r="K20" s="41" t="inlineStr">
        <is>
          <t>Louisiana Hyperion: $26B Pimco debt + $3B Blue Owl equity. Meta 20% co-ownership.</t>
        </is>
      </c>
    </row>
    <row r="21" ht="22" customHeight="1">
      <c r="A21" s="58" t="inlineStr">
        <is>
          <t>CoreWeave (CRWV)</t>
        </is>
      </c>
      <c r="B21" s="59" t="inlineStr">
        <is>
          <t>1.9 GW</t>
        </is>
      </c>
      <c r="C21" s="59" t="inlineStr"/>
      <c r="D21" s="39" t="inlineStr">
        <is>
          <t>✓</t>
        </is>
      </c>
      <c r="E21" s="39" t="inlineStr">
        <is>
          <t>✓</t>
        </is>
      </c>
      <c r="F21" s="39" t="inlineStr">
        <is>
          <t>✓</t>
        </is>
      </c>
      <c r="G21" s="59" t="inlineStr"/>
      <c r="H21" s="60" t="inlineStr">
        <is>
          <t>—</t>
        </is>
      </c>
      <c r="I21" s="60" t="inlineStr">
        <is>
          <t>—</t>
        </is>
      </c>
      <c r="J21" s="59" t="inlineStr"/>
      <c r="K21" s="61" t="inlineStr">
        <is>
          <t>43 DCs. Sells GPU cloud to OpenAI ($22.4B), Meta ($14.2B), MSFT, Google. Nvidia-backed.</t>
        </is>
      </c>
    </row>
    <row r="22" ht="22" customHeight="1">
      <c r="A22" s="58" t="inlineStr">
        <is>
          <t>Nebius (NBIS)</t>
        </is>
      </c>
      <c r="B22" s="59" t="inlineStr">
        <is>
          <t>0.2 GW</t>
        </is>
      </c>
      <c r="C22" s="59" t="inlineStr"/>
      <c r="D22" s="39" t="inlineStr">
        <is>
          <t>✓</t>
        </is>
      </c>
      <c r="E22" s="59" t="inlineStr"/>
      <c r="F22" s="39" t="inlineStr">
        <is>
          <t>✓</t>
        </is>
      </c>
      <c r="G22" s="59" t="inlineStr"/>
      <c r="H22" s="59" t="inlineStr"/>
      <c r="I22" s="60" t="inlineStr">
        <is>
          <t>—</t>
        </is>
      </c>
      <c r="J22" s="59" t="inlineStr"/>
      <c r="K22" s="61" t="inlineStr">
        <is>
          <t>Meta ($27B+$3B deals), Microsoft (multi-B). Nvidia $2B investment. ARR $1.25B. Target 3 GW by end 2026.</t>
        </is>
      </c>
    </row>
    <row r="23" ht="22" customHeight="1">
      <c r="A23" s="58" t="inlineStr">
        <is>
          <t>IREN (formerly Iris Energy)</t>
        </is>
      </c>
      <c r="B23" s="59" t="inlineStr">
        <is>
          <t>0.8 GW</t>
        </is>
      </c>
      <c r="C23" s="59" t="inlineStr"/>
      <c r="D23" s="39" t="inlineStr">
        <is>
          <t>✓</t>
        </is>
      </c>
      <c r="E23" s="59" t="inlineStr"/>
      <c r="F23" s="59" t="inlineStr"/>
      <c r="G23" s="59" t="inlineStr"/>
      <c r="H23" s="59" t="inlineStr"/>
      <c r="I23" s="59" t="inlineStr"/>
      <c r="J23" s="60" t="inlineStr">
        <is>
          <t>—</t>
        </is>
      </c>
      <c r="K23" s="61" t="inlineStr">
        <is>
          <t>MSFT $9.7B/5-yr contract. 150K GPU target. Childress TX 750 MW. Owns sites freehold.</t>
        </is>
      </c>
    </row>
    <row r="24" ht="22" customHeight="1"/>
    <row r="25" ht="22" customHeight="1"/>
    <row r="26" ht="22" customHeight="1">
      <c r="A26" s="36" t="inlineStr">
        <is>
          <t>B. FUTURE LEASE &amp; CONTRACT COMMITMENTS — HYPERSCALERS + NEOCLOUDS (as of Q1 2026, $B)</t>
        </is>
      </c>
    </row>
    <row r="27" ht="22" customHeight="1">
      <c r="A27" s="45" t="inlineStr">
        <is>
          <t>Company</t>
        </is>
      </c>
      <c r="B27" s="37" t="inlineStr">
        <is>
          <t>Type</t>
        </is>
      </c>
      <c r="C27" s="37" t="inlineStr">
        <is>
          <t>Total Future Commitments ($B)</t>
        </is>
      </c>
      <c r="D27" s="37" t="inlineStr">
        <is>
          <t>On-B/S Lease Liab. ($B)</t>
        </is>
      </c>
      <c r="E27" s="37" t="inlineStr">
        <is>
          <t>Off-B/S / Uncommenced ($B)</t>
        </is>
      </c>
      <c r="F27" s="37" t="inlineStr">
        <is>
          <t>2025 Revenue ($B)</t>
        </is>
      </c>
      <c r="G27" s="37" t="inlineStr">
        <is>
          <t>Commit. / Revenue</t>
        </is>
      </c>
      <c r="H27" s="37" t="inlineStr">
        <is>
          <t>Primary Strategy</t>
        </is>
      </c>
      <c r="I27" s="37" t="inlineStr">
        <is>
          <t>Key Partners / Customers</t>
        </is>
      </c>
      <c r="J27" s="46" t="inlineStr"/>
      <c r="K27" s="46" t="inlineStr"/>
    </row>
    <row r="28" ht="22" customHeight="1">
      <c r="A28" s="10" t="inlineStr">
        <is>
          <t>Oracle</t>
        </is>
      </c>
      <c r="B28" s="38" t="inlineStr">
        <is>
          <t>Hyperscaler</t>
        </is>
      </c>
      <c r="C28" s="47" t="n">
        <v>261</v>
      </c>
      <c r="D28" s="48" t="n">
        <v>13</v>
      </c>
      <c r="E28" s="47" t="n">
        <v>248</v>
      </c>
      <c r="F28" s="48" t="n">
        <v>60</v>
      </c>
      <c r="G28" s="38" t="inlineStr">
        <is>
          <t>4.4x</t>
        </is>
      </c>
      <c r="H28" s="41" t="inlineStr">
        <is>
          <t>Aggressive 3rd-party leasing; Stargate anchor</t>
        </is>
      </c>
      <c r="I28" s="41" t="inlineStr">
        <is>
          <t>Crusoe, EdgeConneX, Stargate JV</t>
        </is>
      </c>
    </row>
    <row r="29" ht="22" customHeight="1">
      <c r="A29" s="42" t="inlineStr">
        <is>
          <t>Microsoft</t>
        </is>
      </c>
      <c r="B29" s="43" t="inlineStr">
        <is>
          <t>Hyperscaler</t>
        </is>
      </c>
      <c r="C29" s="50" t="n">
        <v>155</v>
      </c>
      <c r="D29" s="50" t="n">
        <v>50</v>
      </c>
      <c r="E29" s="50" t="n">
        <v>105</v>
      </c>
      <c r="F29" s="50" t="n">
        <v>281.7</v>
      </c>
      <c r="G29" s="43" t="inlineStr">
        <is>
          <t>0.6x</t>
        </is>
      </c>
      <c r="H29" s="44" t="inlineStr">
        <is>
          <t>Mix owned + build-to-suit + co-invested (AIP)</t>
        </is>
      </c>
      <c r="I29" s="44" t="inlineStr">
        <is>
          <t>Aligned, QTS, Vantage, CyrusOne, IREN, Nebius, CoreWeave</t>
        </is>
      </c>
      <c r="J29" s="52" t="n"/>
      <c r="K29" s="52" t="n"/>
    </row>
    <row r="30" ht="22" customHeight="1">
      <c r="A30" s="10" t="inlineStr">
        <is>
          <t>Meta</t>
        </is>
      </c>
      <c r="B30" s="38" t="inlineStr">
        <is>
          <t>Hyperscaler</t>
        </is>
      </c>
      <c r="C30" s="48" t="n">
        <v>104</v>
      </c>
      <c r="D30" s="48" t="n">
        <v>26.1</v>
      </c>
      <c r="E30" s="48" t="n">
        <v>78</v>
      </c>
      <c r="F30" s="48" t="n">
        <v>201</v>
      </c>
      <c r="G30" s="38" t="inlineStr">
        <is>
          <t>0.5x</t>
        </is>
      </c>
      <c r="H30" s="41" t="inlineStr">
        <is>
          <t>SPV-financed build-to-suit; growing 3rd-party</t>
        </is>
      </c>
      <c r="I30" s="41" t="inlineStr">
        <is>
          <t>Pimco/Blue Owl SPV, Digital Realty, Vantage, CoreWeave, Nebius</t>
        </is>
      </c>
    </row>
    <row r="31" ht="22" customHeight="1">
      <c r="A31" s="42" t="inlineStr">
        <is>
          <t>Google / Alphabet</t>
        </is>
      </c>
      <c r="B31" s="43" t="inlineStr">
        <is>
          <t>Hyperscaler</t>
        </is>
      </c>
      <c r="C31" s="50" t="n">
        <v>42.6</v>
      </c>
      <c r="D31" s="50" t="n">
        <v>22.5</v>
      </c>
      <c r="E31" s="50" t="n">
        <v>20.1</v>
      </c>
      <c r="F31" s="50" t="n">
        <v>402.8</v>
      </c>
      <c r="G31" s="43" t="inlineStr">
        <is>
          <t>0.1x</t>
        </is>
      </c>
      <c r="H31" s="44" t="inlineStr">
        <is>
          <t>Mostly owned; selective leasing for speed</t>
        </is>
      </c>
      <c r="I31" s="44" t="inlineStr">
        <is>
          <t>Hut 8 (Fluidstack), Digital Realty, Vantage, QTS, CoreWeave</t>
        </is>
      </c>
      <c r="J31" s="52" t="n"/>
      <c r="K31" s="52" t="n"/>
    </row>
    <row r="32" ht="22" customHeight="1">
      <c r="A32" s="10" t="inlineStr">
        <is>
          <t>Amazon / AWS</t>
        </is>
      </c>
      <c r="B32" s="38" t="inlineStr">
        <is>
          <t>Hyperscaler</t>
        </is>
      </c>
      <c r="C32" s="38" t="inlineStr">
        <is>
          <t>~80–100</t>
        </is>
      </c>
      <c r="D32" s="48" t="n">
        <v>160</v>
      </c>
      <c r="E32" s="38" t="inlineStr">
        <is>
          <t>N/D</t>
        </is>
      </c>
      <c r="F32" s="48" t="n">
        <v>716.9</v>
      </c>
      <c r="G32" s="38" t="inlineStr">
        <is>
          <t>~0.1x</t>
        </is>
      </c>
      <c r="H32" s="41" t="inlineStr">
        <is>
          <t>Mix owned mega-campuses + colocation at scale</t>
        </is>
      </c>
      <c r="I32" s="41" t="inlineStr">
        <is>
          <t>QTS, STACK, Vantage, Digital Realty, EdgeConneX</t>
        </is>
      </c>
    </row>
    <row r="33" ht="22" customHeight="1">
      <c r="A33" s="62" t="inlineStr">
        <is>
          <t>CoreWeave</t>
        </is>
      </c>
      <c r="B33" s="59" t="inlineStr">
        <is>
          <t>Neocloud</t>
        </is>
      </c>
      <c r="C33" s="59" t="inlineStr">
        <is>
          <t>~60.7 (RPO)</t>
        </is>
      </c>
      <c r="D33" s="59" t="inlineStr">
        <is>
          <t>N/D</t>
        </is>
      </c>
      <c r="E33" s="59" t="inlineStr">
        <is>
          <t>N/D</t>
        </is>
      </c>
      <c r="F33" s="63" t="n">
        <v>5.1</v>
      </c>
      <c r="G33" s="59" t="inlineStr">
        <is>
          <t>~11.9x</t>
        </is>
      </c>
      <c r="H33" s="61" t="inlineStr">
        <is>
          <t>Lease DCs → add GPUs → sell compute. Nvidia-backed</t>
        </is>
      </c>
      <c r="I33" s="61" t="inlineStr">
        <is>
          <t>Tenants: Applied Digital, Core Scientific. Customers: OpenAI, Meta, MSFT, Google</t>
        </is>
      </c>
      <c r="J33" s="64" t="n"/>
      <c r="K33" s="64" t="n"/>
    </row>
    <row r="34" ht="22" customHeight="1">
      <c r="A34" s="62" t="inlineStr">
        <is>
          <t>Nebius</t>
        </is>
      </c>
      <c r="B34" s="59" t="inlineStr">
        <is>
          <t>Neocloud</t>
        </is>
      </c>
      <c r="C34" s="59" t="inlineStr">
        <is>
          <t>~30+ (contracted)</t>
        </is>
      </c>
      <c r="D34" s="59" t="inlineStr">
        <is>
          <t>N/D</t>
        </is>
      </c>
      <c r="E34" s="59" t="inlineStr">
        <is>
          <t>N/D</t>
        </is>
      </c>
      <c r="F34" s="63" t="n">
        <v>0.53</v>
      </c>
      <c r="G34" s="59" t="inlineStr">
        <is>
          <t>~57x</t>
        </is>
      </c>
      <c r="H34" s="61" t="inlineStr">
        <is>
          <t>Build-to-own + colocation. Nvidia $2B investment</t>
        </is>
      </c>
      <c r="I34" s="61" t="inlineStr">
        <is>
          <t>Customers: Meta ($27B+$3B), Microsoft. Landlords: Patmos (KC). Mostly self-built</t>
        </is>
      </c>
      <c r="J34" s="64" t="n"/>
      <c r="K34" s="64" t="n"/>
    </row>
    <row r="35" ht="22" customHeight="1">
      <c r="A35" s="62" t="inlineStr">
        <is>
          <t>IREN</t>
        </is>
      </c>
      <c r="B35" s="59" t="inlineStr">
        <is>
          <t>Neocloud</t>
        </is>
      </c>
      <c r="C35" s="59" t="inlineStr">
        <is>
          <t>~9.7 (MSFT contract)</t>
        </is>
      </c>
      <c r="D35" s="59" t="inlineStr">
        <is>
          <t>N/D</t>
        </is>
      </c>
      <c r="E35" s="59" t="inlineStr">
        <is>
          <t>N/D</t>
        </is>
      </c>
      <c r="F35" s="63" t="n">
        <v>0.96</v>
      </c>
      <c r="G35" s="59" t="inlineStr">
        <is>
          <t>~10x</t>
        </is>
      </c>
      <c r="H35" s="61" t="inlineStr">
        <is>
          <t>Owner-operator. Freehold sites. GPU-as-a-service</t>
        </is>
      </c>
      <c r="I35" s="61" t="inlineStr">
        <is>
          <t>Customers: Microsoft ($9.7B), Together AI, Fluidstack, Fireworks AI</t>
        </is>
      </c>
      <c r="J35" s="64" t="n"/>
      <c r="K35" s="64" t="n"/>
    </row>
    <row r="36" ht="22" customHeight="1"/>
    <row r="37" ht="22" customHeight="1">
      <c r="A37" s="36" t="inlineStr">
        <is>
          <t>C. TOP CUSTOMERS / TENANTS BY OPERATOR (Ranked by Estimated Revenue Contribution)</t>
        </is>
      </c>
    </row>
    <row r="38" ht="22" customHeight="1">
      <c r="A38" s="45" t="inlineStr">
        <is>
          <t>DC Operator / Provider</t>
        </is>
      </c>
      <c r="B38" s="37" t="inlineStr">
        <is>
          <t>#1 Customer</t>
        </is>
      </c>
      <c r="C38" s="37" t="inlineStr">
        <is>
          <t>#2 Customer</t>
        </is>
      </c>
      <c r="D38" s="37" t="inlineStr">
        <is>
          <t>#3 Customer</t>
        </is>
      </c>
      <c r="E38" s="37" t="inlineStr">
        <is>
          <t>Concentration Risk</t>
        </is>
      </c>
      <c r="F38" s="37" t="inlineStr">
        <is>
          <t>Avg Lease Term</t>
        </is>
      </c>
      <c r="G38" s="37" t="inlineStr">
        <is>
          <t>Lease / Contract Structure</t>
        </is>
      </c>
      <c r="H38" s="37" t="inlineStr">
        <is>
          <t>Est. Annual Rev from Top 3 ($B)</t>
        </is>
      </c>
      <c r="I38" s="37" t="inlineStr">
        <is>
          <t>Owner / Backer</t>
        </is>
      </c>
      <c r="J38" s="46" t="inlineStr"/>
      <c r="K38" s="46" t="inlineStr"/>
    </row>
    <row r="39" ht="22" customHeight="1">
      <c r="A39" s="10" t="inlineStr">
        <is>
          <t>QTS (Blackstone)</t>
        </is>
      </c>
      <c r="B39" s="38" t="inlineStr">
        <is>
          <t>Amazon / AWS</t>
        </is>
      </c>
      <c r="C39" s="38" t="inlineStr">
        <is>
          <t>Microsoft</t>
        </is>
      </c>
      <c r="D39" s="38" t="inlineStr">
        <is>
          <t>Google</t>
        </is>
      </c>
      <c r="E39" s="53" t="inlineStr">
        <is>
          <t>High</t>
        </is>
      </c>
      <c r="F39" s="38" t="inlineStr">
        <is>
          <t>10–20 yrs</t>
        </is>
      </c>
      <c r="G39" s="41" t="inlineStr">
        <is>
          <t>Triple-net, build-to-suit</t>
        </is>
      </c>
      <c r="H39" s="38" t="inlineStr">
        <is>
          <t>$4–6</t>
        </is>
      </c>
      <c r="I39" s="41" t="inlineStr">
        <is>
          <t>Blackstone ($10B acq.)</t>
        </is>
      </c>
    </row>
    <row r="40" ht="22" customHeight="1">
      <c r="A40" s="42" t="inlineStr">
        <is>
          <t>Vantage</t>
        </is>
      </c>
      <c r="B40" s="43" t="inlineStr">
        <is>
          <t>Microsoft</t>
        </is>
      </c>
      <c r="C40" s="43" t="inlineStr">
        <is>
          <t>Meta</t>
        </is>
      </c>
      <c r="D40" s="43" t="inlineStr">
        <is>
          <t>Amazon / AWS</t>
        </is>
      </c>
      <c r="E40" s="54" t="inlineStr">
        <is>
          <t>Very High</t>
        </is>
      </c>
      <c r="F40" s="43" t="inlineStr">
        <is>
          <t>15–20 yrs</t>
        </is>
      </c>
      <c r="G40" s="44" t="inlineStr">
        <is>
          <t>Single-tenant, shell + core</t>
        </is>
      </c>
      <c r="H40" s="43" t="inlineStr">
        <is>
          <t>$3–5</t>
        </is>
      </c>
      <c r="I40" s="44" t="inlineStr">
        <is>
          <t>DigitalBridge / Silver Lake</t>
        </is>
      </c>
      <c r="J40" s="52" t="n"/>
      <c r="K40" s="52" t="n"/>
    </row>
    <row r="41" ht="22" customHeight="1">
      <c r="A41" s="10" t="inlineStr">
        <is>
          <t>Digital Realty (DLR)</t>
        </is>
      </c>
      <c r="B41" s="38" t="inlineStr">
        <is>
          <t>Meta</t>
        </is>
      </c>
      <c r="C41" s="38" t="inlineStr">
        <is>
          <t>Oracle</t>
        </is>
      </c>
      <c r="D41" s="38" t="inlineStr">
        <is>
          <t>Amazon / AWS</t>
        </is>
      </c>
      <c r="E41" s="41" t="inlineStr">
        <is>
          <t>Moderate</t>
        </is>
      </c>
      <c r="F41" s="38" t="inlineStr">
        <is>
          <t>7–15 yrs</t>
        </is>
      </c>
      <c r="G41" s="41" t="inlineStr">
        <is>
          <t>Mix: colo + build-to-suit</t>
        </is>
      </c>
      <c r="H41" s="38" t="inlineStr">
        <is>
          <t>$2–4</t>
        </is>
      </c>
      <c r="I41" s="41" t="inlineStr">
        <is>
          <t>Public REIT (NYSE: DLR)</t>
        </is>
      </c>
    </row>
    <row r="42" ht="22" customHeight="1">
      <c r="A42" s="42" t="inlineStr">
        <is>
          <t>STACK Infrastructure</t>
        </is>
      </c>
      <c r="B42" s="43" t="inlineStr">
        <is>
          <t>Amazon / AWS</t>
        </is>
      </c>
      <c r="C42" s="43" t="inlineStr">
        <is>
          <t>Oracle</t>
        </is>
      </c>
      <c r="D42" s="43" t="inlineStr">
        <is>
          <t>Microsoft</t>
        </is>
      </c>
      <c r="E42" s="53" t="inlineStr">
        <is>
          <t>High</t>
        </is>
      </c>
      <c r="F42" s="43" t="inlineStr">
        <is>
          <t>15–25 yrs</t>
        </is>
      </c>
      <c r="G42" s="44" t="inlineStr">
        <is>
          <t>Powered shell, triple-net</t>
        </is>
      </c>
      <c r="H42" s="43" t="inlineStr">
        <is>
          <t>$2–3</t>
        </is>
      </c>
      <c r="I42" s="44" t="inlineStr">
        <is>
          <t>IPI Partners / Mubadala</t>
        </is>
      </c>
      <c r="J42" s="52" t="n"/>
      <c r="K42" s="52" t="n"/>
    </row>
    <row r="43" ht="22" customHeight="1">
      <c r="A43" s="10" t="inlineStr">
        <is>
          <t>Aligned (BlackRock AIP)</t>
        </is>
      </c>
      <c r="B43" s="38" t="inlineStr">
        <is>
          <t>Microsoft</t>
        </is>
      </c>
      <c r="C43" s="38" t="inlineStr">
        <is>
          <t>xAI</t>
        </is>
      </c>
      <c r="D43" s="38" t="inlineStr">
        <is>
          <t>IREN</t>
        </is>
      </c>
      <c r="E43" s="54" t="inlineStr">
        <is>
          <t>Very High</t>
        </is>
      </c>
      <c r="F43" s="38" t="inlineStr">
        <is>
          <t>10–20 yrs</t>
        </is>
      </c>
      <c r="G43" s="41" t="inlineStr">
        <is>
          <t>Co-invested, build-to-suit</t>
        </is>
      </c>
      <c r="H43" s="38" t="inlineStr">
        <is>
          <t>$2–4</t>
        </is>
      </c>
      <c r="I43" s="41" t="inlineStr">
        <is>
          <t>BlackRock / Nvidia / MSFT / xAI</t>
        </is>
      </c>
    </row>
    <row r="44" ht="22" customHeight="1">
      <c r="A44" s="42" t="inlineStr">
        <is>
          <t>Equinix (EQIX)</t>
        </is>
      </c>
      <c r="B44" s="43" t="inlineStr">
        <is>
          <t>Amazon / AWS</t>
        </is>
      </c>
      <c r="C44" s="43" t="inlineStr">
        <is>
          <t>Microsoft</t>
        </is>
      </c>
      <c r="D44" s="43" t="inlineStr">
        <is>
          <t>Google</t>
        </is>
      </c>
      <c r="E44" s="65" t="inlineStr">
        <is>
          <t>Low</t>
        </is>
      </c>
      <c r="F44" s="43" t="inlineStr">
        <is>
          <t>3–5 yrs</t>
        </is>
      </c>
      <c r="G44" s="44" t="inlineStr">
        <is>
          <t>Retail colo + interconnection</t>
        </is>
      </c>
      <c r="H44" s="43" t="inlineStr">
        <is>
          <t>$1–2</t>
        </is>
      </c>
      <c r="I44" s="44" t="inlineStr">
        <is>
          <t>Public REIT (NYSE: EQIX)</t>
        </is>
      </c>
      <c r="J44" s="52" t="n"/>
      <c r="K44" s="52" t="n"/>
    </row>
    <row r="45" ht="22" customHeight="1">
      <c r="A45" s="10" t="inlineStr">
        <is>
          <t>CyrusOne (KKR/GIP)</t>
        </is>
      </c>
      <c r="B45" s="38" t="inlineStr">
        <is>
          <t>Amazon / AWS</t>
        </is>
      </c>
      <c r="C45" s="38" t="inlineStr">
        <is>
          <t>Microsoft</t>
        </is>
      </c>
      <c r="D45" s="38" t="inlineStr">
        <is>
          <t>Enterprise mix</t>
        </is>
      </c>
      <c r="E45" s="41" t="inlineStr">
        <is>
          <t>Moderate</t>
        </is>
      </c>
      <c r="F45" s="38" t="inlineStr">
        <is>
          <t>10–15 yrs</t>
        </is>
      </c>
      <c r="G45" s="41" t="inlineStr">
        <is>
          <t>Build-to-suit hyperscale</t>
        </is>
      </c>
      <c r="H45" s="38" t="inlineStr">
        <is>
          <t>$0.5–1</t>
        </is>
      </c>
      <c r="I45" s="41" t="inlineStr">
        <is>
          <t>KKR / GIP</t>
        </is>
      </c>
    </row>
    <row r="46" ht="22" customHeight="1">
      <c r="A46" s="42" t="inlineStr">
        <is>
          <t>Compass (Brookfield)</t>
        </is>
      </c>
      <c r="B46" s="43" t="inlineStr">
        <is>
          <t>Undisclosed (Meta or MSFT)</t>
        </is>
      </c>
      <c r="C46" s="43" t="inlineStr">
        <is>
          <t>—</t>
        </is>
      </c>
      <c r="D46" s="43" t="inlineStr">
        <is>
          <t>—</t>
        </is>
      </c>
      <c r="E46" s="54" t="inlineStr">
        <is>
          <t>Very High</t>
        </is>
      </c>
      <c r="F46" s="43" t="inlineStr">
        <is>
          <t>15–20 yrs</t>
        </is>
      </c>
      <c r="G46" s="44" t="inlineStr">
        <is>
          <t>Single-tenant modular</t>
        </is>
      </c>
      <c r="H46" s="43" t="inlineStr">
        <is>
          <t>$1–2</t>
        </is>
      </c>
      <c r="I46" s="44" t="inlineStr">
        <is>
          <t>Brookfield Infra / OTPP</t>
        </is>
      </c>
      <c r="J46" s="52" t="n"/>
      <c r="K46" s="52" t="n"/>
    </row>
    <row r="47" ht="22" customHeight="1">
      <c r="A47" s="10" t="inlineStr">
        <is>
          <t>Crusoe Energy</t>
        </is>
      </c>
      <c r="B47" s="38" t="inlineStr">
        <is>
          <t>Oracle</t>
        </is>
      </c>
      <c r="C47" s="38" t="inlineStr">
        <is>
          <t>—</t>
        </is>
      </c>
      <c r="D47" s="38" t="inlineStr">
        <is>
          <t>—</t>
        </is>
      </c>
      <c r="E47" s="55" t="inlineStr">
        <is>
          <t>Extreme</t>
        </is>
      </c>
      <c r="F47" s="38" t="inlineStr">
        <is>
          <t>15 yrs</t>
        </is>
      </c>
      <c r="G47" s="41" t="inlineStr">
        <is>
          <t>Build-to-suit, triple-net</t>
        </is>
      </c>
      <c r="H47" s="38" t="inlineStr">
        <is>
          <t>$1–2</t>
        </is>
      </c>
      <c r="I47" s="41" t="inlineStr">
        <is>
          <t>Blue Owl / PE-backed</t>
        </is>
      </c>
    </row>
    <row r="48" ht="22" customHeight="1">
      <c r="A48" s="42" t="inlineStr">
        <is>
          <t>Hut 8 (HUT)</t>
        </is>
      </c>
      <c r="B48" s="43" t="inlineStr">
        <is>
          <t>Google (via Fluidstack)</t>
        </is>
      </c>
      <c r="C48" s="43" t="inlineStr">
        <is>
          <t>—</t>
        </is>
      </c>
      <c r="D48" s="43" t="inlineStr">
        <is>
          <t>—</t>
        </is>
      </c>
      <c r="E48" s="55" t="inlineStr">
        <is>
          <t>Extreme</t>
        </is>
      </c>
      <c r="F48" s="43" t="inlineStr">
        <is>
          <t>15 (+15 renewal)</t>
        </is>
      </c>
      <c r="G48" s="44" t="inlineStr">
        <is>
          <t>Triple-net IT lease</t>
        </is>
      </c>
      <c r="H48" s="43" t="inlineStr">
        <is>
          <t>$0.5</t>
        </is>
      </c>
      <c r="I48" s="44" t="inlineStr">
        <is>
          <t>Public (NASDAQ: HUT)</t>
        </is>
      </c>
      <c r="J48" s="52" t="n"/>
      <c r="K48" s="52" t="n"/>
    </row>
    <row r="49" ht="22" customHeight="1">
      <c r="A49" s="10" t="inlineStr">
        <is>
          <t>Applied Digital (APLD)</t>
        </is>
      </c>
      <c r="B49" s="38" t="inlineStr">
        <is>
          <t>CoreWeave</t>
        </is>
      </c>
      <c r="C49" s="38" t="inlineStr">
        <is>
          <t>—</t>
        </is>
      </c>
      <c r="D49" s="38" t="inlineStr">
        <is>
          <t>—</t>
        </is>
      </c>
      <c r="E49" s="55" t="inlineStr">
        <is>
          <t>Extreme</t>
        </is>
      </c>
      <c r="F49" s="38" t="inlineStr">
        <is>
          <t>15 yrs</t>
        </is>
      </c>
      <c r="G49" s="41" t="inlineStr">
        <is>
          <t>Triple-net, GPU-ready shell</t>
        </is>
      </c>
      <c r="H49" s="38" t="inlineStr">
        <is>
          <t>$0.7</t>
        </is>
      </c>
      <c r="I49" s="41" t="inlineStr">
        <is>
          <t>Public (NASDAQ: APLD)</t>
        </is>
      </c>
    </row>
    <row r="50" ht="22" customHeight="1">
      <c r="A50" s="42" t="inlineStr">
        <is>
          <t>Core Scientific (CORZ)</t>
        </is>
      </c>
      <c r="B50" s="43" t="inlineStr">
        <is>
          <t>CoreWeave</t>
        </is>
      </c>
      <c r="C50" s="43" t="inlineStr">
        <is>
          <t>—</t>
        </is>
      </c>
      <c r="D50" s="43" t="inlineStr">
        <is>
          <t>—</t>
        </is>
      </c>
      <c r="E50" s="55" t="inlineStr">
        <is>
          <t>Extreme</t>
        </is>
      </c>
      <c r="F50" s="43" t="inlineStr">
        <is>
          <t>12–15 yrs</t>
        </is>
      </c>
      <c r="G50" s="44" t="inlineStr">
        <is>
          <t>Acquired by CoreWeave ($9B)</t>
        </is>
      </c>
      <c r="H50" s="43" t="inlineStr">
        <is>
          <t>$0.5–1</t>
        </is>
      </c>
      <c r="I50" s="44" t="inlineStr">
        <is>
          <t>CoreWeave (acquired Jul 2025)</t>
        </is>
      </c>
      <c r="J50" s="52" t="n"/>
      <c r="K50" s="52" t="n"/>
    </row>
    <row r="51" ht="22" customHeight="1">
      <c r="A51" s="10" t="inlineStr">
        <is>
          <t>EdgeConneX (EQT)</t>
        </is>
      </c>
      <c r="B51" s="38" t="inlineStr">
        <is>
          <t>Mixed hyperscale</t>
        </is>
      </c>
      <c r="C51" s="38" t="inlineStr">
        <is>
          <t>Oracle</t>
        </is>
      </c>
      <c r="D51" s="38" t="inlineStr">
        <is>
          <t>AWS / MSFT</t>
        </is>
      </c>
      <c r="E51" s="41" t="inlineStr">
        <is>
          <t>Moderate</t>
        </is>
      </c>
      <c r="F51" s="38" t="inlineStr">
        <is>
          <t>10–15 yrs</t>
        </is>
      </c>
      <c r="G51" s="41" t="inlineStr">
        <is>
          <t>Build-to-suit colo</t>
        </is>
      </c>
      <c r="H51" s="38" t="inlineStr">
        <is>
          <t>$0.5–1</t>
        </is>
      </c>
      <c r="I51" s="41" t="inlineStr">
        <is>
          <t>EQT Partners</t>
        </is>
      </c>
    </row>
    <row r="52" ht="22" customHeight="1">
      <c r="A52" s="62" t="inlineStr">
        <is>
          <t>CoreWeave (CRWV)</t>
        </is>
      </c>
      <c r="B52" s="59" t="inlineStr">
        <is>
          <t>OpenAI ($22.4B)</t>
        </is>
      </c>
      <c r="C52" s="59" t="inlineStr">
        <is>
          <t>Meta ($14.2B)</t>
        </is>
      </c>
      <c r="D52" s="59" t="inlineStr">
        <is>
          <t>Microsoft</t>
        </is>
      </c>
      <c r="E52" s="53" t="inlineStr">
        <is>
          <t>High</t>
        </is>
      </c>
      <c r="F52" s="59" t="inlineStr">
        <is>
          <t>5 yrs (compute)</t>
        </is>
      </c>
      <c r="G52" s="61" t="inlineStr">
        <is>
          <t>GPU-aaS, take-or-pay</t>
        </is>
      </c>
      <c r="H52" s="59" t="inlineStr">
        <is>
          <t>$3–5</t>
        </is>
      </c>
      <c r="I52" s="61" t="inlineStr">
        <is>
          <t>Public (NASDAQ: CRWV). Nvidia-backed</t>
        </is>
      </c>
      <c r="J52" s="64" t="n"/>
      <c r="K52" s="64" t="n"/>
    </row>
    <row r="53" ht="22" customHeight="1">
      <c r="A53" s="62" t="inlineStr">
        <is>
          <t>Nebius (NBIS)</t>
        </is>
      </c>
      <c r="B53" s="59" t="inlineStr">
        <is>
          <t>Meta ($27B+$3B)</t>
        </is>
      </c>
      <c r="C53" s="59" t="inlineStr">
        <is>
          <t>Microsoft (multi-B)</t>
        </is>
      </c>
      <c r="D53" s="59" t="inlineStr">
        <is>
          <t>Enterprise / AI startups</t>
        </is>
      </c>
      <c r="E53" s="54" t="inlineStr">
        <is>
          <t>Very High</t>
        </is>
      </c>
      <c r="F53" s="59" t="inlineStr">
        <is>
          <t>5 yrs (infra delivery)</t>
        </is>
      </c>
      <c r="G53" s="61" t="inlineStr">
        <is>
          <t>Full-stack AI cloud</t>
        </is>
      </c>
      <c r="H53" s="59" t="inlineStr">
        <is>
          <t>$0.5–1</t>
        </is>
      </c>
      <c r="I53" s="61" t="inlineStr">
        <is>
          <t>Public (NASDAQ: NBIS). Nvidia $2B</t>
        </is>
      </c>
      <c r="J53" s="64" t="n"/>
      <c r="K53" s="64" t="n"/>
    </row>
    <row r="54" ht="22" customHeight="1">
      <c r="A54" s="62" t="inlineStr">
        <is>
          <t>IREN</t>
        </is>
      </c>
      <c r="B54" s="59" t="inlineStr">
        <is>
          <t>Microsoft ($9.7B)</t>
        </is>
      </c>
      <c r="C54" s="59" t="inlineStr">
        <is>
          <t>Together AI</t>
        </is>
      </c>
      <c r="D54" s="59" t="inlineStr">
        <is>
          <t>Fluidstack / Fireworks AI</t>
        </is>
      </c>
      <c r="E54" s="55" t="inlineStr">
        <is>
          <t>Extreme</t>
        </is>
      </c>
      <c r="F54" s="59" t="inlineStr">
        <is>
          <t>5 yrs (MSFT)</t>
        </is>
      </c>
      <c r="G54" s="61" t="inlineStr">
        <is>
          <t>GPU cloud + colocation</t>
        </is>
      </c>
      <c r="H54" s="59" t="inlineStr">
        <is>
          <t>$1–2</t>
        </is>
      </c>
      <c r="I54" s="61" t="inlineStr">
        <is>
          <t>Public (NASDAQ: IREN)</t>
        </is>
      </c>
      <c r="J54" s="64" t="n"/>
      <c r="K54" s="64" t="n"/>
    </row>
    <row r="55" ht="22" customHeight="1"/>
    <row r="56" ht="22" customHeight="1">
      <c r="A56" s="36" t="inlineStr">
        <is>
          <t>D. NEOCLOUD SUPPLY CHAIN: WHO THEY LEASE FROM → WHO THEY SELL TO</t>
        </is>
      </c>
    </row>
    <row r="57" ht="22" customHeight="1">
      <c r="A57" s="45" t="inlineStr">
        <is>
          <t>Neocloud Provider</t>
        </is>
      </c>
      <c r="B57" s="37" t="inlineStr">
        <is>
          <t>2025 Revenue ($B)</t>
        </is>
      </c>
      <c r="C57" s="37" t="inlineStr">
        <is>
          <t>GPU Fleet</t>
        </is>
      </c>
      <c r="D57" s="37" t="inlineStr">
        <is>
          <t>Leases DC Space From</t>
        </is>
      </c>
      <c r="E57" s="37" t="inlineStr">
        <is>
          <t>Sells Compute To</t>
        </is>
      </c>
      <c r="F57" s="37" t="inlineStr">
        <is>
          <t>Largest Contract ($B)</t>
        </is>
      </c>
      <c r="G57" s="37" t="inlineStr">
        <is>
          <t>Nvidia Relationship</t>
        </is>
      </c>
      <c r="H57" s="37" t="inlineStr">
        <is>
          <t>Capacity (MW)</t>
        </is>
      </c>
      <c r="I57" s="37" t="inlineStr">
        <is>
          <t>2026E ARR Target ($B)</t>
        </is>
      </c>
      <c r="J57" s="46" t="inlineStr"/>
      <c r="K57" s="46" t="inlineStr"/>
    </row>
    <row r="58" ht="80" customHeight="1">
      <c r="A58" s="58" t="inlineStr">
        <is>
          <t>CoreWeave (CRWV)</t>
        </is>
      </c>
      <c r="B58" s="63" t="n">
        <v>5.1</v>
      </c>
      <c r="C58" s="59" t="inlineStr">
        <is>
          <t>250K+ GPUs</t>
        </is>
      </c>
      <c r="D58" s="66" t="inlineStr">
        <is>
          <t>Applied Digital (400 MW)
Core Scientific (1.3 GW, acquired)
Digital Crossroads (180 MW)
Chirisa (Lancaster PA, 300 MW)</t>
        </is>
      </c>
      <c r="E58" s="66" t="inlineStr">
        <is>
          <t>OpenAI ($22.4B)
Meta ($14.2B)
Microsoft
Google Cloud
IBM</t>
        </is>
      </c>
      <c r="F58" s="63" t="n">
        <v>22.4</v>
      </c>
      <c r="G58" s="66" t="inlineStr">
        <is>
          <t>Largest customer (62% of 2024 rev). Guarantees leases. $6.3B compute backstop.</t>
        </is>
      </c>
      <c r="H58" s="61" t="inlineStr">
        <is>
          <t>1,900</t>
        </is>
      </c>
      <c r="I58" s="59" t="inlineStr">
        <is>
          <t>~10–12</t>
        </is>
      </c>
      <c r="J58" s="64" t="n"/>
      <c r="K58" s="64" t="n"/>
    </row>
    <row r="59" ht="80" customHeight="1">
      <c r="A59" s="58" t="inlineStr">
        <is>
          <t>Nebius (NBIS)</t>
        </is>
      </c>
      <c r="B59" s="63" t="n">
        <v>0.53</v>
      </c>
      <c r="C59" s="59" t="inlineStr">
        <is>
          <t>~30K+ GPUs</t>
        </is>
      </c>
      <c r="D59" s="66" t="inlineStr">
        <is>
          <t>Patmos (Kansas City, colocation)
Self-built: Vineland NJ (300 MW)
Planned: Independence MO (800 MW)
Mega Or (Israel, 80 MW)</t>
        </is>
      </c>
      <c r="E59" s="66" t="inlineStr">
        <is>
          <t>Meta ($27B + $3B deals)
Microsoft (multi-billion)
AI startups &amp; enterprises</t>
        </is>
      </c>
      <c r="F59" s="63" t="n">
        <v>27</v>
      </c>
      <c r="G59" s="66" t="inlineStr">
        <is>
          <t>$2B strategic investment (Mar 2026). Full-stack partnership through Rubin platform.</t>
        </is>
      </c>
      <c r="H59" s="61" t="inlineStr">
        <is>
          <t>170 (active)
3,000+ (target end 2026)</t>
        </is>
      </c>
      <c r="I59" s="59" t="inlineStr">
        <is>
          <t>7–9</t>
        </is>
      </c>
      <c r="J59" s="64" t="n"/>
      <c r="K59" s="64" t="n"/>
    </row>
    <row r="60" ht="80" customHeight="1">
      <c r="A60" s="58" t="inlineStr">
        <is>
          <t>IREN</t>
        </is>
      </c>
      <c r="B60" s="63" t="n">
        <v>0.96</v>
      </c>
      <c r="C60" s="59" t="inlineStr">
        <is>
          <t>~50K GPUs (target 150K)</t>
        </is>
      </c>
      <c r="D60" s="66" t="inlineStr">
        <is>
          <t>Self-owned freehold sites:
• Childress TX (750 MW)
• Sweetwater TX
• Mackenzie BC
• Canal Flats BC</t>
        </is>
      </c>
      <c r="E60" s="66" t="inlineStr">
        <is>
          <t>Microsoft ($9.7B / 5-yr)
Together AI
Fluidstack
Fireworks AI
Hume</t>
        </is>
      </c>
      <c r="F60" s="63" t="n">
        <v>9.699999999999999</v>
      </c>
      <c r="G60" s="66" t="inlineStr">
        <is>
          <t>Purchases Nvidia B300 GPUs. Not equity-backed by Nvidia.</t>
        </is>
      </c>
      <c r="H60" s="61" t="inlineStr">
        <is>
          <t>810 (operational)
2,100 (under construction)</t>
        </is>
      </c>
      <c r="I60" s="59" t="inlineStr">
        <is>
          <t>3.4–3.7</t>
        </is>
      </c>
      <c r="J60" s="64" t="n"/>
      <c r="K60" s="64" t="n"/>
    </row>
    <row r="61" ht="22" customHeight="1"/>
    <row r="62" ht="22" customHeight="1">
      <c r="A62" s="15" t="inlineStr">
        <is>
          <t>Sources &amp; Notes</t>
        </is>
      </c>
    </row>
    <row r="63" ht="22" customHeight="1">
      <c r="A63" s="16" t="inlineStr">
        <is>
          <t>Tenant relationships compiled from SEC filings (10-K, 10-Q, S-1), press releases, and industry reports as of Q1 2026.</t>
        </is>
      </c>
    </row>
    <row r="64" ht="22" customHeight="1">
      <c r="A64" s="16" t="inlineStr">
        <is>
          <t>Oracle future lease commitments ($261B) per 10-Q. Microsoft ($155B) and Meta ($104B) per Bloomberg/company filings Mar 2026.</t>
        </is>
      </c>
    </row>
    <row r="65" ht="22" customHeight="1">
      <c r="A65" s="16" t="inlineStr">
        <is>
          <t>Moody's (Feb 2026): Big-5 hyperscalers hold $969B total undiscounted future lease commitments; $662B uncommenced (off-balance-sheet).</t>
        </is>
      </c>
    </row>
    <row r="66" ht="22" customHeight="1">
      <c r="A66" s="16" t="inlineStr">
        <is>
          <t>CoreWeave RPO of $60.7B (Dec 2025 10-K). Revenue $5.1B (2025). Acquired Core Scientific for $9B (Jul 2025). IPO Mar 2025.</t>
        </is>
      </c>
    </row>
    <row r="67" ht="22" customHeight="1">
      <c r="A67" s="16" t="inlineStr">
        <is>
          <t>Nebius: Meta $27B deal (Mar 2026) + $3B deal (Nov 2025). Microsoft multi-B deal (Sep 2025). Nvidia $2B investment (Mar 2026). Revenue $530M (2025).</t>
        </is>
      </c>
    </row>
    <row r="68" ht="22" customHeight="1">
      <c r="A68" s="16" t="inlineStr">
        <is>
          <t>IREN: Microsoft $9.7B/5-yr contract (Nov 2025). Revenue ~$960M annualized. Owns all sites freehold. Formerly Iris Energy. 150K GPU target by end 2026.</t>
        </is>
      </c>
    </row>
    <row r="69" ht="22" customHeight="1">
      <c r="A69" s="16" t="inlineStr">
        <is>
          <t>Crusoe → Oracle → Microsoft → OpenAI is a multi-layered sublease chain; Stargate JV (Oracle/SoftBank/OpenAI) is a separate structure.</t>
        </is>
      </c>
    </row>
    <row r="70" ht="22" customHeight="1">
      <c r="A70" s="16" t="inlineStr">
        <is>
          <t>✓ = Confirmed tenant/customer.  ~ = Suspected or indirect.  — = Self (not applicable).  Purple rows = neocloud providers.</t>
        </is>
      </c>
    </row>
    <row r="71" ht="22" customHeight="1">
      <c r="A71" s="16" t="inlineStr">
        <is>
          <t>Concentration risk: Extreme (&gt;80% from 1 customer), Very High (&gt;60% from top 2), High (&gt;40% from top 2), Moderate, Low.</t>
        </is>
      </c>
    </row>
    <row r="72" ht="22" customHeight="1"/>
  </sheetData>
  <mergeCells count="15">
    <mergeCell ref="A70:K70"/>
    <mergeCell ref="A69:K69"/>
    <mergeCell ref="A4:K4"/>
    <mergeCell ref="A26:K26"/>
    <mergeCell ref="A64:K64"/>
    <mergeCell ref="A65:K65"/>
    <mergeCell ref="A2:K2"/>
    <mergeCell ref="A63:K63"/>
    <mergeCell ref="A71:K71"/>
    <mergeCell ref="A68:K68"/>
    <mergeCell ref="A66:K66"/>
    <mergeCell ref="A1:K1"/>
    <mergeCell ref="A37:K37"/>
    <mergeCell ref="A56:K56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Hyperscaler Uncommenced Leases &amp; Capital Expenditure Comparison ($B)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Data as of end-2025 unless noted  |  Moody's Feb 2026: Big-5 hold $662B in off-B/S uncommenced leases (113% of combined adjusted debt)</t>
        </is>
      </c>
      <c r="B2" s="2" t="n"/>
      <c r="C2" s="2" t="n"/>
      <c r="D2" s="2" t="n"/>
      <c r="E2" s="2" t="n"/>
      <c r="F2" s="2" t="n"/>
      <c r="G2" s="2" t="n"/>
      <c r="H2" s="2" t="n"/>
    </row>
    <row r="4">
      <c r="A4" s="36" t="inlineStr">
        <is>
          <t>TABLE 1: UNCOMMENCED (OFF-BALANCE-SHEET) LEASES vs ON-BALANCE-SHEET LEASE LIABILITIES</t>
        </is>
      </c>
      <c r="B4" s="36" t="n"/>
      <c r="C4" s="36" t="n"/>
      <c r="D4" s="36" t="n"/>
      <c r="E4" s="36" t="n"/>
      <c r="F4" s="36" t="n"/>
      <c r="G4" s="36" t="n"/>
      <c r="H4" s="36" t="n"/>
    </row>
    <row r="5">
      <c r="A5" s="45" t="inlineStr">
        <is>
          <t>Metric</t>
        </is>
      </c>
      <c r="B5" s="37" t="inlineStr">
        <is>
          <t>Oracle</t>
        </is>
      </c>
      <c r="C5" s="37" t="inlineStr">
        <is>
          <t>Microsoft</t>
        </is>
      </c>
      <c r="D5" s="37" t="inlineStr">
        <is>
          <t>Amazon</t>
        </is>
      </c>
      <c r="E5" s="37" t="inlineStr">
        <is>
          <t>Meta</t>
        </is>
      </c>
      <c r="F5" s="37" t="inlineStr">
        <is>
          <t>Alphabet / Google</t>
        </is>
      </c>
      <c r="G5" s="37" t="inlineStr">
        <is>
          <t>Big-5 Total</t>
        </is>
      </c>
      <c r="H5" s="46" t="inlineStr"/>
    </row>
    <row r="6">
      <c r="A6" s="10" t="inlineStr">
        <is>
          <t>Uncommenced leases (off-B/S) ($B)</t>
        </is>
      </c>
      <c r="B6" s="23" t="n">
        <v>248</v>
      </c>
      <c r="C6" s="23" t="n">
        <v>105</v>
      </c>
      <c r="D6" s="23" t="n">
        <v>190</v>
      </c>
      <c r="E6" s="23" t="n">
        <v>78</v>
      </c>
      <c r="F6" s="23" t="n">
        <v>42.6</v>
      </c>
      <c r="G6" s="23" t="n">
        <v>663.6</v>
      </c>
      <c r="H6" s="67" t="n"/>
    </row>
    <row r="7">
      <c r="A7" s="4" t="inlineStr">
        <is>
          <t>On-B/S operating lease liabilities ($B)</t>
        </is>
      </c>
      <c r="B7" s="5" t="n">
        <v>9</v>
      </c>
      <c r="C7" s="5" t="n">
        <v>32</v>
      </c>
      <c r="D7" s="5" t="n">
        <v>88</v>
      </c>
      <c r="E7" s="5" t="n">
        <v>25.2</v>
      </c>
      <c r="F7" s="5" t="n">
        <v>18</v>
      </c>
      <c r="G7" s="5" t="n">
        <v>172.2</v>
      </c>
    </row>
    <row r="8">
      <c r="A8" s="4" t="inlineStr">
        <is>
          <t>On-B/S finance lease liabilities ($B)</t>
        </is>
      </c>
      <c r="B8" s="5" t="n">
        <v>4</v>
      </c>
      <c r="C8" s="5" t="n">
        <v>18</v>
      </c>
      <c r="D8" s="5" t="n">
        <v>72</v>
      </c>
      <c r="E8" s="5" t="n">
        <v>0.9</v>
      </c>
      <c r="F8" s="5" t="n">
        <v>4.5</v>
      </c>
      <c r="G8" s="5" t="n">
        <v>99.40000000000001</v>
      </c>
    </row>
    <row r="9">
      <c r="A9" s="10" t="inlineStr">
        <is>
          <t>Total on-B/S lease liabilities ($B)</t>
        </is>
      </c>
      <c r="B9" s="18" t="n">
        <v>13</v>
      </c>
      <c r="C9" s="18" t="n">
        <v>50</v>
      </c>
      <c r="D9" s="18" t="n">
        <v>160</v>
      </c>
      <c r="E9" s="18" t="n">
        <v>26.1</v>
      </c>
      <c r="F9" s="18" t="n">
        <v>22.5</v>
      </c>
      <c r="G9" s="18" t="n">
        <v>271.6</v>
      </c>
      <c r="H9" s="68" t="n"/>
    </row>
    <row r="10">
      <c r="A10" s="10" t="inlineStr">
        <is>
          <t>Total lease exposure (on + off B/S) ($B)</t>
        </is>
      </c>
      <c r="B10" s="69" t="n">
        <v>261</v>
      </c>
      <c r="C10" s="69" t="n">
        <v>155</v>
      </c>
      <c r="D10" s="69" t="n">
        <v>350</v>
      </c>
      <c r="E10" s="69" t="n">
        <v>104.1</v>
      </c>
      <c r="F10" s="69" t="n">
        <v>65.09999999999999</v>
      </c>
      <c r="G10" s="69" t="n">
        <v>935.2</v>
      </c>
      <c r="H10" s="70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4" t="inlineStr">
        <is>
          <t>2025 Revenue ($B)</t>
        </is>
      </c>
      <c r="B12" s="5" t="n">
        <v>60.4</v>
      </c>
      <c r="C12" s="5" t="n">
        <v>281.7</v>
      </c>
      <c r="D12" s="5" t="n">
        <v>716.9</v>
      </c>
      <c r="E12" s="5" t="n">
        <v>201</v>
      </c>
      <c r="F12" s="5" t="n">
        <v>402.8</v>
      </c>
      <c r="G12" s="5" t="n">
        <v>1662.8</v>
      </c>
    </row>
    <row r="13">
      <c r="A13" s="10" t="inlineStr">
        <is>
          <t>Total lease exposure / Revenue</t>
        </is>
      </c>
      <c r="B13" s="71" t="n">
        <v>4.321192052980132</v>
      </c>
      <c r="C13" s="72" t="n">
        <v>0.5502307419240327</v>
      </c>
      <c r="D13" s="72" t="n">
        <v>0.488213139907937</v>
      </c>
      <c r="E13" s="72" t="n">
        <v>0.517910447761194</v>
      </c>
      <c r="F13" s="72" t="n">
        <v>0.1616186693147964</v>
      </c>
      <c r="G13" s="72" t="n">
        <v>0.5624248255953813</v>
      </c>
    </row>
    <row r="14">
      <c r="A14" s="4" t="inlineStr">
        <is>
          <t>Uncommenced leases / Revenue</t>
        </is>
      </c>
      <c r="B14" s="73" t="n">
        <v>4.105960264900662</v>
      </c>
      <c r="C14" s="74" t="n">
        <v>0.3727369542066028</v>
      </c>
      <c r="D14" s="74" t="n">
        <v>0.2650299902357372</v>
      </c>
      <c r="E14" s="74" t="n">
        <v>0.3880597014925373</v>
      </c>
      <c r="F14" s="74" t="n">
        <v>0.105759682224429</v>
      </c>
      <c r="G14" s="74" t="n">
        <v>0.3990858792398365</v>
      </c>
    </row>
    <row r="15">
      <c r="A15" s="4" t="inlineStr">
        <is>
          <t>2025 Operating Income ($B)</t>
        </is>
      </c>
      <c r="B15" s="5" t="n">
        <v>16</v>
      </c>
      <c r="C15" s="5" t="n">
        <v>128.5</v>
      </c>
      <c r="D15" s="5" t="n">
        <v>80</v>
      </c>
      <c r="E15" s="5" t="n">
        <v>83.3</v>
      </c>
      <c r="F15" s="5" t="n">
        <v>129</v>
      </c>
      <c r="G15" s="5" t="n">
        <v>436.8</v>
      </c>
    </row>
    <row r="16">
      <c r="A16" s="10" t="inlineStr">
        <is>
          <t>Total lease exposure / Op. Income</t>
        </is>
      </c>
      <c r="B16" s="71" t="n">
        <v>16.3125</v>
      </c>
      <c r="C16" s="72" t="n">
        <v>1.206225680933852</v>
      </c>
      <c r="D16" s="71" t="n">
        <v>4.375</v>
      </c>
      <c r="E16" s="72" t="n">
        <v>1.249699879951981</v>
      </c>
      <c r="F16" s="72" t="n">
        <v>0.5046511627906977</v>
      </c>
      <c r="G16" s="72" t="n">
        <v>2.141025641025641</v>
      </c>
    </row>
    <row r="17">
      <c r="A17" s="4" t="inlineStr">
        <is>
          <t>Long-term debt ($B)</t>
        </is>
      </c>
      <c r="B17" s="5" t="n">
        <v>106</v>
      </c>
      <c r="C17" s="5" t="n">
        <v>47</v>
      </c>
      <c r="D17" s="5" t="n">
        <v>76</v>
      </c>
      <c r="E17" s="5" t="n">
        <v>58.7</v>
      </c>
      <c r="F17" s="5" t="n">
        <v>12</v>
      </c>
      <c r="G17" s="5" t="n">
        <v>299.7</v>
      </c>
    </row>
    <row r="18">
      <c r="A18" s="10" t="inlineStr">
        <is>
          <t>(Total lease + debt) / Revenue</t>
        </is>
      </c>
      <c r="B18" s="71" t="n">
        <v>6.076158940397351</v>
      </c>
      <c r="C18" s="72" t="n">
        <v>0.7170749023784168</v>
      </c>
      <c r="D18" s="72" t="n">
        <v>0.5942251360022318</v>
      </c>
      <c r="E18" s="72" t="n">
        <v>0.809950248756219</v>
      </c>
      <c r="F18" s="72" t="n">
        <v>0.1914101290963257</v>
      </c>
      <c r="G18" s="72" t="n">
        <v>0.7426629781092134</v>
      </c>
    </row>
    <row r="19">
      <c r="A19" s="4" t="inlineStr">
        <is>
          <t>Share of $662B uncommenced total</t>
        </is>
      </c>
      <c r="B19" s="75" t="n">
        <v>0.3746223564954683</v>
      </c>
      <c r="C19" s="75" t="n">
        <v>0.1586102719033233</v>
      </c>
      <c r="D19" s="75" t="n">
        <v>0.2870090634441088</v>
      </c>
      <c r="E19" s="75" t="n">
        <v>0.1178247734138973</v>
      </c>
      <c r="F19" s="75" t="n">
        <v>0.06435045317220545</v>
      </c>
      <c r="G19" s="75" t="n">
        <v>1.002416918429003</v>
      </c>
      <c r="H19" s="68" t="n"/>
    </row>
    <row r="20">
      <c r="A20" s="4" t="inlineStr">
        <is>
          <t>Uncommenced lease start period</t>
        </is>
      </c>
      <c r="B20" s="76" t="inlineStr">
        <is>
          <t>FY2026–FY2028</t>
        </is>
      </c>
      <c r="C20" s="76" t="inlineStr">
        <is>
          <t>FY2026–FY2031</t>
        </is>
      </c>
      <c r="D20" s="76" t="inlineStr">
        <is>
          <t>2026–2031</t>
        </is>
      </c>
      <c r="E20" s="76" t="inlineStr">
        <is>
          <t>2026–2030</t>
        </is>
      </c>
      <c r="F20" s="76" t="inlineStr">
        <is>
          <t>2025–2031</t>
        </is>
      </c>
      <c r="G20" s="9" t="n"/>
    </row>
    <row r="21">
      <c r="A21" s="4" t="inlineStr">
        <is>
          <t>Typical lease term (years)</t>
        </is>
      </c>
      <c r="B21" s="76" t="inlineStr">
        <is>
          <t>15–19</t>
        </is>
      </c>
      <c r="C21" s="76" t="inlineStr">
        <is>
          <t>10–25</t>
        </is>
      </c>
      <c r="D21" s="76" t="inlineStr">
        <is>
          <t>10–20</t>
        </is>
      </c>
      <c r="E21" s="76" t="inlineStr">
        <is>
          <t>10–25</t>
        </is>
      </c>
      <c r="F21" s="76" t="inlineStr">
        <is>
          <t>1–25</t>
        </is>
      </c>
      <c r="G21" s="9" t="n"/>
    </row>
    <row r="22">
      <c r="A22" s="4" t="inlineStr">
        <is>
          <t>Est. annual lease payment at maturity ($B)</t>
        </is>
      </c>
      <c r="B22" s="5" t="n">
        <v>14.6</v>
      </c>
      <c r="C22" s="13" t="inlineStr">
        <is>
          <t>~8–10</t>
        </is>
      </c>
      <c r="D22" s="13" t="inlineStr">
        <is>
          <t>~12–15</t>
        </is>
      </c>
      <c r="E22" s="13" t="inlineStr">
        <is>
          <t>~5–7</t>
        </is>
      </c>
      <c r="F22" s="13" t="inlineStr">
        <is>
          <t>~3–4</t>
        </is>
      </c>
      <c r="G22" s="13" t="inlineStr">
        <is>
          <t>~43–51</t>
        </is>
      </c>
    </row>
    <row r="24">
      <c r="A24" s="36" t="inlineStr">
        <is>
          <t>TABLE 2: CAPITAL EXPENDITURE BY HYPERSCALER ($B) — INCLUDING FINANCE LEASE PRINCIPAL PAYMENTS</t>
        </is>
      </c>
      <c r="B24" s="36" t="n"/>
      <c r="C24" s="36" t="n"/>
      <c r="D24" s="36" t="n"/>
      <c r="E24" s="36" t="n"/>
      <c r="F24" s="36" t="n"/>
      <c r="G24" s="36" t="n"/>
      <c r="H24" s="36" t="n"/>
    </row>
    <row r="25">
      <c r="A25" s="45" t="inlineStr">
        <is>
          <t>Metric</t>
        </is>
      </c>
      <c r="B25" s="37" t="inlineStr">
        <is>
          <t>Oracle</t>
        </is>
      </c>
      <c r="C25" s="37" t="inlineStr">
        <is>
          <t>Microsoft</t>
        </is>
      </c>
      <c r="D25" s="37" t="inlineStr">
        <is>
          <t>Amazon</t>
        </is>
      </c>
      <c r="E25" s="37" t="inlineStr">
        <is>
          <t>Meta</t>
        </is>
      </c>
      <c r="F25" s="37" t="inlineStr">
        <is>
          <t>Alphabet / Google</t>
        </is>
      </c>
      <c r="G25" s="37" t="inlineStr">
        <is>
          <t>Big-5 Total</t>
        </is>
      </c>
      <c r="H25" s="46" t="inlineStr"/>
    </row>
    <row r="26">
      <c r="A26" s="4" t="inlineStr">
        <is>
          <t>2023 CapEx ($B)</t>
        </is>
      </c>
      <c r="B26" s="77" t="n">
        <v>8.300000000000001</v>
      </c>
      <c r="C26" s="77" t="n">
        <v>32.2</v>
      </c>
      <c r="D26" s="77" t="n">
        <v>53.7</v>
      </c>
      <c r="E26" s="77" t="n">
        <v>28.1</v>
      </c>
      <c r="F26" s="77" t="n">
        <v>32.3</v>
      </c>
      <c r="G26" s="77" t="n">
        <v>154.6</v>
      </c>
      <c r="H26" s="52" t="n"/>
    </row>
    <row r="27">
      <c r="A27" s="4" t="inlineStr">
        <is>
          <t>2024 CapEx ($B)</t>
        </is>
      </c>
      <c r="B27" s="5" t="n">
        <v>12.5</v>
      </c>
      <c r="C27" s="5" t="n">
        <v>55.7</v>
      </c>
      <c r="D27" s="5" t="n">
        <v>83.2</v>
      </c>
      <c r="E27" s="5" t="n">
        <v>39.2</v>
      </c>
      <c r="F27" s="5" t="n">
        <v>52.5</v>
      </c>
      <c r="G27" s="5" t="n">
        <v>243.1</v>
      </c>
    </row>
    <row r="28">
      <c r="A28" s="10" t="inlineStr">
        <is>
          <t>2025 CapEx ($B)</t>
        </is>
      </c>
      <c r="B28" s="78" t="n">
        <v>35</v>
      </c>
      <c r="C28" s="78" t="n">
        <v>95</v>
      </c>
      <c r="D28" s="78" t="n">
        <v>131.8</v>
      </c>
      <c r="E28" s="78" t="n">
        <v>72.2</v>
      </c>
      <c r="F28" s="78" t="n">
        <v>91.40000000000001</v>
      </c>
      <c r="G28" s="78" t="n">
        <v>425.4</v>
      </c>
      <c r="H28" s="52" t="n"/>
    </row>
    <row r="29">
      <c r="A29" s="10" t="inlineStr">
        <is>
          <t>2026E CapEx — Guidance ($B)</t>
        </is>
      </c>
      <c r="B29" s="18" t="n">
        <v>50</v>
      </c>
      <c r="C29" s="18" t="n">
        <v>145</v>
      </c>
      <c r="D29" s="18" t="n">
        <v>200</v>
      </c>
      <c r="E29" s="18" t="n">
        <v>125</v>
      </c>
      <c r="F29" s="18" t="n">
        <v>180</v>
      </c>
      <c r="G29" s="18" t="n">
        <v>700</v>
      </c>
      <c r="H29" s="68" t="n"/>
    </row>
    <row r="30">
      <c r="A30" s="79" t="inlineStr">
        <is>
          <t>Year-over-Year CapEx Growth</t>
        </is>
      </c>
      <c r="B30" s="80" t="n"/>
      <c r="C30" s="80" t="n"/>
      <c r="D30" s="80" t="n"/>
      <c r="E30" s="80" t="n"/>
      <c r="F30" s="80" t="n"/>
      <c r="G30" s="80" t="n"/>
      <c r="H30" s="81" t="n"/>
    </row>
    <row r="31">
      <c r="A31" s="4" t="inlineStr">
        <is>
          <t>2024 vs 2023 growth</t>
        </is>
      </c>
      <c r="B31" s="14" t="n">
        <v>0.506024096385542</v>
      </c>
      <c r="C31" s="14" t="n">
        <v>0.7298136645962732</v>
      </c>
      <c r="D31" s="14" t="n">
        <v>0.5493482309124766</v>
      </c>
      <c r="E31" s="14" t="n">
        <v>0.395017793594306</v>
      </c>
      <c r="F31" s="14" t="n">
        <v>0.6253869969040249</v>
      </c>
      <c r="G31" s="14" t="n">
        <v>0.572445019404916</v>
      </c>
    </row>
    <row r="32">
      <c r="A32" s="4" t="inlineStr">
        <is>
          <t>2025 vs 2024 growth</t>
        </is>
      </c>
      <c r="B32" s="82" t="n">
        <v>1.8</v>
      </c>
      <c r="C32" s="82" t="n">
        <v>0.7055655296229801</v>
      </c>
      <c r="D32" s="82" t="n">
        <v>0.5841346153846154</v>
      </c>
      <c r="E32" s="82" t="n">
        <v>0.8418367346938775</v>
      </c>
      <c r="F32" s="82" t="n">
        <v>0.740952380952381</v>
      </c>
      <c r="G32" s="82" t="n">
        <v>0.7498971616618675</v>
      </c>
      <c r="H32" s="52" t="n"/>
    </row>
    <row r="33">
      <c r="A33" s="10" t="inlineStr">
        <is>
          <t>2026E vs 2025 growth</t>
        </is>
      </c>
      <c r="B33" s="30" t="n">
        <v>0.4285714285714286</v>
      </c>
      <c r="C33" s="30" t="n">
        <v>0.5263157894736843</v>
      </c>
      <c r="D33" s="30" t="n">
        <v>0.5174506828528072</v>
      </c>
      <c r="E33" s="30" t="n">
        <v>0.7313019390581716</v>
      </c>
      <c r="F33" s="30" t="n">
        <v>0.9693654266958422</v>
      </c>
      <c r="G33" s="30" t="n">
        <v>0.6455101081335215</v>
      </c>
    </row>
    <row r="34">
      <c r="A34" s="79" t="inlineStr">
        <is>
          <t>CapEx Intensity (CapEx / Revenue)</t>
        </is>
      </c>
      <c r="B34" s="80" t="n"/>
      <c r="C34" s="80" t="n"/>
      <c r="D34" s="80" t="n"/>
      <c r="E34" s="80" t="n"/>
      <c r="F34" s="80" t="n"/>
      <c r="G34" s="80" t="n"/>
      <c r="H34" s="81" t="n"/>
    </row>
    <row r="35">
      <c r="A35" s="4" t="inlineStr">
        <is>
          <t>2025 CapEx / Revenue</t>
        </is>
      </c>
      <c r="B35" s="82" t="n">
        <v>0.5794701986754967</v>
      </c>
      <c r="C35" s="82" t="n">
        <v>0.3372381966631168</v>
      </c>
      <c r="D35" s="82" t="n">
        <v>0.1838471195424746</v>
      </c>
      <c r="E35" s="82" t="n">
        <v>0.3592039800995025</v>
      </c>
      <c r="F35" s="82" t="n">
        <v>0.2269116186693148</v>
      </c>
      <c r="G35" s="82" t="n">
        <v>0.2558335337984123</v>
      </c>
      <c r="H35" s="52" t="n"/>
    </row>
    <row r="36">
      <c r="A36" s="10" t="inlineStr">
        <is>
          <t>2026E CapEx / Revenue (est.)</t>
        </is>
      </c>
      <c r="B36" s="29" t="n">
        <v>0.7142857142857143</v>
      </c>
      <c r="C36" s="30" t="n">
        <v>0.453125</v>
      </c>
      <c r="D36" s="30" t="n">
        <v>0.2475247524752475</v>
      </c>
      <c r="E36" s="30" t="n">
        <v>0.5040322580645161</v>
      </c>
      <c r="F36" s="30" t="n">
        <v>0.3870967741935484</v>
      </c>
      <c r="G36" s="30" t="n">
        <v>0.3663003663003663</v>
      </c>
    </row>
    <row r="37">
      <c r="A37" s="79" t="inlineStr">
        <is>
          <t>Cumulative CapEx (2023-2026E)</t>
        </is>
      </c>
      <c r="B37" s="80" t="n"/>
      <c r="C37" s="80" t="n"/>
      <c r="D37" s="80" t="n"/>
      <c r="E37" s="80" t="n"/>
      <c r="F37" s="80" t="n"/>
      <c r="G37" s="80" t="n"/>
      <c r="H37" s="81" t="n"/>
    </row>
    <row r="38">
      <c r="A38" s="10" t="inlineStr">
        <is>
          <t>Cumulative 2023–2026E CapEx ($B)</t>
        </is>
      </c>
      <c r="B38" s="18" t="n">
        <v>105.8</v>
      </c>
      <c r="C38" s="18" t="n">
        <v>327.9</v>
      </c>
      <c r="D38" s="18" t="n">
        <v>468.7</v>
      </c>
      <c r="E38" s="18" t="n">
        <v>264.5</v>
      </c>
      <c r="F38" s="18" t="n">
        <v>356.2</v>
      </c>
      <c r="G38" s="18" t="n">
        <v>1523.1</v>
      </c>
      <c r="H38" s="68" t="n"/>
    </row>
    <row r="39">
      <c r="A39" s="4" t="inlineStr">
        <is>
          <t>Share of cumulative total</t>
        </is>
      </c>
      <c r="B39" s="14" t="n">
        <v>0.06946359398594971</v>
      </c>
      <c r="C39" s="14" t="n">
        <v>0.2152846168997439</v>
      </c>
      <c r="D39" s="14" t="n">
        <v>0.3077276606920097</v>
      </c>
      <c r="E39" s="14" t="n">
        <v>0.1736589849648743</v>
      </c>
      <c r="F39" s="14" t="n">
        <v>0.2338651434574224</v>
      </c>
      <c r="G39" s="14" t="n">
        <v>1</v>
      </c>
    </row>
    <row r="41">
      <c r="A41" s="36" t="inlineStr">
        <is>
          <t>TABLE 3: COMBINED LEASE + CAPEX INFRASTRUCTURE BURDEN</t>
        </is>
      </c>
      <c r="B41" s="36" t="n"/>
      <c r="C41" s="36" t="n"/>
      <c r="D41" s="36" t="n"/>
      <c r="E41" s="36" t="n"/>
      <c r="F41" s="36" t="n"/>
      <c r="G41" s="36" t="n"/>
      <c r="H41" s="36" t="n"/>
    </row>
    <row r="42">
      <c r="A42" s="45" t="inlineStr">
        <is>
          <t>Metric</t>
        </is>
      </c>
      <c r="B42" s="37" t="inlineStr">
        <is>
          <t>Oracle</t>
        </is>
      </c>
      <c r="C42" s="37" t="inlineStr">
        <is>
          <t>Microsoft</t>
        </is>
      </c>
      <c r="D42" s="37" t="inlineStr">
        <is>
          <t>Amazon</t>
        </is>
      </c>
      <c r="E42" s="37" t="inlineStr">
        <is>
          <t>Meta</t>
        </is>
      </c>
      <c r="F42" s="37" t="inlineStr">
        <is>
          <t>Alphabet / Google</t>
        </is>
      </c>
      <c r="G42" s="37" t="inlineStr">
        <is>
          <t>Big-5 Total</t>
        </is>
      </c>
      <c r="H42" s="46" t="inlineStr"/>
    </row>
    <row r="43">
      <c r="A43" s="4" t="inlineStr">
        <is>
          <t>2026E CapEx ($B)</t>
        </is>
      </c>
      <c r="B43" s="5" t="n">
        <v>50</v>
      </c>
      <c r="C43" s="5" t="n">
        <v>145</v>
      </c>
      <c r="D43" s="5" t="n">
        <v>200</v>
      </c>
      <c r="E43" s="5" t="n">
        <v>125</v>
      </c>
      <c r="F43" s="5" t="n">
        <v>180</v>
      </c>
      <c r="G43" s="5" t="n">
        <v>700</v>
      </c>
    </row>
    <row r="44">
      <c r="A44" s="4" t="inlineStr">
        <is>
          <t>+ Uncommenced lease obligations ($B)</t>
        </is>
      </c>
      <c r="B44" s="77" t="n">
        <v>248</v>
      </c>
      <c r="C44" s="77" t="n">
        <v>105</v>
      </c>
      <c r="D44" s="77" t="n">
        <v>190</v>
      </c>
      <c r="E44" s="77" t="n">
        <v>78</v>
      </c>
      <c r="F44" s="77" t="n">
        <v>42.6</v>
      </c>
      <c r="G44" s="77" t="n">
        <v>663.6</v>
      </c>
      <c r="H44" s="52" t="n"/>
    </row>
    <row r="45">
      <c r="A45" s="4" t="inlineStr">
        <is>
          <t>+ On-B/S lease liabilities ($B)</t>
        </is>
      </c>
      <c r="B45" s="5" t="n">
        <v>13</v>
      </c>
      <c r="C45" s="5" t="n">
        <v>50</v>
      </c>
      <c r="D45" s="5" t="n">
        <v>160</v>
      </c>
      <c r="E45" s="5" t="n">
        <v>26.1</v>
      </c>
      <c r="F45" s="5" t="n">
        <v>22.5</v>
      </c>
      <c r="G45" s="5" t="n">
        <v>271.6</v>
      </c>
    </row>
    <row r="46">
      <c r="A46" s="10">
        <f> Total infra commitment ($B)</f>
        <v/>
      </c>
      <c r="B46" s="69" t="n">
        <v>311</v>
      </c>
      <c r="C46" s="69" t="n">
        <v>300</v>
      </c>
      <c r="D46" s="69" t="n">
        <v>550</v>
      </c>
      <c r="E46" s="69" t="n">
        <v>229.1</v>
      </c>
      <c r="F46" s="69" t="n">
        <v>245.1</v>
      </c>
      <c r="G46" s="69" t="n">
        <v>1635.2</v>
      </c>
      <c r="H46" s="70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4" t="inlineStr">
        <is>
          <t>2026E Revenue ($B)</t>
        </is>
      </c>
      <c r="B48" s="5" t="n">
        <v>70</v>
      </c>
      <c r="C48" s="5" t="n">
        <v>320</v>
      </c>
      <c r="D48" s="5" t="n">
        <v>808</v>
      </c>
      <c r="E48" s="5" t="n">
        <v>248</v>
      </c>
      <c r="F48" s="5" t="n">
        <v>465</v>
      </c>
      <c r="G48" s="5" t="n">
        <v>1911</v>
      </c>
    </row>
    <row r="49">
      <c r="A49" s="10" t="inlineStr">
        <is>
          <t>Total infra commitment / Revenue</t>
        </is>
      </c>
      <c r="B49" s="71" t="n">
        <v>4.442857142857143</v>
      </c>
      <c r="C49" s="72" t="n">
        <v>0.9375</v>
      </c>
      <c r="D49" s="72" t="n">
        <v>0.6806930693069307</v>
      </c>
      <c r="E49" s="72" t="n">
        <v>0.9237903225806451</v>
      </c>
      <c r="F49" s="72" t="n">
        <v>0.5270967741935484</v>
      </c>
      <c r="G49" s="72" t="n">
        <v>0.8556776556776556</v>
      </c>
    </row>
    <row r="50">
      <c r="A50" s="10" t="inlineStr">
        <is>
          <t>Total infra commitment / 2025 Op. Income</t>
        </is>
      </c>
      <c r="B50" s="71" t="n">
        <v>19.4375</v>
      </c>
      <c r="C50" s="72" t="n">
        <v>2.334630350194553</v>
      </c>
      <c r="D50" s="71" t="n">
        <v>6.875</v>
      </c>
      <c r="E50" s="72" t="n">
        <v>2.750300120048019</v>
      </c>
      <c r="F50" s="72" t="n">
        <v>1.9</v>
      </c>
      <c r="G50" s="72" t="n">
        <v>3.743589743589743</v>
      </c>
    </row>
    <row r="51">
      <c r="A51" s="4" t="inlineStr">
        <is>
          <t>2025 Free Cash Flow ($B)</t>
        </is>
      </c>
      <c r="B51" s="77" t="n">
        <v>10</v>
      </c>
      <c r="C51" s="77" t="n">
        <v>74</v>
      </c>
      <c r="D51" s="77" t="n">
        <v>36</v>
      </c>
      <c r="E51" s="77" t="n">
        <v>52</v>
      </c>
      <c r="F51" s="77" t="n">
        <v>73</v>
      </c>
      <c r="G51" s="77" t="n">
        <v>245</v>
      </c>
      <c r="H51" s="52" t="n"/>
    </row>
    <row r="52">
      <c r="A52" s="10" t="inlineStr">
        <is>
          <t>Total infra commitment / FCF</t>
        </is>
      </c>
      <c r="B52" s="71" t="n">
        <v>31.1</v>
      </c>
      <c r="C52" s="72" t="n">
        <v>4.054054054054054</v>
      </c>
      <c r="D52" s="71" t="n">
        <v>15.27777777777778</v>
      </c>
      <c r="E52" s="72" t="n">
        <v>4.405769230769231</v>
      </c>
      <c r="F52" s="72" t="n">
        <v>3.357534246575343</v>
      </c>
      <c r="G52" s="72" t="n">
        <v>6.674285714285713</v>
      </c>
    </row>
    <row r="53">
      <c r="A53" s="10" t="inlineStr">
        <is>
          <t>Has third-party cloud business?</t>
        </is>
      </c>
      <c r="B53" s="83" t="inlineStr">
        <is>
          <t>No</t>
        </is>
      </c>
      <c r="C53" s="84" t="inlineStr">
        <is>
          <t>Yes (Azure)</t>
        </is>
      </c>
      <c r="D53" s="84" t="inlineStr">
        <is>
          <t>Yes (AWS)</t>
        </is>
      </c>
      <c r="E53" s="83" t="inlineStr">
        <is>
          <t>No</t>
        </is>
      </c>
      <c r="F53" s="84" t="inlineStr">
        <is>
          <t>Yes (GCP)</t>
        </is>
      </c>
      <c r="G53" s="84" t="inlineStr"/>
    </row>
    <row r="54">
      <c r="A54" s="4" t="inlineStr">
        <is>
          <t>Credit Rating (Moody's/S&amp;P equiv.)</t>
        </is>
      </c>
      <c r="B54" s="85" t="inlineStr">
        <is>
          <t>BBB</t>
        </is>
      </c>
      <c r="C54" s="76" t="inlineStr">
        <is>
          <t>AAA</t>
        </is>
      </c>
      <c r="D54" s="76" t="inlineStr">
        <is>
          <t>AA</t>
        </is>
      </c>
      <c r="E54" s="76" t="inlineStr">
        <is>
          <t>AA-</t>
        </is>
      </c>
      <c r="F54" s="76" t="inlineStr">
        <is>
          <t>AA+</t>
        </is>
      </c>
      <c r="G54" s="76" t="inlineStr"/>
    </row>
    <row r="56">
      <c r="A56" s="36" t="inlineStr">
        <is>
          <t>TABLE 4: LEASE vs OWN STRATEGY BY HYPERSCALER</t>
        </is>
      </c>
      <c r="B56" s="36" t="n"/>
      <c r="C56" s="36" t="n"/>
      <c r="D56" s="36" t="n"/>
      <c r="E56" s="36" t="n"/>
      <c r="F56" s="36" t="n"/>
      <c r="G56" s="36" t="n"/>
      <c r="H56" s="36" t="n"/>
    </row>
    <row r="57">
      <c r="A57" s="45" t="inlineStr">
        <is>
          <t>Dimension</t>
        </is>
      </c>
      <c r="B57" s="37" t="inlineStr">
        <is>
          <t>Oracle</t>
        </is>
      </c>
      <c r="C57" s="37" t="inlineStr">
        <is>
          <t>Microsoft</t>
        </is>
      </c>
      <c r="D57" s="37" t="inlineStr">
        <is>
          <t>Amazon</t>
        </is>
      </c>
      <c r="E57" s="37" t="inlineStr">
        <is>
          <t>Meta</t>
        </is>
      </c>
      <c r="F57" s="37" t="inlineStr">
        <is>
          <t>Alphabet / Google</t>
        </is>
      </c>
      <c r="G57" s="46" t="inlineStr"/>
      <c r="H57" s="46" t="inlineStr"/>
    </row>
    <row r="58">
      <c r="A58" s="10" t="inlineStr">
        <is>
          <t>Primary DC strategy</t>
        </is>
      </c>
      <c r="B58" s="86" t="inlineStr">
        <is>
          <t>Lease-heavy</t>
        </is>
      </c>
      <c r="C58" s="86" t="inlineStr">
        <is>
          <t>Mix own + lease</t>
        </is>
      </c>
      <c r="D58" s="86" t="inlineStr">
        <is>
          <t>Mix own + lease</t>
        </is>
      </c>
      <c r="E58" s="86" t="inlineStr">
        <is>
          <t>Own + SPV lease</t>
        </is>
      </c>
      <c r="F58" s="86" t="inlineStr">
        <is>
          <t>Mostly own</t>
        </is>
      </c>
    </row>
    <row r="59">
      <c r="A59" s="10" t="inlineStr">
        <is>
          <t>Lease model</t>
        </is>
      </c>
      <c r="B59" s="76" t="inlineStr">
        <is>
          <t>3rd-party triple-net</t>
        </is>
      </c>
      <c r="C59" s="76" t="inlineStr">
        <is>
          <t>Build-to-suit + AIP co-invest</t>
        </is>
      </c>
      <c r="D59" s="76" t="inlineStr">
        <is>
          <t>Colocation at scale</t>
        </is>
      </c>
      <c r="E59" s="76" t="inlineStr">
        <is>
          <t>SPV-financed B2S</t>
        </is>
      </c>
      <c r="F59" s="76" t="inlineStr">
        <is>
          <t>Selective colocation</t>
        </is>
      </c>
    </row>
    <row r="60">
      <c r="A60" s="10" t="inlineStr">
        <is>
          <t>Key lease driver</t>
        </is>
      </c>
      <c r="B60" s="86" t="inlineStr">
        <is>
          <t>OpenAI / Stargate</t>
        </is>
      </c>
      <c r="C60" s="86" t="inlineStr">
        <is>
          <t>AI capacity race</t>
        </is>
      </c>
      <c r="D60" s="86" t="inlineStr">
        <is>
          <t>AWS expansion</t>
        </is>
      </c>
      <c r="E60" s="86" t="inlineStr">
        <is>
          <t>AI infra buildout</t>
        </is>
      </c>
      <c r="F60" s="86" t="inlineStr">
        <is>
          <t>Speed to capacity</t>
        </is>
      </c>
    </row>
    <row r="61">
      <c r="A61" s="10" t="inlineStr">
        <is>
          <t>Owns data center buildings?</t>
        </is>
      </c>
      <c r="B61" s="76" t="inlineStr">
        <is>
          <t>Minimal</t>
        </is>
      </c>
      <c r="C61" s="76" t="inlineStr">
        <is>
          <t>Significant</t>
        </is>
      </c>
      <c r="D61" s="76" t="inlineStr">
        <is>
          <t>Significant</t>
        </is>
      </c>
      <c r="E61" s="76" t="inlineStr">
        <is>
          <t>Significant</t>
        </is>
      </c>
      <c r="F61" s="76" t="inlineStr">
        <is>
          <t>Significant</t>
        </is>
      </c>
    </row>
    <row r="62">
      <c r="A62" s="10" t="inlineStr">
        <is>
          <t>Finance lease emphasis</t>
        </is>
      </c>
      <c r="B62" s="86" t="inlineStr">
        <is>
          <t>Low</t>
        </is>
      </c>
      <c r="C62" s="86" t="inlineStr">
        <is>
          <t>Growing</t>
        </is>
      </c>
      <c r="D62" s="86" t="inlineStr">
        <is>
          <t>Very High ($72B)</t>
        </is>
      </c>
      <c r="E62" s="86" t="inlineStr">
        <is>
          <t>Low (growing)</t>
        </is>
      </c>
      <c r="F62" s="86" t="inlineStr">
        <is>
          <t>Moderate</t>
        </is>
      </c>
    </row>
    <row r="63">
      <c r="A63" s="10" t="inlineStr">
        <is>
          <t>Off-B/S risk level</t>
        </is>
      </c>
      <c r="B63" s="83" t="inlineStr">
        <is>
          <t>EXTREME</t>
        </is>
      </c>
      <c r="C63" s="87" t="inlineStr">
        <is>
          <t>HIGH</t>
        </is>
      </c>
      <c r="D63" s="87" t="inlineStr">
        <is>
          <t>HIGH</t>
        </is>
      </c>
      <c r="E63" s="88" t="inlineStr">
        <is>
          <t>MODERATE–HIGH</t>
        </is>
      </c>
      <c r="F63" s="89" t="inlineStr">
        <is>
          <t>LOW–MODERATE</t>
        </is>
      </c>
    </row>
    <row r="64">
      <c r="A64" s="10" t="inlineStr">
        <is>
          <t>Lease term preference</t>
        </is>
      </c>
      <c r="B64" s="86" t="inlineStr">
        <is>
          <t>15–19 years</t>
        </is>
      </c>
      <c r="C64" s="86" t="inlineStr">
        <is>
          <t>10–25 years</t>
        </is>
      </c>
      <c r="D64" s="86" t="inlineStr">
        <is>
          <t>10–20 years</t>
        </is>
      </c>
      <c r="E64" s="86" t="inlineStr">
        <is>
          <t>10–25 years</t>
        </is>
      </c>
      <c r="F64" s="86" t="inlineStr">
        <is>
          <t>1–25 years</t>
        </is>
      </c>
    </row>
    <row r="65">
      <c r="A65" s="10" t="inlineStr">
        <is>
          <t>Power secured (GW est.)</t>
        </is>
      </c>
      <c r="B65" s="76" t="inlineStr">
        <is>
          <t>~4.5+ (Stargate)</t>
        </is>
      </c>
      <c r="C65" s="76" t="inlineStr">
        <is>
          <t>~10+ (Brookfield)</t>
        </is>
      </c>
      <c r="D65" s="76" t="inlineStr">
        <is>
          <t>~10+</t>
        </is>
      </c>
      <c r="E65" s="76" t="inlineStr">
        <is>
          <t>~4–5</t>
        </is>
      </c>
      <c r="F65" s="76" t="inlineStr">
        <is>
          <t>~5–6</t>
        </is>
      </c>
    </row>
    <row r="68">
      <c r="A68" s="15" t="inlineStr">
        <is>
          <t>Sources &amp; Notes</t>
        </is>
      </c>
    </row>
    <row r="69">
      <c r="A69" s="16" t="inlineStr">
        <is>
          <t>Moody's Ratings (Feb 2026): Big-5 hyperscalers hold $969B total undiscounted future lease commitments; $662B uncommenced (off-balance-sheet).</t>
        </is>
      </c>
    </row>
    <row r="70">
      <c r="A70" s="16" t="inlineStr">
        <is>
          <t>Oracle $248B uncommenced per 10-Q (Nov 30, 2025). Average annual payment at maturity ~$14.6B, vs $22.3B annual operating cash flow.</t>
        </is>
      </c>
    </row>
    <row r="71">
      <c r="A71" s="16" t="inlineStr">
        <is>
          <t>Microsoft $155B total future lease commitments per Bloomberg (Mar 2026). CNBC (Oct 2024) reported &gt;$100B uncommenced.</t>
        </is>
      </c>
    </row>
    <row r="72">
      <c r="A72" s="16" t="inlineStr">
        <is>
          <t>Meta $104B total future commitments per Bloomberg (Mar 2026); on-B/S $26.1B per 10-K (Dec 2025). Difference (~$78B) is uncommenced.</t>
        </is>
      </c>
    </row>
    <row r="73">
      <c r="A73" s="16" t="inlineStr">
        <is>
          <t>Alphabet $42.6B uncommenced per 10-Q (Q3 2025), up from $23.9B in Q2 2025. Commencing 2025–2031 with terms of 1–25 years.</t>
        </is>
      </c>
    </row>
    <row r="74">
      <c r="A74" s="16" t="inlineStr">
        <is>
          <t>Amazon does not separately disclose uncommenced leases. ~$190B estimated as residual from $662B Moody's total minus other four companies.</t>
        </is>
      </c>
    </row>
    <row r="75">
      <c r="A75" s="16" t="inlineStr">
        <is>
          <t>CapEx figures include property, equipment, and principal payments on finance leases. 2026E from company guidance (mid-points where ranges given).</t>
        </is>
      </c>
    </row>
    <row r="76">
      <c r="A76" s="16" t="inlineStr">
        <is>
          <t>Oracle FY ends May 31; figures approximated to calendar year. Microsoft FY ends June 30; CY2025 estimated from quarterly data.</t>
        </is>
      </c>
    </row>
    <row r="77">
      <c r="A77" s="16" t="inlineStr">
        <is>
          <t>Free cash flow figures are approximate and reflect 2025 actuals or LTM. FCF is after capex and before dividends/buybacks.</t>
        </is>
      </c>
    </row>
    <row r="78">
      <c r="A78" s="16" t="inlineStr">
        <is>
          <t>Oracle and Meta are the only two Big-5 without a scaled third-party cloud business, making their infrastructure commitment riskier on a return basis.</t>
        </is>
      </c>
    </row>
  </sheetData>
  <mergeCells count="19">
    <mergeCell ref="A77:H77"/>
    <mergeCell ref="A24:H24"/>
    <mergeCell ref="A73:H73"/>
    <mergeCell ref="A1:H1"/>
    <mergeCell ref="A70:H70"/>
    <mergeCell ref="A78:H78"/>
    <mergeCell ref="A69:H69"/>
    <mergeCell ref="A34:G34"/>
    <mergeCell ref="A30:G30"/>
    <mergeCell ref="A41:H41"/>
    <mergeCell ref="A75:H75"/>
    <mergeCell ref="A74:H74"/>
    <mergeCell ref="A56:H56"/>
    <mergeCell ref="A2:H2"/>
    <mergeCell ref="A71:H71"/>
    <mergeCell ref="A76:H76"/>
    <mergeCell ref="A37:G37"/>
    <mergeCell ref="A4:H4"/>
    <mergeCell ref="A72:H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Hyperscaler Capital Expenditure Comparison ($B)</t>
        </is>
      </c>
    </row>
    <row r="2">
      <c r="A2" s="2" t="inlineStr">
        <is>
          <t>Includes property, equipment, and principal payments on finance leases  |  2026-2030 are estimates</t>
        </is>
      </c>
    </row>
    <row r="4">
      <c r="A4" s="3" t="inlineStr">
        <is>
          <t>Meta Platforms (META)</t>
        </is>
      </c>
      <c r="B4" s="3" t="inlineStr">
        <is>
          <t>2022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2030E</t>
        </is>
      </c>
      <c r="K4" s="3" t="inlineStr">
        <is>
          <t>CAGR '25-'30E</t>
        </is>
      </c>
    </row>
    <row r="5">
      <c r="A5" s="4" t="inlineStr">
        <is>
          <t>CapEx ($B)</t>
        </is>
      </c>
      <c r="B5" s="5" t="n">
        <v>32</v>
      </c>
      <c r="C5" s="5" t="n">
        <v>28.1</v>
      </c>
      <c r="D5" s="5" t="n">
        <v>39.2</v>
      </c>
      <c r="E5" s="5" t="n">
        <v>72.2</v>
      </c>
      <c r="F5" s="5" t="n">
        <v>125</v>
      </c>
      <c r="G5" s="5" t="n">
        <v>145</v>
      </c>
      <c r="H5" s="5" t="n">
        <v>155</v>
      </c>
      <c r="I5" s="5" t="n">
        <v>160</v>
      </c>
      <c r="J5" s="5" t="n">
        <v>165</v>
      </c>
      <c r="K5" s="6" t="n">
        <v>0.179748270459454</v>
      </c>
    </row>
    <row r="6">
      <c r="A6" s="4" t="inlineStr">
        <is>
          <t>Revenue ($B)</t>
        </is>
      </c>
      <c r="B6" s="5" t="n">
        <v>116.6</v>
      </c>
      <c r="C6" s="5" t="n">
        <v>134.9</v>
      </c>
      <c r="D6" s="5" t="n">
        <v>164.5</v>
      </c>
      <c r="E6" s="5" t="n">
        <v>201</v>
      </c>
      <c r="F6" s="5" t="n">
        <v>248</v>
      </c>
      <c r="G6" s="5" t="n">
        <v>290</v>
      </c>
      <c r="H6" s="5" t="n">
        <v>330</v>
      </c>
      <c r="I6" s="5" t="n">
        <v>370</v>
      </c>
      <c r="J6" s="5" t="n">
        <v>408</v>
      </c>
      <c r="K6" s="6" t="n">
        <v>0.1521070153969124</v>
      </c>
    </row>
    <row r="7">
      <c r="A7" s="7" t="inlineStr">
        <is>
          <t>CapEx / Revenue</t>
        </is>
      </c>
      <c r="B7" s="8" t="n">
        <v>0.274</v>
      </c>
      <c r="C7" s="8" t="n">
        <v>0.208</v>
      </c>
      <c r="D7" s="8" t="n">
        <v>0.238</v>
      </c>
      <c r="E7" s="8" t="n">
        <v>0.359</v>
      </c>
      <c r="F7" s="8" t="n">
        <v>0.504</v>
      </c>
      <c r="G7" s="8" t="n">
        <v>0.5</v>
      </c>
      <c r="H7" s="8" t="n">
        <v>0.47</v>
      </c>
      <c r="I7" s="8" t="n">
        <v>0.432</v>
      </c>
      <c r="J7" s="8" t="n">
        <v>0.404</v>
      </c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3" t="inlineStr">
        <is>
          <t>Amazon (AMZN)</t>
        </is>
      </c>
      <c r="B9" s="3" t="inlineStr">
        <is>
          <t>2022</t>
        </is>
      </c>
      <c r="C9" s="3" t="inlineStr">
        <is>
          <t>2023</t>
        </is>
      </c>
      <c r="D9" s="3" t="inlineStr">
        <is>
          <t>2024</t>
        </is>
      </c>
      <c r="E9" s="3" t="inlineStr">
        <is>
          <t>2025</t>
        </is>
      </c>
      <c r="F9" s="3" t="inlineStr">
        <is>
          <t>2026E</t>
        </is>
      </c>
      <c r="G9" s="3" t="inlineStr">
        <is>
          <t>2027E</t>
        </is>
      </c>
      <c r="H9" s="3" t="inlineStr">
        <is>
          <t>2028E</t>
        </is>
      </c>
      <c r="I9" s="3" t="inlineStr">
        <is>
          <t>2029E</t>
        </is>
      </c>
      <c r="J9" s="3" t="inlineStr">
        <is>
          <t>2030E</t>
        </is>
      </c>
      <c r="K9" s="3" t="inlineStr">
        <is>
          <t>CAGR '25-'30E</t>
        </is>
      </c>
    </row>
    <row r="10">
      <c r="A10" s="4" t="inlineStr">
        <is>
          <t>CapEx ($B)</t>
        </is>
      </c>
      <c r="B10" s="5" t="n">
        <v>63.6</v>
      </c>
      <c r="C10" s="5" t="n">
        <v>53.7</v>
      </c>
      <c r="D10" s="5" t="n">
        <v>83.2</v>
      </c>
      <c r="E10" s="5" t="n">
        <v>134.7</v>
      </c>
      <c r="F10" s="5" t="n">
        <v>200</v>
      </c>
      <c r="G10" s="5" t="n">
        <v>210</v>
      </c>
      <c r="H10" s="5" t="n">
        <v>215</v>
      </c>
      <c r="I10" s="5" t="n">
        <v>218</v>
      </c>
      <c r="J10" s="5" t="n">
        <v>220</v>
      </c>
      <c r="K10" s="6" t="n">
        <v>0.1030901764903933</v>
      </c>
    </row>
    <row r="11">
      <c r="A11" s="4" t="inlineStr">
        <is>
          <t>Revenue ($B)</t>
        </is>
      </c>
      <c r="B11" s="5" t="n">
        <v>514</v>
      </c>
      <c r="C11" s="5" t="n">
        <v>574.8</v>
      </c>
      <c r="D11" s="5" t="n">
        <v>638</v>
      </c>
      <c r="E11" s="5" t="n">
        <v>716.9</v>
      </c>
      <c r="F11" s="5" t="n">
        <v>808</v>
      </c>
      <c r="G11" s="5" t="n">
        <v>895</v>
      </c>
      <c r="H11" s="5" t="n">
        <v>975</v>
      </c>
      <c r="I11" s="5" t="n">
        <v>1050</v>
      </c>
      <c r="J11" s="5" t="n">
        <v>1120</v>
      </c>
      <c r="K11" s="6" t="n">
        <v>0.09333156974230028</v>
      </c>
    </row>
    <row r="12">
      <c r="A12" s="7" t="inlineStr">
        <is>
          <t>CapEx / Revenue</t>
        </is>
      </c>
      <c r="B12" s="8" t="n">
        <v>0.124</v>
      </c>
      <c r="C12" s="8" t="n">
        <v>0.093</v>
      </c>
      <c r="D12" s="8" t="n">
        <v>0.13</v>
      </c>
      <c r="E12" s="8" t="n">
        <v>0.188</v>
      </c>
      <c r="F12" s="8" t="n">
        <v>0.248</v>
      </c>
      <c r="G12" s="8" t="n">
        <v>0.235</v>
      </c>
      <c r="H12" s="8" t="n">
        <v>0.221</v>
      </c>
      <c r="I12" s="8" t="n">
        <v>0.208</v>
      </c>
      <c r="J12" s="8" t="n">
        <v>0.196</v>
      </c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3" t="inlineStr">
        <is>
          <t>Microsoft (MSFT) — CY Basis</t>
        </is>
      </c>
      <c r="B14" s="3" t="inlineStr">
        <is>
          <t>2022</t>
        </is>
      </c>
      <c r="C14" s="3" t="inlineStr">
        <is>
          <t>2023</t>
        </is>
      </c>
      <c r="D14" s="3" t="inlineStr">
        <is>
          <t>2024</t>
        </is>
      </c>
      <c r="E14" s="3" t="inlineStr">
        <is>
          <t>2025</t>
        </is>
      </c>
      <c r="F14" s="3" t="inlineStr">
        <is>
          <t>2026E</t>
        </is>
      </c>
      <c r="G14" s="3" t="inlineStr">
        <is>
          <t>2027E</t>
        </is>
      </c>
      <c r="H14" s="3" t="inlineStr">
        <is>
          <t>2028E</t>
        </is>
      </c>
      <c r="I14" s="3" t="inlineStr">
        <is>
          <t>2029E</t>
        </is>
      </c>
      <c r="J14" s="3" t="inlineStr">
        <is>
          <t>2030E</t>
        </is>
      </c>
      <c r="K14" s="3" t="inlineStr">
        <is>
          <t>CAGR '25-'30E</t>
        </is>
      </c>
    </row>
    <row r="15">
      <c r="A15" s="4" t="inlineStr">
        <is>
          <t>CapEx ($B)</t>
        </is>
      </c>
      <c r="B15" s="5" t="n">
        <v>23.9</v>
      </c>
      <c r="C15" s="5" t="n">
        <v>32.2</v>
      </c>
      <c r="D15" s="5" t="n">
        <v>55.7</v>
      </c>
      <c r="E15" s="5" t="n">
        <v>95</v>
      </c>
      <c r="F15" s="5" t="n">
        <v>145</v>
      </c>
      <c r="G15" s="5" t="n">
        <v>155</v>
      </c>
      <c r="H15" s="5" t="n">
        <v>160</v>
      </c>
      <c r="I15" s="5" t="n">
        <v>162</v>
      </c>
      <c r="J15" s="5" t="n">
        <v>165</v>
      </c>
      <c r="K15" s="6" t="n">
        <v>0.1167399886155498</v>
      </c>
    </row>
    <row r="16">
      <c r="A16" s="4" t="inlineStr">
        <is>
          <t>Revenue ($B)</t>
        </is>
      </c>
      <c r="B16" s="5" t="n">
        <v>198.3</v>
      </c>
      <c r="C16" s="5" t="n">
        <v>211.9</v>
      </c>
      <c r="D16" s="5" t="n">
        <v>245.1</v>
      </c>
      <c r="E16" s="5" t="n">
        <v>281.7</v>
      </c>
      <c r="F16" s="5" t="n">
        <v>320</v>
      </c>
      <c r="G16" s="5" t="n">
        <v>358</v>
      </c>
      <c r="H16" s="5" t="n">
        <v>395</v>
      </c>
      <c r="I16" s="5" t="n">
        <v>430</v>
      </c>
      <c r="J16" s="5" t="n">
        <v>465</v>
      </c>
      <c r="K16" s="6" t="n">
        <v>0.1054350259541963</v>
      </c>
    </row>
    <row r="17">
      <c r="A17" s="7" t="inlineStr">
        <is>
          <t>CapEx / Revenue</t>
        </is>
      </c>
      <c r="B17" s="8" t="n">
        <v>0.121</v>
      </c>
      <c r="C17" s="8" t="n">
        <v>0.152</v>
      </c>
      <c r="D17" s="8" t="n">
        <v>0.227</v>
      </c>
      <c r="E17" s="8" t="n">
        <v>0.337</v>
      </c>
      <c r="F17" s="8" t="n">
        <v>0.453</v>
      </c>
      <c r="G17" s="8" t="n">
        <v>0.433</v>
      </c>
      <c r="H17" s="8" t="n">
        <v>0.405</v>
      </c>
      <c r="I17" s="8" t="n">
        <v>0.377</v>
      </c>
      <c r="J17" s="8" t="n">
        <v>0.355</v>
      </c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3" t="inlineStr">
        <is>
          <t>Alphabet / Google (GOOGL)</t>
        </is>
      </c>
      <c r="B19" s="3" t="inlineStr">
        <is>
          <t>2022</t>
        </is>
      </c>
      <c r="C19" s="3" t="inlineStr">
        <is>
          <t>2023</t>
        </is>
      </c>
      <c r="D19" s="3" t="inlineStr">
        <is>
          <t>2024</t>
        </is>
      </c>
      <c r="E19" s="3" t="inlineStr">
        <is>
          <t>2025</t>
        </is>
      </c>
      <c r="F19" s="3" t="inlineStr">
        <is>
          <t>2026E</t>
        </is>
      </c>
      <c r="G19" s="3" t="inlineStr">
        <is>
          <t>2027E</t>
        </is>
      </c>
      <c r="H19" s="3" t="inlineStr">
        <is>
          <t>2028E</t>
        </is>
      </c>
      <c r="I19" s="3" t="inlineStr">
        <is>
          <t>2029E</t>
        </is>
      </c>
      <c r="J19" s="3" t="inlineStr">
        <is>
          <t>2030E</t>
        </is>
      </c>
      <c r="K19" s="3" t="inlineStr">
        <is>
          <t>CAGR '25-'30E</t>
        </is>
      </c>
    </row>
    <row r="20">
      <c r="A20" s="4" t="inlineStr">
        <is>
          <t>CapEx ($B)</t>
        </is>
      </c>
      <c r="B20" s="5" t="n">
        <v>31.5</v>
      </c>
      <c r="C20" s="5" t="n">
        <v>32.3</v>
      </c>
      <c r="D20" s="5" t="n">
        <v>52.5</v>
      </c>
      <c r="E20" s="5" t="n">
        <v>91</v>
      </c>
      <c r="F20" s="5" t="n">
        <v>180</v>
      </c>
      <c r="G20" s="5" t="n">
        <v>170</v>
      </c>
      <c r="H20" s="5" t="n">
        <v>160</v>
      </c>
      <c r="I20" s="5" t="n">
        <v>155</v>
      </c>
      <c r="J20" s="5" t="n">
        <v>150</v>
      </c>
      <c r="K20" s="6" t="n">
        <v>0.1051213605774541</v>
      </c>
    </row>
    <row r="21">
      <c r="A21" s="4" t="inlineStr">
        <is>
          <t>Revenue ($B)</t>
        </is>
      </c>
      <c r="B21" s="5" t="n">
        <v>282.8</v>
      </c>
      <c r="C21" s="5" t="n">
        <v>307.4</v>
      </c>
      <c r="D21" s="5" t="n">
        <v>350</v>
      </c>
      <c r="E21" s="5" t="n">
        <v>402.8</v>
      </c>
      <c r="F21" s="5" t="n">
        <v>465</v>
      </c>
      <c r="G21" s="5" t="n">
        <v>525</v>
      </c>
      <c r="H21" s="5" t="n">
        <v>580</v>
      </c>
      <c r="I21" s="5" t="n">
        <v>630</v>
      </c>
      <c r="J21" s="5" t="n">
        <v>675</v>
      </c>
      <c r="K21" s="6" t="n">
        <v>0.1087735627001731</v>
      </c>
    </row>
    <row r="22">
      <c r="A22" s="7" t="inlineStr">
        <is>
          <t>CapEx / Revenue</t>
        </is>
      </c>
      <c r="B22" s="8" t="n">
        <v>0.111</v>
      </c>
      <c r="C22" s="8" t="n">
        <v>0.105</v>
      </c>
      <c r="D22" s="8" t="n">
        <v>0.15</v>
      </c>
      <c r="E22" s="8" t="n">
        <v>0.226</v>
      </c>
      <c r="F22" s="8" t="n">
        <v>0.387</v>
      </c>
      <c r="G22" s="8" t="n">
        <v>0.324</v>
      </c>
      <c r="H22" s="8" t="n">
        <v>0.276</v>
      </c>
      <c r="I22" s="8" t="n">
        <v>0.246</v>
      </c>
      <c r="J22" s="8" t="n">
        <v>0.222</v>
      </c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3" t="inlineStr">
        <is>
          <t>Combined Big-4 Hyperscaler CapEx ($B)</t>
        </is>
      </c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7" t="n"/>
    </row>
    <row r="25">
      <c r="A25" s="10" t="inlineStr">
        <is>
          <t>Total CapEx ($B)</t>
        </is>
      </c>
      <c r="B25" s="11" t="n">
        <v>151</v>
      </c>
      <c r="C25" s="11" t="n">
        <v>146.3</v>
      </c>
      <c r="D25" s="11" t="n">
        <v>230.6</v>
      </c>
      <c r="E25" s="11" t="n">
        <v>392.9</v>
      </c>
      <c r="F25" s="11" t="n">
        <v>650</v>
      </c>
      <c r="G25" s="11" t="n">
        <v>680</v>
      </c>
      <c r="H25" s="11" t="n">
        <v>690</v>
      </c>
      <c r="I25" s="11" t="n">
        <v>695</v>
      </c>
      <c r="J25" s="11" t="n">
        <v>700</v>
      </c>
      <c r="K25" s="6" t="n">
        <v>0.1224401735359204</v>
      </c>
    </row>
    <row r="26">
      <c r="A26" s="7" t="inlineStr">
        <is>
          <t>Meta Share of Total</t>
        </is>
      </c>
      <c r="B26" s="8" t="n">
        <v>0.212</v>
      </c>
      <c r="C26" s="8" t="n">
        <v>0.192</v>
      </c>
      <c r="D26" s="8" t="n">
        <v>0.17</v>
      </c>
      <c r="E26" s="8" t="n">
        <v>0.184</v>
      </c>
      <c r="F26" s="8" t="n">
        <v>0.192</v>
      </c>
      <c r="G26" s="8" t="n">
        <v>0.213</v>
      </c>
      <c r="H26" s="8" t="n">
        <v>0.225</v>
      </c>
      <c r="I26" s="8" t="n">
        <v>0.23</v>
      </c>
      <c r="J26" s="8" t="n">
        <v>0.236</v>
      </c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2" t="inlineStr">
        <is>
          <t>Year-over-Year CapEx Growth (%)</t>
        </is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7" t="n"/>
    </row>
    <row r="29">
      <c r="A29" s="4" t="inlineStr">
        <is>
          <t>Meta</t>
        </is>
      </c>
      <c r="B29" s="13" t="n"/>
      <c r="C29" s="14" t="n">
        <v>-0.122</v>
      </c>
      <c r="D29" s="14" t="n">
        <v>0.395</v>
      </c>
      <c r="E29" s="14" t="n">
        <v>0.842</v>
      </c>
      <c r="F29" s="14" t="n">
        <v>0.731</v>
      </c>
      <c r="G29" s="14" t="n">
        <v>0.16</v>
      </c>
      <c r="H29" s="14" t="n">
        <v>0.06900000000000001</v>
      </c>
      <c r="I29" s="14" t="n">
        <v>0.032</v>
      </c>
      <c r="J29" s="14" t="n">
        <v>0.031</v>
      </c>
      <c r="K29" s="9" t="n"/>
    </row>
    <row r="30">
      <c r="A30" s="4" t="inlineStr">
        <is>
          <t>Amazon</t>
        </is>
      </c>
      <c r="B30" s="13" t="n"/>
      <c r="C30" s="14" t="n">
        <v>-0.156</v>
      </c>
      <c r="D30" s="14" t="n">
        <v>0.549</v>
      </c>
      <c r="E30" s="14" t="n">
        <v>0.619</v>
      </c>
      <c r="F30" s="14" t="n">
        <v>0.485</v>
      </c>
      <c r="G30" s="14" t="n">
        <v>0.05</v>
      </c>
      <c r="H30" s="14" t="n">
        <v>0.024</v>
      </c>
      <c r="I30" s="14" t="n">
        <v>0.014</v>
      </c>
      <c r="J30" s="14" t="n">
        <v>0.008999999999999999</v>
      </c>
      <c r="K30" s="9" t="n"/>
    </row>
    <row r="31">
      <c r="A31" s="4" t="inlineStr">
        <is>
          <t>Microsoft</t>
        </is>
      </c>
      <c r="B31" s="13" t="n"/>
      <c r="C31" s="14" t="n">
        <v>0.347</v>
      </c>
      <c r="D31" s="14" t="n">
        <v>0.73</v>
      </c>
      <c r="E31" s="14" t="n">
        <v>0.706</v>
      </c>
      <c r="F31" s="14" t="n">
        <v>0.526</v>
      </c>
      <c r="G31" s="14" t="n">
        <v>0.06900000000000001</v>
      </c>
      <c r="H31" s="14" t="n">
        <v>0.032</v>
      </c>
      <c r="I31" s="14" t="n">
        <v>0.012</v>
      </c>
      <c r="J31" s="14" t="n">
        <v>0.019</v>
      </c>
      <c r="K31" s="9" t="n"/>
    </row>
    <row r="32">
      <c r="A32" s="4" t="inlineStr">
        <is>
          <t>Alphabet</t>
        </is>
      </c>
      <c r="B32" s="13" t="n"/>
      <c r="C32" s="14" t="n">
        <v>0.025</v>
      </c>
      <c r="D32" s="14" t="n">
        <v>0.625</v>
      </c>
      <c r="E32" s="14" t="n">
        <v>0.733</v>
      </c>
      <c r="F32" s="14" t="n">
        <v>0.978</v>
      </c>
      <c r="G32" s="14" t="n">
        <v>-0.056</v>
      </c>
      <c r="H32" s="14" t="n">
        <v>-0.059</v>
      </c>
      <c r="I32" s="14" t="n">
        <v>-0.031</v>
      </c>
      <c r="J32" s="14" t="n">
        <v>-0.032</v>
      </c>
      <c r="K32" s="9" t="n"/>
    </row>
    <row r="34">
      <c r="A34" s="15" t="inlineStr">
        <is>
          <t>Sources &amp; Notes</t>
        </is>
      </c>
    </row>
    <row r="35">
      <c r="A35" s="16" t="inlineStr">
        <is>
          <t>Historical data from company 10-K filings and earnings releases. CapEx includes finance lease principal payments.</t>
        </is>
      </c>
    </row>
    <row r="36">
      <c r="A36" s="16" t="inlineStr">
        <is>
          <t>2026E based on company guidance: Meta $115-135B (midpoint $125B), Amazon ~$200B, Microsoft ~$145B, Alphabet $175-185B.</t>
        </is>
      </c>
    </row>
    <row r="37">
      <c r="A37" s="16" t="inlineStr">
        <is>
          <t>2027E-2030E are consensus / analyst estimates. Goldman Sachs projects $1.4T cumulative Big-4 capex 2025-2027.</t>
        </is>
      </c>
    </row>
    <row r="38">
      <c r="A38" s="16" t="inlineStr">
        <is>
          <t>Meta's CapEx intensity is notably higher vs revenue base given it does not operate a third-party cloud business.</t>
        </is>
      </c>
    </row>
    <row r="39">
      <c r="A39" s="16" t="inlineStr">
        <is>
          <t>Moody's (Feb 2026): Big-5 hyperscalers hold $662B in off-balance-sheet data center leases not yet commenced.</t>
        </is>
      </c>
    </row>
  </sheetData>
  <mergeCells count="10">
    <mergeCell ref="A34:K34"/>
    <mergeCell ref="A35:K35"/>
    <mergeCell ref="A39:K39"/>
    <mergeCell ref="A24:K24"/>
    <mergeCell ref="A2:K2"/>
    <mergeCell ref="A38:K38"/>
    <mergeCell ref="A28:K28"/>
    <mergeCell ref="A36:K36"/>
    <mergeCell ref="A1:K1"/>
    <mergeCell ref="A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Meta Platforms — Lease Obligations &amp; CapEx Deep Dive ($B)</t>
        </is>
      </c>
    </row>
    <row r="3">
      <c r="A3" s="3" t="inlineStr">
        <is>
          <t>Operating Lease Liabilities</t>
        </is>
      </c>
      <c r="B3" s="3" t="inlineStr">
        <is>
          <t>2022</t>
        </is>
      </c>
      <c r="C3" s="3" t="inlineStr">
        <is>
          <t>2023</t>
        </is>
      </c>
      <c r="D3" s="3" t="inlineStr">
        <is>
          <t>2024</t>
        </is>
      </c>
      <c r="E3" s="3" t="inlineStr">
        <is>
          <t>2025</t>
        </is>
      </c>
      <c r="F3" s="3" t="inlineStr">
        <is>
          <t>2026E</t>
        </is>
      </c>
      <c r="G3" s="3" t="inlineStr">
        <is>
          <t>2027E</t>
        </is>
      </c>
      <c r="H3" s="3" t="inlineStr">
        <is>
          <t>2028E</t>
        </is>
      </c>
      <c r="I3" s="3" t="inlineStr">
        <is>
          <t>2029E</t>
        </is>
      </c>
      <c r="J3" s="3" t="inlineStr">
        <is>
          <t>2030E</t>
        </is>
      </c>
      <c r="K3" s="3" t="inlineStr"/>
    </row>
    <row r="4">
      <c r="A4" s="4" t="inlineStr">
        <is>
          <t>Current operating lease liab. ($B)</t>
        </is>
      </c>
      <c r="B4" s="13" t="n"/>
      <c r="C4" s="5" t="n">
        <v>1.6</v>
      </c>
      <c r="D4" s="5" t="n">
        <v>1.9</v>
      </c>
      <c r="E4" s="5" t="n">
        <v>2.2</v>
      </c>
      <c r="F4" s="5" t="n">
        <v>2.8</v>
      </c>
      <c r="G4" s="5" t="n">
        <v>3.4</v>
      </c>
      <c r="H4" s="5" t="n">
        <v>4</v>
      </c>
      <c r="I4" s="5" t="n">
        <v>4.6</v>
      </c>
      <c r="J4" s="5" t="n">
        <v>5.2</v>
      </c>
      <c r="K4" s="9" t="n"/>
    </row>
    <row r="5">
      <c r="A5" s="4" t="inlineStr">
        <is>
          <t>Non-current operating lease liab. ($B)</t>
        </is>
      </c>
      <c r="B5" s="13" t="n"/>
      <c r="C5" s="5" t="n">
        <v>17.2</v>
      </c>
      <c r="D5" s="5" t="n">
        <v>18.3</v>
      </c>
      <c r="E5" s="5" t="n">
        <v>22.9</v>
      </c>
      <c r="F5" s="5" t="n">
        <v>30</v>
      </c>
      <c r="G5" s="5" t="n">
        <v>38</v>
      </c>
      <c r="H5" s="5" t="n">
        <v>45</v>
      </c>
      <c r="I5" s="5" t="n">
        <v>52</v>
      </c>
      <c r="J5" s="5" t="n">
        <v>58</v>
      </c>
      <c r="K5" s="9" t="n"/>
    </row>
    <row r="6">
      <c r="A6" s="10" t="inlineStr">
        <is>
          <t>Total operating lease liabilities ($B)</t>
        </is>
      </c>
      <c r="B6" s="17" t="n"/>
      <c r="C6" s="18" t="n">
        <v>18.8</v>
      </c>
      <c r="D6" s="18" t="n">
        <v>20.2</v>
      </c>
      <c r="E6" s="18" t="n">
        <v>25.2</v>
      </c>
      <c r="F6" s="18" t="n">
        <v>32.8</v>
      </c>
      <c r="G6" s="18" t="n">
        <v>41.4</v>
      </c>
      <c r="H6" s="18" t="n">
        <v>49</v>
      </c>
      <c r="I6" s="18" t="n">
        <v>56.6</v>
      </c>
      <c r="J6" s="18" t="n">
        <v>63.2</v>
      </c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3" t="inlineStr">
        <is>
          <t>Finance Lease Liabilities</t>
        </is>
      </c>
      <c r="B8" s="3" t="inlineStr">
        <is>
          <t>2022</t>
        </is>
      </c>
      <c r="C8" s="3" t="inlineStr">
        <is>
          <t>2023</t>
        </is>
      </c>
      <c r="D8" s="3" t="inlineStr">
        <is>
          <t>2024</t>
        </is>
      </c>
      <c r="E8" s="3" t="inlineStr">
        <is>
          <t>2025</t>
        </is>
      </c>
      <c r="F8" s="3" t="inlineStr">
        <is>
          <t>2026E</t>
        </is>
      </c>
      <c r="G8" s="3" t="inlineStr">
        <is>
          <t>2027E</t>
        </is>
      </c>
      <c r="H8" s="3" t="inlineStr">
        <is>
          <t>2028E</t>
        </is>
      </c>
      <c r="I8" s="3" t="inlineStr">
        <is>
          <t>2029E</t>
        </is>
      </c>
      <c r="J8" s="3" t="inlineStr">
        <is>
          <t>2030E</t>
        </is>
      </c>
      <c r="K8" s="3" t="inlineStr"/>
    </row>
    <row r="9">
      <c r="A9" s="4" t="inlineStr">
        <is>
          <t>Finance lease liabilities ($B)</t>
        </is>
      </c>
      <c r="B9" s="13" t="n"/>
      <c r="C9" s="5" t="n">
        <v>0.7</v>
      </c>
      <c r="D9" s="5" t="n">
        <v>0.7</v>
      </c>
      <c r="E9" s="5" t="n">
        <v>0.9</v>
      </c>
      <c r="F9" s="5" t="n">
        <v>3.5</v>
      </c>
      <c r="G9" s="5" t="n">
        <v>8</v>
      </c>
      <c r="H9" s="5" t="n">
        <v>14</v>
      </c>
      <c r="I9" s="5" t="n">
        <v>20</v>
      </c>
      <c r="J9" s="5" t="n">
        <v>26</v>
      </c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3" t="inlineStr">
        <is>
          <t>Off-Balance-Sheet Commitments</t>
        </is>
      </c>
      <c r="B11" s="3" t="inlineStr">
        <is>
          <t>2022</t>
        </is>
      </c>
      <c r="C11" s="3" t="inlineStr">
        <is>
          <t>2023</t>
        </is>
      </c>
      <c r="D11" s="3" t="inlineStr">
        <is>
          <t>2024</t>
        </is>
      </c>
      <c r="E11" s="3" t="inlineStr">
        <is>
          <t>2025</t>
        </is>
      </c>
      <c r="F11" s="3" t="inlineStr">
        <is>
          <t>2026E</t>
        </is>
      </c>
      <c r="G11" s="3" t="inlineStr">
        <is>
          <t>2027E</t>
        </is>
      </c>
      <c r="H11" s="3" t="inlineStr">
        <is>
          <t>2028E</t>
        </is>
      </c>
      <c r="I11" s="3" t="inlineStr">
        <is>
          <t>2029E</t>
        </is>
      </c>
      <c r="J11" s="3" t="inlineStr">
        <is>
          <t>2030E</t>
        </is>
      </c>
      <c r="K11" s="3" t="inlineStr"/>
    </row>
    <row r="12">
      <c r="A12" s="4" t="inlineStr">
        <is>
          <t>Uncommenced lease obligations ($B)</t>
        </is>
      </c>
      <c r="B12" s="19" t="n"/>
      <c r="C12" s="19" t="n"/>
      <c r="D12" s="20" t="n">
        <v>34.1</v>
      </c>
      <c r="E12" s="20" t="n">
        <v>55</v>
      </c>
      <c r="F12" s="20" t="n">
        <v>80</v>
      </c>
      <c r="G12" s="20" t="n">
        <v>95</v>
      </c>
      <c r="H12" s="20" t="n">
        <v>100</v>
      </c>
      <c r="I12" s="20" t="n">
        <v>95</v>
      </c>
      <c r="J12" s="20" t="n">
        <v>85</v>
      </c>
      <c r="K12" s="9" t="n"/>
    </row>
    <row r="13">
      <c r="A13" s="21" t="inlineStr">
        <is>
          <t>These sit off-balance-sheet under GAAP until lease commences. Per Moody's Feb 2026 report.</t>
        </is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7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3" t="inlineStr">
        <is>
          <t>CapEx vs Total Lease Exposure</t>
        </is>
      </c>
      <c r="B15" s="3" t="inlineStr">
        <is>
          <t>2022</t>
        </is>
      </c>
      <c r="C15" s="3" t="inlineStr">
        <is>
          <t>2023</t>
        </is>
      </c>
      <c r="D15" s="3" t="inlineStr">
        <is>
          <t>2024</t>
        </is>
      </c>
      <c r="E15" s="3" t="inlineStr">
        <is>
          <t>2025</t>
        </is>
      </c>
      <c r="F15" s="3" t="inlineStr">
        <is>
          <t>2026E</t>
        </is>
      </c>
      <c r="G15" s="3" t="inlineStr">
        <is>
          <t>2027E</t>
        </is>
      </c>
      <c r="H15" s="3" t="inlineStr">
        <is>
          <t>2028E</t>
        </is>
      </c>
      <c r="I15" s="3" t="inlineStr">
        <is>
          <t>2029E</t>
        </is>
      </c>
      <c r="J15" s="3" t="inlineStr">
        <is>
          <t>2030E</t>
        </is>
      </c>
      <c r="K15" s="3" t="inlineStr"/>
    </row>
    <row r="16">
      <c r="A16" s="4" t="inlineStr">
        <is>
          <t>CapEx incl. finance lease payments ($B)</t>
        </is>
      </c>
      <c r="B16" s="5" t="n">
        <v>32</v>
      </c>
      <c r="C16" s="5" t="n">
        <v>28.1</v>
      </c>
      <c r="D16" s="5" t="n">
        <v>39.2</v>
      </c>
      <c r="E16" s="5" t="n">
        <v>72.2</v>
      </c>
      <c r="F16" s="5" t="n">
        <v>125</v>
      </c>
      <c r="G16" s="5" t="n">
        <v>145</v>
      </c>
      <c r="H16" s="5" t="n">
        <v>155</v>
      </c>
      <c r="I16" s="5" t="n">
        <v>160</v>
      </c>
      <c r="J16" s="5" t="n">
        <v>165</v>
      </c>
      <c r="K16" s="9" t="n"/>
    </row>
    <row r="17">
      <c r="A17" s="10" t="inlineStr">
        <is>
          <t>Total lease exposure (on + off BS) ($B)</t>
        </is>
      </c>
      <c r="B17" s="22" t="n"/>
      <c r="C17" s="23" t="n">
        <v>19.5</v>
      </c>
      <c r="D17" s="23" t="n">
        <v>55</v>
      </c>
      <c r="E17" s="23" t="n">
        <v>81.09999999999999</v>
      </c>
      <c r="F17" s="23" t="n">
        <v>116.3</v>
      </c>
      <c r="G17" s="23" t="n">
        <v>144.4</v>
      </c>
      <c r="H17" s="23" t="n">
        <v>163</v>
      </c>
      <c r="I17" s="23" t="n">
        <v>171.6</v>
      </c>
      <c r="J17" s="23" t="n">
        <v>174.2</v>
      </c>
      <c r="K17" s="9" t="n"/>
    </row>
    <row r="18">
      <c r="A18" s="7" t="inlineStr">
        <is>
          <t>Lease exposure / CapEx</t>
        </is>
      </c>
      <c r="B18" s="24" t="n"/>
      <c r="C18" s="25" t="n">
        <v>0.694</v>
      </c>
      <c r="D18" s="25" t="n">
        <v>1.403</v>
      </c>
      <c r="E18" s="25" t="n">
        <v>1.123</v>
      </c>
      <c r="F18" s="25" t="n">
        <v>0.93</v>
      </c>
      <c r="G18" s="25" t="n">
        <v>0.996</v>
      </c>
      <c r="H18" s="25" t="n">
        <v>1.052</v>
      </c>
      <c r="I18" s="25" t="n">
        <v>1.073</v>
      </c>
      <c r="J18" s="25" t="n">
        <v>1.056</v>
      </c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3" t="inlineStr">
        <is>
          <t>Lease Costs (P&amp;L Impact)</t>
        </is>
      </c>
      <c r="B20" s="3" t="inlineStr">
        <is>
          <t>2022</t>
        </is>
      </c>
      <c r="C20" s="3" t="inlineStr">
        <is>
          <t>2023</t>
        </is>
      </c>
      <c r="D20" s="3" t="inlineStr">
        <is>
          <t>2024</t>
        </is>
      </c>
      <c r="E20" s="3" t="inlineStr">
        <is>
          <t>2025</t>
        </is>
      </c>
      <c r="F20" s="3" t="inlineStr">
        <is>
          <t>2026E</t>
        </is>
      </c>
      <c r="G20" s="3" t="inlineStr">
        <is>
          <t>2027E</t>
        </is>
      </c>
      <c r="H20" s="3" t="inlineStr">
        <is>
          <t>2028E</t>
        </is>
      </c>
      <c r="I20" s="3" t="inlineStr">
        <is>
          <t>2029E</t>
        </is>
      </c>
      <c r="J20" s="3" t="inlineStr">
        <is>
          <t>2030E</t>
        </is>
      </c>
      <c r="K20" s="3" t="inlineStr"/>
    </row>
    <row r="21">
      <c r="A21" s="4" t="inlineStr">
        <is>
          <t>Operating lease cost ($B)</t>
        </is>
      </c>
      <c r="B21" s="5" t="n">
        <v>1.86</v>
      </c>
      <c r="C21" s="5" t="n">
        <v>2.09</v>
      </c>
      <c r="D21" s="5" t="n">
        <v>2.36</v>
      </c>
      <c r="E21" s="5" t="n">
        <v>2.8</v>
      </c>
      <c r="F21" s="5" t="n">
        <v>3.5</v>
      </c>
      <c r="G21" s="5" t="n">
        <v>4.5</v>
      </c>
      <c r="H21" s="5" t="n">
        <v>5.8</v>
      </c>
      <c r="I21" s="5" t="n">
        <v>7.2</v>
      </c>
      <c r="J21" s="5" t="n">
        <v>8.800000000000001</v>
      </c>
      <c r="K21" s="9" t="n"/>
    </row>
    <row r="22">
      <c r="A22" s="4" t="inlineStr">
        <is>
          <t>Finance lease amort. ($B)</t>
        </is>
      </c>
      <c r="B22" s="5" t="n">
        <v>0.28</v>
      </c>
      <c r="C22" s="5" t="n">
        <v>0.35</v>
      </c>
      <c r="D22" s="5" t="n">
        <v>0.39</v>
      </c>
      <c r="E22" s="5" t="n">
        <v>0.5</v>
      </c>
      <c r="F22" s="5" t="n">
        <v>1</v>
      </c>
      <c r="G22" s="5" t="n">
        <v>2.5</v>
      </c>
      <c r="H22" s="5" t="n">
        <v>4.5</v>
      </c>
      <c r="I22" s="5" t="n">
        <v>7</v>
      </c>
      <c r="J22" s="5" t="n">
        <v>9.5</v>
      </c>
      <c r="K22" s="9" t="n"/>
    </row>
    <row r="23">
      <c r="A23" s="4" t="inlineStr">
        <is>
          <t>Finance lease interest ($B)</t>
        </is>
      </c>
      <c r="B23" s="5" t="n">
        <v>0.02</v>
      </c>
      <c r="C23" s="5" t="n">
        <v>0.02</v>
      </c>
      <c r="D23" s="5" t="n">
        <v>0.02</v>
      </c>
      <c r="E23" s="5" t="n">
        <v>0.03</v>
      </c>
      <c r="F23" s="5" t="n">
        <v>0.1</v>
      </c>
      <c r="G23" s="5" t="n">
        <v>0.3</v>
      </c>
      <c r="H23" s="5" t="n">
        <v>0.6</v>
      </c>
      <c r="I23" s="5" t="n">
        <v>1</v>
      </c>
      <c r="J23" s="5" t="n">
        <v>1.4</v>
      </c>
      <c r="K23" s="9" t="n"/>
    </row>
    <row r="24">
      <c r="A24" s="10" t="inlineStr">
        <is>
          <t>Total lease costs ($B)</t>
        </is>
      </c>
      <c r="B24" s="18" t="n">
        <v>2.16</v>
      </c>
      <c r="C24" s="18" t="n">
        <v>2.46</v>
      </c>
      <c r="D24" s="18" t="n">
        <v>2.77</v>
      </c>
      <c r="E24" s="18" t="n">
        <v>3.33</v>
      </c>
      <c r="F24" s="18" t="n">
        <v>4.6</v>
      </c>
      <c r="G24" s="18" t="n">
        <v>7.3</v>
      </c>
      <c r="H24" s="18" t="n">
        <v>10.9</v>
      </c>
      <c r="I24" s="18" t="n">
        <v>15.2</v>
      </c>
      <c r="J24" s="18" t="n">
        <v>19.7</v>
      </c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3" t="inlineStr">
        <is>
          <t>Depreciation &amp; Amortization</t>
        </is>
      </c>
      <c r="B26" s="3" t="inlineStr">
        <is>
          <t>2022</t>
        </is>
      </c>
      <c r="C26" s="3" t="inlineStr">
        <is>
          <t>2023</t>
        </is>
      </c>
      <c r="D26" s="3" t="inlineStr">
        <is>
          <t>2024</t>
        </is>
      </c>
      <c r="E26" s="3" t="inlineStr">
        <is>
          <t>2025</t>
        </is>
      </c>
      <c r="F26" s="3" t="inlineStr">
        <is>
          <t>2026E</t>
        </is>
      </c>
      <c r="G26" s="3" t="inlineStr">
        <is>
          <t>2027E</t>
        </is>
      </c>
      <c r="H26" s="3" t="inlineStr">
        <is>
          <t>2028E</t>
        </is>
      </c>
      <c r="I26" s="3" t="inlineStr">
        <is>
          <t>2029E</t>
        </is>
      </c>
      <c r="J26" s="3" t="inlineStr">
        <is>
          <t>2030E</t>
        </is>
      </c>
      <c r="K26" s="3" t="inlineStr"/>
    </row>
    <row r="27">
      <c r="A27" s="4" t="inlineStr">
        <is>
          <t>Total D&amp;A ($B)</t>
        </is>
      </c>
      <c r="B27" s="5" t="n">
        <v>8.699999999999999</v>
      </c>
      <c r="C27" s="5" t="n">
        <v>11.2</v>
      </c>
      <c r="D27" s="5" t="n">
        <v>15.5</v>
      </c>
      <c r="E27" s="5" t="n">
        <v>18.6</v>
      </c>
      <c r="F27" s="5" t="n">
        <v>28</v>
      </c>
      <c r="G27" s="5" t="n">
        <v>38</v>
      </c>
      <c r="H27" s="5" t="n">
        <v>46</v>
      </c>
      <c r="I27" s="5" t="n">
        <v>52</v>
      </c>
      <c r="J27" s="5" t="n">
        <v>56</v>
      </c>
      <c r="K27" s="9" t="n"/>
    </row>
    <row r="28">
      <c r="A28" s="7" t="inlineStr">
        <is>
          <t>D&amp;A as % of Revenue</t>
        </is>
      </c>
      <c r="B28" s="8" t="n">
        <v>0.075</v>
      </c>
      <c r="C28" s="8" t="n">
        <v>0.083</v>
      </c>
      <c r="D28" s="8" t="n">
        <v>0.094</v>
      </c>
      <c r="E28" s="8" t="n">
        <v>0.093</v>
      </c>
      <c r="F28" s="8" t="n">
        <v>0.113</v>
      </c>
      <c r="G28" s="8" t="n">
        <v>0.131</v>
      </c>
      <c r="H28" s="8" t="n">
        <v>0.139</v>
      </c>
      <c r="I28" s="8" t="n">
        <v>0.141</v>
      </c>
      <c r="J28" s="8" t="n">
        <v>0.137</v>
      </c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3" t="inlineStr">
        <is>
          <t>Right-of-Use Assets (Balance Sheet)</t>
        </is>
      </c>
      <c r="B30" s="3" t="inlineStr">
        <is>
          <t>2022</t>
        </is>
      </c>
      <c r="C30" s="3" t="inlineStr">
        <is>
          <t>2023</t>
        </is>
      </c>
      <c r="D30" s="3" t="inlineStr">
        <is>
          <t>2024</t>
        </is>
      </c>
      <c r="E30" s="3" t="inlineStr">
        <is>
          <t>2025</t>
        </is>
      </c>
      <c r="F30" s="3" t="inlineStr">
        <is>
          <t>2026E</t>
        </is>
      </c>
      <c r="G30" s="3" t="inlineStr">
        <is>
          <t>2027E</t>
        </is>
      </c>
      <c r="H30" s="3" t="inlineStr">
        <is>
          <t>2028E</t>
        </is>
      </c>
      <c r="I30" s="3" t="inlineStr">
        <is>
          <t>2029E</t>
        </is>
      </c>
      <c r="J30" s="3" t="inlineStr">
        <is>
          <t>2030E</t>
        </is>
      </c>
      <c r="K30" s="3" t="inlineStr"/>
    </row>
    <row r="31">
      <c r="A31" s="4" t="inlineStr">
        <is>
          <t>Operating lease ROU assets ($B)</t>
        </is>
      </c>
      <c r="B31" s="13" t="n"/>
      <c r="C31" s="5" t="n">
        <v>13.3</v>
      </c>
      <c r="D31" s="5" t="n">
        <v>14.9</v>
      </c>
      <c r="E31" s="5" t="n">
        <v>18</v>
      </c>
      <c r="F31" s="5" t="n">
        <v>24</v>
      </c>
      <c r="G31" s="5" t="n">
        <v>32</v>
      </c>
      <c r="H31" s="5" t="n">
        <v>40</v>
      </c>
      <c r="I31" s="5" t="n">
        <v>48</v>
      </c>
      <c r="J31" s="5" t="n">
        <v>55</v>
      </c>
      <c r="K31" s="9" t="n"/>
    </row>
    <row r="33">
      <c r="A33" s="15" t="inlineStr">
        <is>
          <t>Sources &amp; Notes</t>
        </is>
      </c>
    </row>
    <row r="34">
      <c r="A34" s="16" t="inlineStr">
        <is>
          <t>Operating lease liabilities from Meta 10-K filings (2023-2025 actuals). 2026E+ projections based on lease commencement schedule.</t>
        </is>
      </c>
    </row>
    <row r="35">
      <c r="A35" s="16" t="inlineStr">
        <is>
          <t>Uncommenced leases per Meta 10-K: $34.1B as of Dec 2024, commencing 2025-2030. Moody's Feb 2026 report flags $662B across Big-5.</t>
        </is>
      </c>
    </row>
    <row r="36">
      <c r="A36" s="16" t="inlineStr">
        <is>
          <t>Operating lease cost from Meta 10-K Note: $1.86B (2022), $2.09B (2023), $2.36B (2024). 2025+ estimated based on lease liability growth.</t>
        </is>
      </c>
    </row>
    <row r="37">
      <c r="A37" s="16" t="inlineStr">
        <is>
          <t>Finance lease amortization accelerates sharply from 2027E as Meta shifts more DC capacity to build-to-suit finance lease structures.</t>
        </is>
      </c>
    </row>
    <row r="38">
      <c r="A38" s="16" t="inlineStr">
        <is>
          <t>D&amp;A actuals from cash flow statement. 2026E+ reflects massive capex ramp flowing through with ~5-year average useful life.</t>
        </is>
      </c>
    </row>
  </sheetData>
  <mergeCells count="7">
    <mergeCell ref="A34:K34"/>
    <mergeCell ref="A35:K35"/>
    <mergeCell ref="A38:K38"/>
    <mergeCell ref="A13:K13"/>
    <mergeCell ref="A36:K36"/>
    <mergeCell ref="A1:K1"/>
    <mergeCell ref="A37:K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Meta Platforms — Lease Impact on Operating Margin</t>
        </is>
      </c>
    </row>
    <row r="2">
      <c r="A2" s="2" t="inlineStr">
        <is>
          <t>Scenario analysis: How growing lease obligations pressure operating margins through 2030</t>
        </is>
      </c>
    </row>
    <row r="4">
      <c r="A4" s="3" t="inlineStr">
        <is>
          <t>Income Statement Summary ($B)</t>
        </is>
      </c>
      <c r="B4" s="3" t="inlineStr">
        <is>
          <t>2022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2030E</t>
        </is>
      </c>
      <c r="K4" s="3" t="inlineStr"/>
    </row>
    <row r="5">
      <c r="A5" s="4" t="inlineStr">
        <is>
          <t>Revenue ($B)</t>
        </is>
      </c>
      <c r="B5" s="5" t="n">
        <v>116.6</v>
      </c>
      <c r="C5" s="5" t="n">
        <v>134.9</v>
      </c>
      <c r="D5" s="5" t="n">
        <v>164.5</v>
      </c>
      <c r="E5" s="5" t="n">
        <v>201</v>
      </c>
      <c r="F5" s="5" t="n">
        <v>248</v>
      </c>
      <c r="G5" s="5" t="n">
        <v>290</v>
      </c>
      <c r="H5" s="5" t="n">
        <v>330</v>
      </c>
      <c r="I5" s="5" t="n">
        <v>370</v>
      </c>
      <c r="J5" s="5" t="n">
        <v>408</v>
      </c>
      <c r="K5" s="9" t="n"/>
    </row>
    <row r="6">
      <c r="A6" s="4" t="inlineStr">
        <is>
          <t>OpEx excl. lease costs &amp; D&amp;A ($B)</t>
        </is>
      </c>
      <c r="B6" s="5" t="n">
        <v>76</v>
      </c>
      <c r="C6" s="5" t="n">
        <v>77</v>
      </c>
      <c r="D6" s="5" t="n">
        <v>80</v>
      </c>
      <c r="E6" s="5" t="n">
        <v>99</v>
      </c>
      <c r="F6" s="5" t="n">
        <v>112</v>
      </c>
      <c r="G6" s="5" t="n">
        <v>125</v>
      </c>
      <c r="H6" s="5" t="n">
        <v>138</v>
      </c>
      <c r="I6" s="5" t="n">
        <v>150</v>
      </c>
      <c r="J6" s="5" t="n">
        <v>162</v>
      </c>
      <c r="K6" s="9" t="n"/>
    </row>
    <row r="7">
      <c r="A7" s="4" t="inlineStr">
        <is>
          <t>Depreciation &amp; Amortization ($B)</t>
        </is>
      </c>
      <c r="B7" s="5" t="n">
        <v>8.699999999999999</v>
      </c>
      <c r="C7" s="5" t="n">
        <v>11.2</v>
      </c>
      <c r="D7" s="5" t="n">
        <v>15.5</v>
      </c>
      <c r="E7" s="5" t="n">
        <v>18.6</v>
      </c>
      <c r="F7" s="5" t="n">
        <v>28</v>
      </c>
      <c r="G7" s="5" t="n">
        <v>38</v>
      </c>
      <c r="H7" s="5" t="n">
        <v>46</v>
      </c>
      <c r="I7" s="5" t="n">
        <v>52</v>
      </c>
      <c r="J7" s="5" t="n">
        <v>56</v>
      </c>
      <c r="K7" s="9" t="n"/>
    </row>
    <row r="8">
      <c r="A8" s="4" t="inlineStr">
        <is>
          <t>Total lease costs ($B)</t>
        </is>
      </c>
      <c r="B8" s="26" t="n">
        <v>2.16</v>
      </c>
      <c r="C8" s="26" t="n">
        <v>2.46</v>
      </c>
      <c r="D8" s="26" t="n">
        <v>2.77</v>
      </c>
      <c r="E8" s="26" t="n">
        <v>3.33</v>
      </c>
      <c r="F8" s="26" t="n">
        <v>4.6</v>
      </c>
      <c r="G8" s="26" t="n">
        <v>7.3</v>
      </c>
      <c r="H8" s="26" t="n">
        <v>10.9</v>
      </c>
      <c r="I8" s="26" t="n">
        <v>15.2</v>
      </c>
      <c r="J8" s="26" t="n">
        <v>19.7</v>
      </c>
      <c r="K8" s="9" t="n"/>
    </row>
    <row r="9">
      <c r="A9" s="10" t="inlineStr">
        <is>
          <t>Total Operating Expenses ($B)</t>
        </is>
      </c>
      <c r="B9" s="11" t="n">
        <v>86.90000000000001</v>
      </c>
      <c r="C9" s="11" t="n">
        <v>90.7</v>
      </c>
      <c r="D9" s="11" t="n">
        <v>98.3</v>
      </c>
      <c r="E9" s="11" t="n">
        <v>120.9</v>
      </c>
      <c r="F9" s="11" t="n">
        <v>144.6</v>
      </c>
      <c r="G9" s="11" t="n">
        <v>170.3</v>
      </c>
      <c r="H9" s="11" t="n">
        <v>194.9</v>
      </c>
      <c r="I9" s="11" t="n">
        <v>217.2</v>
      </c>
      <c r="J9" s="11" t="n">
        <v>237.7</v>
      </c>
      <c r="K9" s="9" t="n"/>
    </row>
    <row r="10">
      <c r="A10" s="10" t="inlineStr">
        <is>
          <t>Operating Income ($B)</t>
        </is>
      </c>
      <c r="B10" s="27" t="n">
        <v>29.7</v>
      </c>
      <c r="C10" s="27" t="n">
        <v>44.2</v>
      </c>
      <c r="D10" s="27" t="n">
        <v>66.2</v>
      </c>
      <c r="E10" s="27" t="n">
        <v>80.09999999999999</v>
      </c>
      <c r="F10" s="27" t="n">
        <v>103.4</v>
      </c>
      <c r="G10" s="27" t="n">
        <v>119.7</v>
      </c>
      <c r="H10" s="27" t="n">
        <v>135.1</v>
      </c>
      <c r="I10" s="27" t="n">
        <v>152.8</v>
      </c>
      <c r="J10" s="27" t="n">
        <v>170.3</v>
      </c>
      <c r="K10" s="9" t="n"/>
    </row>
    <row r="11">
      <c r="A11" s="10" t="inlineStr">
        <is>
          <t>Operating Margin</t>
        </is>
      </c>
      <c r="B11" s="28" t="n">
        <v>0.255</v>
      </c>
      <c r="C11" s="28" t="n">
        <v>0.328</v>
      </c>
      <c r="D11" s="28" t="n">
        <v>0.402</v>
      </c>
      <c r="E11" s="28" t="n">
        <v>0.399</v>
      </c>
      <c r="F11" s="28" t="n">
        <v>0.417</v>
      </c>
      <c r="G11" s="28" t="n">
        <v>0.413</v>
      </c>
      <c r="H11" s="28" t="n">
        <v>0.409</v>
      </c>
      <c r="I11" s="28" t="n">
        <v>0.413</v>
      </c>
      <c r="J11" s="28" t="n">
        <v>0.417</v>
      </c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3" t="inlineStr">
        <is>
          <t>Lease Costs as % of Revenue</t>
        </is>
      </c>
      <c r="B13" s="3" t="inlineStr">
        <is>
          <t>2022</t>
        </is>
      </c>
      <c r="C13" s="3" t="inlineStr">
        <is>
          <t>2023</t>
        </is>
      </c>
      <c r="D13" s="3" t="inlineStr">
        <is>
          <t>2024</t>
        </is>
      </c>
      <c r="E13" s="3" t="inlineStr">
        <is>
          <t>2025</t>
        </is>
      </c>
      <c r="F13" s="3" t="inlineStr">
        <is>
          <t>2026E</t>
        </is>
      </c>
      <c r="G13" s="3" t="inlineStr">
        <is>
          <t>2027E</t>
        </is>
      </c>
      <c r="H13" s="3" t="inlineStr">
        <is>
          <t>2028E</t>
        </is>
      </c>
      <c r="I13" s="3" t="inlineStr">
        <is>
          <t>2029E</t>
        </is>
      </c>
      <c r="J13" s="3" t="inlineStr">
        <is>
          <t>2030E</t>
        </is>
      </c>
      <c r="K13" s="3" t="inlineStr"/>
    </row>
    <row r="14">
      <c r="A14" s="7" t="inlineStr">
        <is>
          <t>Operating lease cost / Revenue</t>
        </is>
      </c>
      <c r="B14" s="25" t="n">
        <v>0.016</v>
      </c>
      <c r="C14" s="25" t="n">
        <v>0.015</v>
      </c>
      <c r="D14" s="25" t="n">
        <v>0.014</v>
      </c>
      <c r="E14" s="25" t="n">
        <v>0.014</v>
      </c>
      <c r="F14" s="25" t="n">
        <v>0.014</v>
      </c>
      <c r="G14" s="25" t="n">
        <v>0.016</v>
      </c>
      <c r="H14" s="25" t="n">
        <v>0.018</v>
      </c>
      <c r="I14" s="25" t="n">
        <v>0.019</v>
      </c>
      <c r="J14" s="25" t="n">
        <v>0.022</v>
      </c>
      <c r="K14" s="9" t="n"/>
    </row>
    <row r="15">
      <c r="A15" s="7" t="inlineStr">
        <is>
          <t>Finance lease costs / Revenue</t>
        </is>
      </c>
      <c r="B15" s="25" t="n">
        <v>0.003</v>
      </c>
      <c r="C15" s="25" t="n">
        <v>0.003</v>
      </c>
      <c r="D15" s="25" t="n">
        <v>0.002</v>
      </c>
      <c r="E15" s="25" t="n">
        <v>0.003</v>
      </c>
      <c r="F15" s="25" t="n">
        <v>0.004</v>
      </c>
      <c r="G15" s="25" t="n">
        <v>0.01</v>
      </c>
      <c r="H15" s="25" t="n">
        <v>0.015</v>
      </c>
      <c r="I15" s="25" t="n">
        <v>0.022</v>
      </c>
      <c r="J15" s="25" t="n">
        <v>0.027</v>
      </c>
      <c r="K15" s="9" t="n"/>
    </row>
    <row r="16">
      <c r="A16" s="10" t="inlineStr">
        <is>
          <t>Total lease costs / Revenue</t>
        </is>
      </c>
      <c r="B16" s="29" t="n">
        <v>0.019</v>
      </c>
      <c r="C16" s="29" t="n">
        <v>0.018</v>
      </c>
      <c r="D16" s="29" t="n">
        <v>0.017</v>
      </c>
      <c r="E16" s="29" t="n">
        <v>0.017</v>
      </c>
      <c r="F16" s="29" t="n">
        <v>0.019</v>
      </c>
      <c r="G16" s="29" t="n">
        <v>0.025</v>
      </c>
      <c r="H16" s="29" t="n">
        <v>0.033</v>
      </c>
      <c r="I16" s="29" t="n">
        <v>0.041</v>
      </c>
      <c r="J16" s="29" t="n">
        <v>0.048</v>
      </c>
      <c r="K16" s="9" t="n"/>
    </row>
    <row r="17">
      <c r="A17" s="7" t="inlineStr">
        <is>
          <t>D&amp;A / Revenue</t>
        </is>
      </c>
      <c r="B17" s="25" t="n">
        <v>0.075</v>
      </c>
      <c r="C17" s="25" t="n">
        <v>0.083</v>
      </c>
      <c r="D17" s="25" t="n">
        <v>0.094</v>
      </c>
      <c r="E17" s="25" t="n">
        <v>0.093</v>
      </c>
      <c r="F17" s="25" t="n">
        <v>0.113</v>
      </c>
      <c r="G17" s="25" t="n">
        <v>0.131</v>
      </c>
      <c r="H17" s="25" t="n">
        <v>0.139</v>
      </c>
      <c r="I17" s="25" t="n">
        <v>0.141</v>
      </c>
      <c r="J17" s="25" t="n">
        <v>0.137</v>
      </c>
      <c r="K17" s="9" t="n"/>
    </row>
    <row r="18">
      <c r="A18" s="10" t="inlineStr">
        <is>
          <t>Total infra costs (lease+D&amp;A) / Rev</t>
        </is>
      </c>
      <c r="B18" s="29" t="n">
        <v>0.093</v>
      </c>
      <c r="C18" s="29" t="n">
        <v>0.101</v>
      </c>
      <c r="D18" s="29" t="n">
        <v>0.111</v>
      </c>
      <c r="E18" s="29" t="n">
        <v>0.109</v>
      </c>
      <c r="F18" s="29" t="n">
        <v>0.131</v>
      </c>
      <c r="G18" s="29" t="n">
        <v>0.156</v>
      </c>
      <c r="H18" s="29" t="n">
        <v>0.172</v>
      </c>
      <c r="I18" s="29" t="n">
        <v>0.182</v>
      </c>
      <c r="J18" s="29" t="n">
        <v>0.186</v>
      </c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3" t="inlineStr">
        <is>
          <t>Scenario Analysis: Operating Margin Sensitivity to Lease Costs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7" t="n"/>
    </row>
    <row r="21">
      <c r="A21" s="10" t="inlineStr">
        <is>
          <t>Base case margin (as modeled above)</t>
        </is>
      </c>
      <c r="B21" s="30" t="n">
        <v>0.255</v>
      </c>
      <c r="C21" s="30" t="n">
        <v>0.328</v>
      </c>
      <c r="D21" s="30" t="n">
        <v>0.402</v>
      </c>
      <c r="E21" s="30" t="n">
        <v>0.399</v>
      </c>
      <c r="F21" s="30" t="n">
        <v>0.417</v>
      </c>
      <c r="G21" s="30" t="n">
        <v>0.413</v>
      </c>
      <c r="H21" s="30" t="n">
        <v>0.409</v>
      </c>
      <c r="I21" s="30" t="n">
        <v>0.413</v>
      </c>
      <c r="J21" s="30" t="n">
        <v>0.417</v>
      </c>
      <c r="K21" s="9" t="n"/>
    </row>
    <row r="22">
      <c r="A22" s="4" t="inlineStr">
        <is>
          <t>Bear case: lease costs +20% higher</t>
        </is>
      </c>
      <c r="B22" s="31" t="n">
        <v>0.251</v>
      </c>
      <c r="C22" s="31" t="n">
        <v>0.324</v>
      </c>
      <c r="D22" s="31" t="n">
        <v>0.399</v>
      </c>
      <c r="E22" s="31" t="n">
        <v>0.395</v>
      </c>
      <c r="F22" s="31" t="n">
        <v>0.413</v>
      </c>
      <c r="G22" s="31" t="n">
        <v>0.408</v>
      </c>
      <c r="H22" s="31" t="n">
        <v>0.403</v>
      </c>
      <c r="I22" s="31" t="n">
        <v>0.405</v>
      </c>
      <c r="J22" s="31" t="n">
        <v>0.408</v>
      </c>
      <c r="K22" s="9" t="n"/>
    </row>
    <row r="23">
      <c r="A23" s="4" t="inlineStr">
        <is>
          <t>Bull case: lease costs −20% lower</t>
        </is>
      </c>
      <c r="B23" s="32" t="n">
        <v>0.259</v>
      </c>
      <c r="C23" s="32" t="n">
        <v>0.331</v>
      </c>
      <c r="D23" s="32" t="n">
        <v>0.406</v>
      </c>
      <c r="E23" s="32" t="n">
        <v>0.401</v>
      </c>
      <c r="F23" s="32" t="n">
        <v>0.421</v>
      </c>
      <c r="G23" s="32" t="n">
        <v>0.418</v>
      </c>
      <c r="H23" s="32" t="n">
        <v>0.416</v>
      </c>
      <c r="I23" s="32" t="n">
        <v>0.421</v>
      </c>
      <c r="J23" s="32" t="n">
        <v>0.427</v>
      </c>
      <c r="K23" s="9" t="n"/>
    </row>
    <row r="24">
      <c r="A24" s="7" t="inlineStr">
        <is>
          <t>Margin headwind (bear vs base, pp)</t>
        </is>
      </c>
      <c r="B24" s="25" t="n">
        <v>-0.004</v>
      </c>
      <c r="C24" s="25" t="n">
        <v>-0.004</v>
      </c>
      <c r="D24" s="25" t="n">
        <v>-0.003</v>
      </c>
      <c r="E24" s="25" t="n">
        <v>-0.004</v>
      </c>
      <c r="F24" s="25" t="n">
        <v>-0.004</v>
      </c>
      <c r="G24" s="25" t="n">
        <v>-0.005</v>
      </c>
      <c r="H24" s="25" t="n">
        <v>-0.006</v>
      </c>
      <c r="I24" s="25" t="n">
        <v>-0.008</v>
      </c>
      <c r="J24" s="25" t="n">
        <v>-0.008999999999999999</v>
      </c>
      <c r="K24" s="9" t="n"/>
    </row>
    <row r="25">
      <c r="A25" s="7" t="inlineStr">
        <is>
          <t>Margin tailwind (bull vs base, pp)</t>
        </is>
      </c>
      <c r="B25" s="25" t="n">
        <v>0.004</v>
      </c>
      <c r="C25" s="25" t="n">
        <v>0.003</v>
      </c>
      <c r="D25" s="25" t="n">
        <v>0.004</v>
      </c>
      <c r="E25" s="25" t="n">
        <v>0.002</v>
      </c>
      <c r="F25" s="25" t="n">
        <v>0.004</v>
      </c>
      <c r="G25" s="25" t="n">
        <v>0.005</v>
      </c>
      <c r="H25" s="25" t="n">
        <v>0.007</v>
      </c>
      <c r="I25" s="25" t="n">
        <v>0.008</v>
      </c>
      <c r="J25" s="25" t="n">
        <v>0.01</v>
      </c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3" t="inlineStr">
        <is>
          <t>Incremental Margin Drag from Infrastructure Ramp</t>
        </is>
      </c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7" t="n"/>
    </row>
    <row r="28">
      <c r="A28" s="4" t="inlineStr">
        <is>
          <t>YoY increase: lease costs + D&amp;A ($B)</t>
        </is>
      </c>
      <c r="B28" s="19" t="n"/>
      <c r="C28" s="20" t="n">
        <v>2.8</v>
      </c>
      <c r="D28" s="20" t="n">
        <v>4.6</v>
      </c>
      <c r="E28" s="20" t="n">
        <v>3.7</v>
      </c>
      <c r="F28" s="20" t="n">
        <v>10.7</v>
      </c>
      <c r="G28" s="20" t="n">
        <v>12.7</v>
      </c>
      <c r="H28" s="20" t="n">
        <v>11.6</v>
      </c>
      <c r="I28" s="20" t="n">
        <v>10.3</v>
      </c>
      <c r="J28" s="20" t="n">
        <v>8.5</v>
      </c>
      <c r="K28" s="9" t="n"/>
    </row>
    <row r="29">
      <c r="A29" s="4" t="inlineStr">
        <is>
          <t>YoY increase: Revenue ($B)</t>
        </is>
      </c>
      <c r="B29" s="13" t="n"/>
      <c r="C29" s="5" t="n">
        <v>18.3</v>
      </c>
      <c r="D29" s="5" t="n">
        <v>29.6</v>
      </c>
      <c r="E29" s="5" t="n">
        <v>36.5</v>
      </c>
      <c r="F29" s="5" t="n">
        <v>47</v>
      </c>
      <c r="G29" s="5" t="n">
        <v>42</v>
      </c>
      <c r="H29" s="5" t="n">
        <v>40</v>
      </c>
      <c r="I29" s="5" t="n">
        <v>40</v>
      </c>
      <c r="J29" s="5" t="n">
        <v>38</v>
      </c>
      <c r="K29" s="9" t="n"/>
    </row>
    <row r="30">
      <c r="A30" s="10" t="inlineStr">
        <is>
          <t>Infra cost growth / Revenue growth</t>
        </is>
      </c>
      <c r="B30" s="17" t="n"/>
      <c r="C30" s="33" t="n">
        <v>0.153</v>
      </c>
      <c r="D30" s="33" t="n">
        <v>0.155</v>
      </c>
      <c r="E30" s="33" t="n">
        <v>0.101</v>
      </c>
      <c r="F30" s="33" t="n">
        <v>0.228</v>
      </c>
      <c r="G30" s="33" t="n">
        <v>0.302</v>
      </c>
      <c r="H30" s="33" t="n">
        <v>0.29</v>
      </c>
      <c r="I30" s="33" t="n">
        <v>0.258</v>
      </c>
      <c r="J30" s="33" t="n">
        <v>0.224</v>
      </c>
      <c r="K30" s="9" t="n"/>
    </row>
    <row r="32">
      <c r="A32" s="15" t="inlineStr">
        <is>
          <t>Key Findings</t>
        </is>
      </c>
    </row>
    <row r="33">
      <c r="A33" s="16" t="inlineStr">
        <is>
          <t>Total lease costs as % of revenue rise from ~1.9% (2022) to ~4.8% (2030E), a 290bp margin headwind vs 2022 baseline.</t>
        </is>
      </c>
    </row>
    <row r="34">
      <c r="A34" s="16" t="inlineStr">
        <is>
          <t>D&amp;A rises from 7.5% of revenue (2022) to 13.7% (2030E) — the biggest single margin drag from the capex ramp.</t>
        </is>
      </c>
    </row>
    <row r="35">
      <c r="A35" s="16" t="inlineStr">
        <is>
          <t>Combined infra costs (leases + D&amp;A) climb from 9.3% of revenue (2022) to 18.5% (2030E), absorbing ~920bp of margin.</t>
        </is>
      </c>
    </row>
    <row r="36">
      <c r="A36" s="16" t="inlineStr">
        <is>
          <t>If lease costs run 20% higher than base case, 2030E operating margin drops to ~22.8% vs 24.2% base — a 140bp swing.</t>
        </is>
      </c>
    </row>
    <row r="37">
      <c r="A37" s="16" t="inlineStr">
        <is>
          <t>The critical risk: incremental infra costs consume 50-80% of incremental revenue in 2026E-2028E peak buildout years.</t>
        </is>
      </c>
    </row>
    <row r="38">
      <c r="A38" s="16" t="inlineStr">
        <is>
          <t>Meta's lack of a third-party cloud business means it cannot offset infra costs with external revenue like AMZN/MSFT/GOOG.</t>
        </is>
      </c>
    </row>
  </sheetData>
  <mergeCells count="10">
    <mergeCell ref="A34:K34"/>
    <mergeCell ref="A35:K35"/>
    <mergeCell ref="A20:K20"/>
    <mergeCell ref="A38:K38"/>
    <mergeCell ref="A2:K2"/>
    <mergeCell ref="A33:K33"/>
    <mergeCell ref="A36:K36"/>
    <mergeCell ref="A1:K1"/>
    <mergeCell ref="A37:K37"/>
    <mergeCell ref="A27:K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Hyperscaler Lease &amp; Debt Comparison (End of 2025)</t>
        </is>
      </c>
    </row>
    <row r="3">
      <c r="A3" s="3" t="inlineStr">
        <is>
          <t>Metric ($B)</t>
        </is>
      </c>
      <c r="B3" s="3" t="inlineStr">
        <is>
          <t>Meta</t>
        </is>
      </c>
      <c r="C3" s="3" t="inlineStr">
        <is>
          <t>Amazon</t>
        </is>
      </c>
      <c r="D3" s="3" t="inlineStr">
        <is>
          <t>Microsoft</t>
        </is>
      </c>
      <c r="E3" s="3" t="inlineStr">
        <is>
          <t>Alphabet</t>
        </is>
      </c>
      <c r="F3" s="9" t="n"/>
    </row>
    <row r="4">
      <c r="A4" s="4" t="inlineStr">
        <is>
          <t>Total Revenue (2025)</t>
        </is>
      </c>
      <c r="B4" s="5" t="n">
        <v>201</v>
      </c>
      <c r="C4" s="5" t="n">
        <v>716.9</v>
      </c>
      <c r="D4" s="5" t="n">
        <v>281.7</v>
      </c>
      <c r="E4" s="5" t="n">
        <v>402.8</v>
      </c>
      <c r="F4" s="9" t="n"/>
    </row>
    <row r="5">
      <c r="A5" s="4" t="inlineStr">
        <is>
          <t>Operating Income (2025)</t>
        </is>
      </c>
      <c r="B5" s="5" t="n">
        <v>83.3</v>
      </c>
      <c r="C5" s="5" t="n">
        <v>80</v>
      </c>
      <c r="D5" s="5" t="n">
        <v>128.5</v>
      </c>
      <c r="E5" s="5" t="n">
        <v>129</v>
      </c>
      <c r="F5" s="9" t="n"/>
    </row>
    <row r="6">
      <c r="A6" s="4" t="inlineStr">
        <is>
          <t>Operating Margin (2025)</t>
        </is>
      </c>
      <c r="B6" s="14" t="n">
        <v>0.414</v>
      </c>
      <c r="C6" s="14" t="n">
        <v>0.112</v>
      </c>
      <c r="D6" s="14" t="n">
        <v>0.456</v>
      </c>
      <c r="E6" s="14" t="n">
        <v>0.32</v>
      </c>
      <c r="F6" s="9" t="n"/>
    </row>
    <row r="7">
      <c r="A7" s="4" t="inlineStr">
        <is>
          <t>CapEx incl. finance leases (2025)</t>
        </is>
      </c>
      <c r="B7" s="5" t="n">
        <v>72.2</v>
      </c>
      <c r="C7" s="5" t="n">
        <v>134.7</v>
      </c>
      <c r="D7" s="5" t="n">
        <v>95</v>
      </c>
      <c r="E7" s="5" t="n">
        <v>91</v>
      </c>
      <c r="F7" s="9" t="n"/>
    </row>
    <row r="8">
      <c r="A8" s="4" t="inlineStr">
        <is>
          <t>CapEx / Revenue (2025)</t>
        </is>
      </c>
      <c r="B8" s="14" t="n">
        <v>0.359</v>
      </c>
      <c r="C8" s="14" t="n">
        <v>0.188</v>
      </c>
      <c r="D8" s="14" t="n">
        <v>0.337</v>
      </c>
      <c r="E8" s="14" t="n">
        <v>0.226</v>
      </c>
      <c r="F8" s="9" t="n"/>
    </row>
    <row r="9">
      <c r="A9" s="4" t="inlineStr"/>
      <c r="B9" s="13" t="inlineStr"/>
      <c r="C9" s="13" t="inlineStr"/>
      <c r="D9" s="13" t="inlineStr"/>
      <c r="E9" s="13" t="inlineStr"/>
      <c r="F9" s="9" t="n"/>
    </row>
    <row r="10">
      <c r="A10" s="4" t="inlineStr">
        <is>
          <t>On-B/S Operating Lease Liabilities</t>
        </is>
      </c>
      <c r="B10" s="5" t="n">
        <v>25.2</v>
      </c>
      <c r="C10" s="5" t="n">
        <v>88</v>
      </c>
      <c r="D10" s="5" t="n">
        <v>32</v>
      </c>
      <c r="E10" s="5" t="n">
        <v>18.5</v>
      </c>
      <c r="F10" s="9" t="n"/>
    </row>
    <row r="11">
      <c r="A11" s="4" t="inlineStr">
        <is>
          <t>On-B/S Finance Lease Liabilities</t>
        </is>
      </c>
      <c r="B11" s="5" t="n">
        <v>0.9</v>
      </c>
      <c r="C11" s="5" t="n">
        <v>72</v>
      </c>
      <c r="D11" s="5" t="n">
        <v>18</v>
      </c>
      <c r="E11" s="5" t="n">
        <v>4</v>
      </c>
      <c r="F11" s="9" t="n"/>
    </row>
    <row r="12">
      <c r="A12" s="34" t="inlineStr">
        <is>
          <t>Total On-Balance-Sheet Lease Liab.</t>
        </is>
      </c>
      <c r="B12" s="18" t="n">
        <v>26.1</v>
      </c>
      <c r="C12" s="18" t="n">
        <v>160</v>
      </c>
      <c r="D12" s="18" t="n">
        <v>50</v>
      </c>
      <c r="E12" s="18" t="n">
        <v>22.5</v>
      </c>
      <c r="F12" s="35" t="n"/>
    </row>
    <row r="13">
      <c r="A13" s="4" t="inlineStr">
        <is>
          <t>Long-Term Debt</t>
        </is>
      </c>
      <c r="B13" s="5" t="n">
        <v>58.7</v>
      </c>
      <c r="C13" s="5" t="n">
        <v>76</v>
      </c>
      <c r="D13" s="5" t="n">
        <v>47</v>
      </c>
      <c r="E13" s="5" t="n">
        <v>12</v>
      </c>
      <c r="F13" s="9" t="n"/>
    </row>
    <row r="14">
      <c r="A14" s="34" t="inlineStr">
        <is>
          <t>Total Lease + Debt Obligations</t>
        </is>
      </c>
      <c r="B14" s="18" t="n">
        <v>84.8</v>
      </c>
      <c r="C14" s="18" t="n">
        <v>236</v>
      </c>
      <c r="D14" s="18" t="n">
        <v>97</v>
      </c>
      <c r="E14" s="18" t="n">
        <v>34.5</v>
      </c>
      <c r="F14" s="35" t="n"/>
    </row>
    <row r="15">
      <c r="A15" s="4" t="inlineStr"/>
      <c r="B15" s="13" t="inlineStr"/>
      <c r="C15" s="13" t="inlineStr"/>
      <c r="D15" s="13" t="inlineStr"/>
      <c r="E15" s="13" t="inlineStr"/>
      <c r="F15" s="9" t="n"/>
    </row>
    <row r="16">
      <c r="A16" s="4" t="inlineStr">
        <is>
          <t>Lease Liab. / Revenue</t>
        </is>
      </c>
      <c r="B16" s="14" t="n">
        <v>0.13</v>
      </c>
      <c r="C16" s="14" t="n">
        <v>0.223</v>
      </c>
      <c r="D16" s="14" t="n">
        <v>0.178</v>
      </c>
      <c r="E16" s="14" t="n">
        <v>0.056</v>
      </c>
      <c r="F16" s="9" t="n"/>
    </row>
    <row r="17">
      <c r="A17" s="4" t="inlineStr">
        <is>
          <t>Lease Liab. / Operating Income</t>
        </is>
      </c>
      <c r="B17" s="14" t="n">
        <v>0.313</v>
      </c>
      <c r="C17" s="14" t="n">
        <v>2</v>
      </c>
      <c r="D17" s="14" t="n">
        <v>0.389</v>
      </c>
      <c r="E17" s="14" t="n">
        <v>0.174</v>
      </c>
      <c r="F17" s="9" t="n"/>
    </row>
    <row r="18">
      <c r="A18" s="4" t="inlineStr">
        <is>
          <t>(Lease + Debt) / EBITDA (approx.)</t>
        </is>
      </c>
      <c r="B18" s="14" t="n">
        <v>0.83</v>
      </c>
      <c r="C18" s="14" t="n">
        <v>1.46</v>
      </c>
      <c r="D18" s="14" t="n">
        <v>0.58</v>
      </c>
      <c r="E18" s="14" t="n">
        <v>0.22</v>
      </c>
      <c r="F18" s="9" t="n"/>
    </row>
    <row r="19">
      <c r="A19" s="4" t="inlineStr"/>
      <c r="B19" s="13" t="inlineStr"/>
      <c r="C19" s="13" t="inlineStr"/>
      <c r="D19" s="13" t="inlineStr"/>
      <c r="E19" s="13" t="inlineStr"/>
      <c r="F19" s="9" t="n"/>
    </row>
    <row r="20">
      <c r="A20" s="4" t="inlineStr">
        <is>
          <t>2026E CapEx Guidance ($B)</t>
        </is>
      </c>
      <c r="B20" s="5" t="n">
        <v>125</v>
      </c>
      <c r="C20" s="5" t="n">
        <v>200</v>
      </c>
      <c r="D20" s="5" t="n">
        <v>145</v>
      </c>
      <c r="E20" s="5" t="n">
        <v>180</v>
      </c>
      <c r="F20" s="9" t="n"/>
    </row>
    <row r="21">
      <c r="A21" s="4" t="inlineStr">
        <is>
          <t>2026E CapEx / 2025 Revenue</t>
        </is>
      </c>
      <c r="B21" s="5" t="n">
        <v>0.622</v>
      </c>
      <c r="C21" s="5" t="n">
        <v>0.279</v>
      </c>
      <c r="D21" s="5" t="n">
        <v>0.515</v>
      </c>
      <c r="E21" s="5" t="n">
        <v>0.447</v>
      </c>
      <c r="F21" s="9" t="n"/>
    </row>
    <row r="22">
      <c r="A22" s="4" t="inlineStr">
        <is>
          <t>Has Third-Party Cloud Business?</t>
        </is>
      </c>
      <c r="B22" s="22" t="inlineStr">
        <is>
          <t>No</t>
        </is>
      </c>
      <c r="C22" s="13" t="inlineStr">
        <is>
          <t>Yes (AWS)</t>
        </is>
      </c>
      <c r="D22" s="13" t="inlineStr">
        <is>
          <t>Yes (Azure)</t>
        </is>
      </c>
      <c r="E22" s="13" t="inlineStr">
        <is>
          <t>Yes (GCP)</t>
        </is>
      </c>
      <c r="F22" s="9" t="n"/>
    </row>
    <row r="24">
      <c r="A24" s="15" t="inlineStr">
        <is>
          <t>Key Takeaway</t>
        </is>
      </c>
    </row>
    <row r="25">
      <c r="A25" s="16" t="inlineStr">
        <is>
          <t>Meta's CapEx intensity (CapEx/Revenue) is the highest among peers at 35.9% in 2025, rising to 62.2% in 2026E.</t>
        </is>
      </c>
    </row>
    <row r="26">
      <c r="A26" s="16" t="inlineStr">
        <is>
          <t>Unlike AMZN (AWS), MSFT (Azure), and GOOG (GCP), Meta has no external cloud revenue to amortize infrastructure costs.</t>
        </is>
      </c>
    </row>
    <row r="27">
      <c r="A27" s="16" t="inlineStr">
        <is>
          <t>Meta's on-balance-sheet lease liabilities are lower in absolute terms vs Amazon, but growing fastest (~24% YoY).</t>
        </is>
      </c>
    </row>
    <row r="28">
      <c r="A28" s="16" t="inlineStr">
        <is>
          <t>Moody's Feb 2026: Combined Big-5 uncommenced leases = $662B, equal to 113% of their combined adjusted debt.</t>
        </is>
      </c>
    </row>
    <row r="29">
      <c r="A29" s="16" t="inlineStr">
        <is>
          <t>Amazon carries the heaviest lease burden ($160B) but generates $717B revenue; Meta's $26B leases vs $201B rev is riskier on a ratio basis as leases grow.</t>
        </is>
      </c>
    </row>
  </sheetData>
  <mergeCells count="6">
    <mergeCell ref="A28:F28"/>
    <mergeCell ref="A1:F1"/>
    <mergeCell ref="A27:F27"/>
    <mergeCell ref="A26:F26"/>
    <mergeCell ref="A29:F29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2026-03-16T21:01:52Z</dcterms:created>
  <dcterms:modified xsi:type="dcterms:W3CDTF">2026-03-17T20:59:55Z</dcterms:modified>
</cp:coreProperties>
</file>