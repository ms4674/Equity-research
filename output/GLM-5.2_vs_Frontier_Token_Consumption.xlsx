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_Consumption" sheetId="2" state="visible" r:id="rId2"/>
    <sheet name="GLM5.2_RunRate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%;-0%"/>
    <numFmt numFmtId="165" formatCode="$#,##0.00"/>
    <numFmt numFmtId="166" formatCode="$#,##0.0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b val="1"/>
    </font>
    <font>
      <b val="1"/>
      <color rgb="00FFFFFF"/>
      <sz val="11"/>
    </font>
    <font/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2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2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0" fontId="3" fillId="0" borderId="0" pivotButton="0" quotePrefix="0" xfId="0"/>
    <xf numFmtId="2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2" fontId="0" fillId="5" borderId="0" pivotButton="0" quotePrefix="0" xfId="0"/>
    <xf numFmtId="165" fontId="0" fillId="5" borderId="0" pivotButton="0" quotePrefix="0" xfId="0"/>
    <xf numFmtId="166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Assumptions &amp; Toggles</t>
        </is>
      </c>
    </row>
    <row r="3">
      <c r="A3" t="inlineStr">
        <is>
          <t>Weeks per month</t>
        </is>
      </c>
      <c r="B3" s="2" t="n">
        <v>4.345</v>
      </c>
    </row>
    <row r="4">
      <c r="A4" t="inlineStr">
        <is>
          <t>Input token share (blended price)</t>
        </is>
      </c>
      <c r="B4" s="2" t="n">
        <v>0.5</v>
      </c>
    </row>
    <row r="5">
      <c r="A5" t="inlineStr">
        <is>
          <t>Output token share (blended price)</t>
        </is>
      </c>
      <c r="B5">
        <f>1-B4</f>
        <v/>
      </c>
    </row>
    <row r="7">
      <c r="A7" s="3" t="inlineStr">
        <is>
          <t>Implied spend = tokens (trillions) x blended price ($/Mtok), which equals $ in millions.</t>
        </is>
      </c>
    </row>
    <row r="8">
      <c r="A8" s="3" t="inlineStr">
        <is>
          <t>Blended price = input_share x input$ + output_share x output$. Edit B4 to re-flow every spend figure in the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9" customWidth="1" min="4" max="4"/>
    <col width="13" customWidth="1" min="5" max="5"/>
    <col width="11" customWidth="1" min="6" max="6"/>
    <col width="9" customWidth="1" min="7" max="7"/>
    <col width="12" customWidth="1" min="8" max="8"/>
    <col width="9" customWidth="1" min="9" max="9"/>
    <col width="13" customWidth="1" min="10" max="10"/>
    <col width="9" customWidth="1" min="11" max="11"/>
    <col width="9" customWidth="1" min="12" max="12"/>
    <col width="9" customWidth="1" min="13" max="13"/>
    <col width="10" customWidth="1" min="14" max="14"/>
    <col width="16" customWidth="1" min="15" max="15"/>
    <col width="16" customWidth="1" min="16" max="16"/>
    <col width="52" customWidth="1" min="17" max="17"/>
  </cols>
  <sheetData>
    <row r="1">
      <c r="A1" s="1" t="inlineStr">
        <is>
          <t>Monthly Token Consumption — GLM 5.2 vs Leading Frontier Models</t>
        </is>
      </c>
    </row>
    <row r="2">
      <c r="A2" s="3" t="inlineStr">
        <is>
          <t>Source: OpenRouter public usage rankings &amp; model pages. As of 30 Jun 2026. Token volumes in trillions (T). GLM 5.2 row highlighted.</t>
        </is>
      </c>
    </row>
    <row r="4">
      <c r="A4" s="4" t="inlineStr">
        <is>
          <t>Rank
(month)</t>
        </is>
      </c>
      <c r="B4" s="4" t="inlineStr">
        <is>
          <t>Model</t>
        </is>
      </c>
      <c r="C4" s="4" t="inlineStr">
        <is>
          <t>Developer</t>
        </is>
      </c>
      <c r="D4" s="4" t="inlineStr">
        <is>
          <t>Country</t>
        </is>
      </c>
      <c r="E4" s="4" t="inlineStr">
        <is>
          <t>License</t>
        </is>
      </c>
      <c r="F4" s="4" t="inlineStr">
        <is>
          <t>Monthly
tokens (T)</t>
        </is>
      </c>
      <c r="G4" s="4" t="inlineStr">
        <is>
          <t>MoM
growth %</t>
        </is>
      </c>
      <c r="H4" s="4" t="inlineStr">
        <is>
          <t>Latest weekly
tokens (T)</t>
        </is>
      </c>
      <c r="I4" s="4" t="inlineStr">
        <is>
          <t>WoW
growth %</t>
        </is>
      </c>
      <c r="J4" s="4" t="inlineStr">
        <is>
          <t>Monthly run-rate
(T)</t>
        </is>
      </c>
      <c r="K4" s="4" t="inlineStr">
        <is>
          <t>Input
$/Mtok</t>
        </is>
      </c>
      <c r="L4" s="4" t="inlineStr">
        <is>
          <t>Output
$/Mtok</t>
        </is>
      </c>
      <c r="M4" s="4" t="inlineStr">
        <is>
          <t>Price
basis</t>
        </is>
      </c>
      <c r="N4" s="4" t="inlineStr">
        <is>
          <t>Blended
$/Mtok</t>
        </is>
      </c>
      <c r="O4" s="4" t="inlineStr">
        <is>
          <t>Implied monthly spend
(trailing, $M)</t>
        </is>
      </c>
      <c r="P4" s="4" t="inlineStr">
        <is>
          <t>Implied monthly spend
(run-rate, $M)</t>
        </is>
      </c>
      <c r="Q4" s="4" t="inlineStr">
        <is>
          <t>Notes</t>
        </is>
      </c>
    </row>
    <row r="5">
      <c r="A5" s="5" t="n">
        <v>1</v>
      </c>
      <c r="B5" s="6" t="inlineStr">
        <is>
          <t>DeepSeek V4 Flash</t>
        </is>
      </c>
      <c r="C5" s="7" t="inlineStr">
        <is>
          <t>DeepSeek</t>
        </is>
      </c>
      <c r="D5" s="5" t="inlineStr">
        <is>
          <t>China</t>
        </is>
      </c>
      <c r="E5" s="5" t="inlineStr">
        <is>
          <t>Open (MIT)</t>
        </is>
      </c>
      <c r="F5" s="8" t="n">
        <v>10.9</v>
      </c>
      <c r="G5" s="9" t="n">
        <v>9.949999999999999</v>
      </c>
      <c r="H5" s="8" t="n">
        <v>4.72</v>
      </c>
      <c r="I5" s="9" t="n">
        <v>0.05</v>
      </c>
      <c r="J5" s="8">
        <f>H5*Assumptions!$B$3</f>
        <v/>
      </c>
      <c r="K5" s="10" t="n">
        <v>0.054</v>
      </c>
      <c r="L5" s="10" t="n">
        <v>0.242</v>
      </c>
      <c r="M5" s="5" t="inlineStr">
        <is>
          <t>realized</t>
        </is>
      </c>
      <c r="N5" s="10">
        <f>K5*Assumptions!$B$4+L5*Assumptions!$B$5</f>
        <v/>
      </c>
      <c r="O5" s="11">
        <f>F5*N5</f>
        <v/>
      </c>
      <c r="P5" s="11">
        <f>IF(J5="","",J5*N5)</f>
        <v/>
      </c>
      <c r="Q5" s="7" t="inlineStr">
        <is>
          <t>MoE w/ DeepSeek Sparse Attention; default low-cost high-volume model</t>
        </is>
      </c>
    </row>
    <row r="6">
      <c r="A6" s="12" t="n">
        <v>2</v>
      </c>
      <c r="B6" s="13" t="inlineStr">
        <is>
          <t>Hy3 Preview</t>
        </is>
      </c>
      <c r="C6" s="14" t="inlineStr">
        <is>
          <t>Tencent</t>
        </is>
      </c>
      <c r="D6" s="12" t="inlineStr">
        <is>
          <t>China</t>
        </is>
      </c>
      <c r="E6" s="12" t="inlineStr">
        <is>
          <t>Preview</t>
        </is>
      </c>
      <c r="F6" s="15" t="n">
        <v>10.7</v>
      </c>
      <c r="G6" s="16" t="n">
        <v>9.99</v>
      </c>
      <c r="H6" s="15" t="n">
        <v>3.46</v>
      </c>
      <c r="I6" s="16" t="n">
        <v>0.06</v>
      </c>
      <c r="J6" s="15">
        <f>H6*Assumptions!$B$3</f>
        <v/>
      </c>
      <c r="K6" s="17" t="n">
        <v>0.063</v>
      </c>
      <c r="L6" s="17" t="n"/>
      <c r="M6" s="12" t="inlineStr">
        <is>
          <t>list</t>
        </is>
      </c>
      <c r="N6" s="17" t="n"/>
      <c r="O6" s="18" t="n"/>
      <c r="P6" s="18" t="n"/>
      <c r="Q6" s="14" t="inlineStr">
        <is>
          <t>295B MoE (21B active); launched late Apr 2026; output list price not disclosed</t>
        </is>
      </c>
    </row>
    <row r="7">
      <c r="A7" s="5" t="n">
        <v>3</v>
      </c>
      <c r="B7" s="6" t="inlineStr">
        <is>
          <t>Claude Opus 4.7</t>
        </is>
      </c>
      <c r="C7" s="7" t="inlineStr">
        <is>
          <t>Anthropic</t>
        </is>
      </c>
      <c r="D7" s="5" t="inlineStr">
        <is>
          <t>USA</t>
        </is>
      </c>
      <c r="E7" s="5" t="inlineStr">
        <is>
          <t>Closed</t>
        </is>
      </c>
      <c r="F7" s="8" t="n">
        <v>7.48</v>
      </c>
      <c r="G7" s="9" t="n">
        <v>1.97</v>
      </c>
      <c r="H7" s="8" t="n">
        <v>2.23</v>
      </c>
      <c r="I7" s="9" t="n">
        <v>0.09</v>
      </c>
      <c r="J7" s="8">
        <f>H7*Assumptions!$B$3</f>
        <v/>
      </c>
      <c r="K7" s="10" t="n">
        <v>1.65</v>
      </c>
      <c r="L7" s="10" t="n">
        <v>25</v>
      </c>
      <c r="M7" s="5" t="inlineStr">
        <is>
          <t>realized</t>
        </is>
      </c>
      <c r="N7" s="10">
        <f>K7*Assumptions!$B$4+L7*Assumptions!$B$5</f>
        <v/>
      </c>
      <c r="O7" s="11">
        <f>F7*N7</f>
        <v/>
      </c>
      <c r="P7" s="11">
        <f>IF(J7="","",J7*N7)</f>
        <v/>
      </c>
      <c r="Q7" s="7" t="inlineStr">
        <is>
          <t>Highest-ranked closed model; realized input reflects prompt caching</t>
        </is>
      </c>
    </row>
    <row r="8">
      <c r="A8" s="12" t="n">
        <v>4</v>
      </c>
      <c r="B8" s="13" t="inlineStr">
        <is>
          <t>Claude Sonnet 4.6</t>
        </is>
      </c>
      <c r="C8" s="14" t="inlineStr">
        <is>
          <t>Anthropic</t>
        </is>
      </c>
      <c r="D8" s="12" t="inlineStr">
        <is>
          <t>USA</t>
        </is>
      </c>
      <c r="E8" s="12" t="inlineStr">
        <is>
          <t>Closed</t>
        </is>
      </c>
      <c r="F8" s="15" t="n">
        <v>7.45</v>
      </c>
      <c r="G8" s="16" t="n">
        <v>0.34</v>
      </c>
      <c r="H8" s="15" t="n">
        <v>1.54</v>
      </c>
      <c r="I8" s="16" t="n">
        <v>0.01</v>
      </c>
      <c r="J8" s="15">
        <f>H8*Assumptions!$B$3</f>
        <v/>
      </c>
      <c r="K8" s="17" t="n">
        <v>1.31</v>
      </c>
      <c r="L8" s="17" t="n">
        <v>15</v>
      </c>
      <c r="M8" s="12" t="inlineStr">
        <is>
          <t>realized</t>
        </is>
      </c>
      <c r="N8" s="17">
        <f>K8*Assumptions!$B$4+L8*Assumptions!$B$5</f>
        <v/>
      </c>
      <c r="O8" s="18">
        <f>F8*N8</f>
        <v/>
      </c>
      <c r="P8" s="18">
        <f>IF(J8="","",J8*N8)</f>
        <v/>
      </c>
      <c r="Q8" s="14" t="inlineStr">
        <is>
          <t>Workhorse tier; realized input reflects prompt caching</t>
        </is>
      </c>
    </row>
    <row r="9">
      <c r="A9" s="5" t="n">
        <v>5</v>
      </c>
      <c r="B9" s="6" t="inlineStr">
        <is>
          <t>Owl Alpha</t>
        </is>
      </c>
      <c r="C9" s="7" t="inlineStr">
        <is>
          <t>OpenRouter</t>
        </is>
      </c>
      <c r="D9" s="5" t="inlineStr">
        <is>
          <t>USA</t>
        </is>
      </c>
      <c r="E9" s="5" t="inlineStr">
        <is>
          <t>Closed</t>
        </is>
      </c>
      <c r="F9" s="8" t="n">
        <v>5.03</v>
      </c>
      <c r="G9" s="9" t="n">
        <v>9.99</v>
      </c>
      <c r="H9" s="8" t="n">
        <v>3.55</v>
      </c>
      <c r="I9" s="9" t="n">
        <v>0.31</v>
      </c>
      <c r="J9" s="8">
        <f>H9*Assumptions!$B$3</f>
        <v/>
      </c>
      <c r="K9" s="10" t="n"/>
      <c r="L9" s="10" t="n"/>
      <c r="M9" s="5" t="inlineStr">
        <is>
          <t>n/a</t>
        </is>
      </c>
      <c r="N9" s="10" t="n"/>
      <c r="O9" s="11" t="n"/>
      <c r="P9" s="11" t="n"/>
      <c r="Q9" s="7" t="inlineStr">
        <is>
          <t>Platform-native routing/fallback model; pricing not published</t>
        </is>
      </c>
    </row>
    <row r="10">
      <c r="A10" s="12" t="n">
        <v>6</v>
      </c>
      <c r="B10" s="13" t="inlineStr">
        <is>
          <t>Gemini 3 Flash Preview</t>
        </is>
      </c>
      <c r="C10" s="14" t="inlineStr">
        <is>
          <t>Google</t>
        </is>
      </c>
      <c r="D10" s="12" t="inlineStr">
        <is>
          <t>USA</t>
        </is>
      </c>
      <c r="E10" s="12" t="inlineStr">
        <is>
          <t>Closed</t>
        </is>
      </c>
      <c r="F10" s="15" t="n">
        <v>4.6</v>
      </c>
      <c r="G10" s="16" t="n">
        <v>0.03</v>
      </c>
      <c r="H10" s="15" t="n"/>
      <c r="I10" s="16" t="n"/>
      <c r="J10" s="15" t="n"/>
      <c r="K10" s="17" t="n">
        <v>0.5</v>
      </c>
      <c r="L10" s="17" t="n">
        <v>3</v>
      </c>
      <c r="M10" s="12" t="inlineStr">
        <is>
          <t>list</t>
        </is>
      </c>
      <c r="N10" s="17">
        <f>K10*Assumptions!$B$4+L10*Assumptions!$B$5</f>
        <v/>
      </c>
      <c r="O10" s="18">
        <f>F10*N10</f>
        <v/>
      </c>
      <c r="P10" s="18">
        <f>IF(J10="","",J10*N10)</f>
        <v/>
      </c>
      <c r="Q10" s="14" t="inlineStr">
        <is>
          <t>Latency-optimized high-frequency workhorse</t>
        </is>
      </c>
    </row>
    <row r="11">
      <c r="A11" s="5" t="n">
        <v>7</v>
      </c>
      <c r="B11" s="6" t="inlineStr">
        <is>
          <t>DeepSeek V4 Pro</t>
        </is>
      </c>
      <c r="C11" s="7" t="inlineStr">
        <is>
          <t>DeepSeek</t>
        </is>
      </c>
      <c r="D11" s="5" t="inlineStr">
        <is>
          <t>China</t>
        </is>
      </c>
      <c r="E11" s="5" t="inlineStr">
        <is>
          <t>Open (MIT)</t>
        </is>
      </c>
      <c r="F11" s="8" t="n">
        <v>4.54</v>
      </c>
      <c r="G11" s="9" t="n">
        <v>7.39</v>
      </c>
      <c r="H11" s="8" t="n">
        <v>2.08</v>
      </c>
      <c r="I11" s="9" t="n">
        <v>0.17</v>
      </c>
      <c r="J11" s="8">
        <f>H11*Assumptions!$B$3</f>
        <v/>
      </c>
      <c r="K11" s="10" t="n">
        <v>0.435</v>
      </c>
      <c r="L11" s="10" t="n">
        <v>0.87</v>
      </c>
      <c r="M11" s="5" t="inlineStr">
        <is>
          <t>list</t>
        </is>
      </c>
      <c r="N11" s="10">
        <f>K11*Assumptions!$B$4+L11*Assumptions!$B$5</f>
        <v/>
      </c>
      <c r="O11" s="11">
        <f>F11*N11</f>
        <v/>
      </c>
      <c r="P11" s="11">
        <f>IF(J11="","",J11*N11)</f>
        <v/>
      </c>
      <c r="Q11" s="7" t="inlineStr">
        <is>
          <t>1.6T params (49B active); higher-capability sibling of V4 Flash</t>
        </is>
      </c>
    </row>
    <row r="12">
      <c r="A12" s="12" t="n">
        <v>8</v>
      </c>
      <c r="B12" s="13" t="inlineStr">
        <is>
          <t>DeepSeek V3.2</t>
        </is>
      </c>
      <c r="C12" s="14" t="inlineStr">
        <is>
          <t>DeepSeek</t>
        </is>
      </c>
      <c r="D12" s="12" t="inlineStr">
        <is>
          <t>China</t>
        </is>
      </c>
      <c r="E12" s="12" t="inlineStr">
        <is>
          <t>Open (MIT)</t>
        </is>
      </c>
      <c r="F12" s="15" t="n">
        <v>4.31</v>
      </c>
      <c r="G12" s="16" t="n">
        <v>-0.14</v>
      </c>
      <c r="H12" s="15" t="n"/>
      <c r="I12" s="16" t="n"/>
      <c r="J12" s="15" t="n"/>
      <c r="K12" s="17" t="n">
        <v>0.2288</v>
      </c>
      <c r="L12" s="17" t="n">
        <v>0.3432</v>
      </c>
      <c r="M12" s="12" t="inlineStr">
        <is>
          <t>list</t>
        </is>
      </c>
      <c r="N12" s="17">
        <f>K12*Assumptions!$B$4+L12*Assumptions!$B$5</f>
        <v/>
      </c>
      <c r="O12" s="18">
        <f>F12*N12</f>
        <v/>
      </c>
      <c r="P12" s="18">
        <f>IF(J12="","",J12*N12)</f>
        <v/>
      </c>
      <c r="Q12" s="14" t="inlineStr">
        <is>
          <t>Prior-gen; being cannibalized by V4 family</t>
        </is>
      </c>
    </row>
    <row r="13">
      <c r="A13" s="5" t="n">
        <v>9</v>
      </c>
      <c r="B13" s="6" t="inlineStr">
        <is>
          <t>Kimi K2.6</t>
        </is>
      </c>
      <c r="C13" s="7" t="inlineStr">
        <is>
          <t>Moonshot AI</t>
        </is>
      </c>
      <c r="D13" s="5" t="inlineStr">
        <is>
          <t>China</t>
        </is>
      </c>
      <c r="E13" s="5" t="inlineStr">
        <is>
          <t>Open</t>
        </is>
      </c>
      <c r="F13" s="8" t="n">
        <v>3.72</v>
      </c>
      <c r="G13" s="9" t="n">
        <v>0.01</v>
      </c>
      <c r="H13" s="8" t="n"/>
      <c r="I13" s="9" t="n"/>
      <c r="J13" s="8" t="n"/>
      <c r="K13" s="10" t="n">
        <v>0.55</v>
      </c>
      <c r="L13" s="10" t="n">
        <v>3.2</v>
      </c>
      <c r="M13" s="5" t="inlineStr">
        <is>
          <t>list</t>
        </is>
      </c>
      <c r="N13" s="10">
        <f>K13*Assumptions!$B$4+L13*Assumptions!$B$5</f>
        <v/>
      </c>
      <c r="O13" s="11">
        <f>F13*N13</f>
        <v/>
      </c>
      <c r="P13" s="11">
        <f>IF(J13="","",J13*N13)</f>
        <v/>
      </c>
      <c r="Q13" s="7" t="inlineStr">
        <is>
          <t>Top open-weights AA Intelligence Index (54); multimodal</t>
        </is>
      </c>
    </row>
    <row r="14">
      <c r="A14" s="12" t="n">
        <v>10</v>
      </c>
      <c r="B14" s="13" t="inlineStr">
        <is>
          <t>Nemotron 3 Super</t>
        </is>
      </c>
      <c r="C14" s="14" t="inlineStr">
        <is>
          <t>NVIDIA</t>
        </is>
      </c>
      <c r="D14" s="12" t="inlineStr">
        <is>
          <t>USA</t>
        </is>
      </c>
      <c r="E14" s="12" t="inlineStr">
        <is>
          <t>Open</t>
        </is>
      </c>
      <c r="F14" s="15" t="n">
        <v>2.65</v>
      </c>
      <c r="G14" s="16" t="n">
        <v>0.03</v>
      </c>
      <c r="H14" s="15" t="n"/>
      <c r="I14" s="16" t="n"/>
      <c r="J14" s="15" t="n"/>
      <c r="K14" s="17" t="n">
        <v>0</v>
      </c>
      <c r="L14" s="17" t="n">
        <v>0</v>
      </c>
      <c r="M14" s="12" t="inlineStr">
        <is>
          <t>list</t>
        </is>
      </c>
      <c r="N14" s="17">
        <f>K14*Assumptions!$B$4+L14*Assumptions!$B$5</f>
        <v/>
      </c>
      <c r="O14" s="18">
        <f>F14*N14</f>
        <v/>
      </c>
      <c r="P14" s="18">
        <f>IF(J14="","",J14*N14)</f>
        <v/>
      </c>
      <c r="Q14" s="14" t="inlineStr">
        <is>
          <t>Offered free on OpenRouter; ~300 tok/s throughput</t>
        </is>
      </c>
    </row>
    <row r="15">
      <c r="A15" s="19" t="n"/>
      <c r="B15" s="20" t="inlineStr">
        <is>
          <t>GLM 5.2</t>
        </is>
      </c>
      <c r="C15" s="21" t="inlineStr">
        <is>
          <t>Z.ai (Zhipu AI)</t>
        </is>
      </c>
      <c r="D15" s="19" t="inlineStr">
        <is>
          <t>China</t>
        </is>
      </c>
      <c r="E15" s="19" t="inlineStr">
        <is>
          <t>Open (MIT)</t>
        </is>
      </c>
      <c r="F15" s="22" t="n"/>
      <c r="G15" s="23" t="n"/>
      <c r="H15" s="22" t="n">
        <v>2.11</v>
      </c>
      <c r="I15" s="23" t="n">
        <v>0.66</v>
      </c>
      <c r="J15" s="22">
        <f>H15*Assumptions!$B$3</f>
        <v/>
      </c>
      <c r="K15" s="24" t="n">
        <v>0.447</v>
      </c>
      <c r="L15" s="24" t="n">
        <v>3.31</v>
      </c>
      <c r="M15" s="19" t="inlineStr">
        <is>
          <t>realized</t>
        </is>
      </c>
      <c r="N15" s="24">
        <f>K15*Assumptions!$B$4+L15*Assumptions!$B$5</f>
        <v/>
      </c>
      <c r="O15" s="25" t="n"/>
      <c r="P15" s="25">
        <f>IF(J15="","",J15*N15)</f>
        <v/>
      </c>
      <c r="Q15" s="21" t="inlineStr">
        <is>
          <t>Launched Jun 13 (Coding Plan) / Jun 16 (weights+API); 744B MoE (40B active), 1M context; ranked #7 by weekly run-rate; partial-month so excluded from trailing-month top 10</t>
        </is>
      </c>
    </row>
    <row r="17">
      <c r="B17" s="26" t="inlineStr">
        <is>
          <t>Platform context</t>
        </is>
      </c>
      <c r="F17" s="27">
        <f>SUM(F5:F15)</f>
        <v/>
      </c>
      <c r="Q17" s="28" t="inlineStr">
        <is>
          <t>Top-10 trailing-month subtotal (GLM 5.2 excluded; partial month). OpenRouter platform-wide volume ~46T tokens/week (Jun 2026).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52" customWidth="1" min="5" max="5"/>
  </cols>
  <sheetData>
    <row r="1">
      <c r="A1" s="1" t="inlineStr">
        <is>
          <t>GLM 5.2 — Adoption Run-Rate</t>
        </is>
      </c>
    </row>
    <row r="2">
      <c r="A2" s="29" t="inlineStr">
        <is>
          <t>Launched 13 Jun 2026 (GLM Coding Plan) and 16 Jun 2026 (MIT open weights + API). 744B MoE, 40B active, 1M-token context. Excluded from the trailing-month top 10 because of its partial first month; run-rate is the cleaner read.</t>
        </is>
      </c>
    </row>
    <row r="4">
      <c r="A4" s="4" t="inlineStr">
        <is>
          <t>Week ending</t>
        </is>
      </c>
      <c r="B4" s="4" t="inlineStr">
        <is>
          <t>Weekly tokens (T)</t>
        </is>
      </c>
      <c r="C4" s="4" t="inlineStr">
        <is>
          <t>WoW growth %</t>
        </is>
      </c>
      <c r="D4" s="4" t="inlineStr">
        <is>
          <t>Data quality</t>
        </is>
      </c>
      <c r="E4" s="4" t="inlineStr">
        <is>
          <t>Source / note</t>
        </is>
      </c>
    </row>
    <row r="5">
      <c r="A5" s="5" t="inlineStr">
        <is>
          <t>21 Jun 2026</t>
        </is>
      </c>
      <c r="B5" s="8" t="n">
        <v>1.27</v>
      </c>
      <c r="C5" s="5" t="n"/>
      <c r="D5" s="5" t="inlineStr">
        <is>
          <t>derived</t>
        </is>
      </c>
      <c r="E5" s="7" t="inlineStr">
        <is>
          <t>Implied from +66% WoW into week ending 28 Jun</t>
        </is>
      </c>
    </row>
    <row r="6">
      <c r="A6" s="5" t="inlineStr">
        <is>
          <t>28 Jun 2026</t>
        </is>
      </c>
      <c r="B6" s="8" t="n">
        <v>2.11</v>
      </c>
      <c r="C6" s="9" t="n">
        <v>0.66</v>
      </c>
      <c r="D6" s="5" t="inlineStr">
        <is>
          <t>reported</t>
        </is>
      </c>
      <c r="E6" s="7" t="inlineStr">
        <is>
          <t>thestack.technology / OpenRouter ranking (#7)</t>
        </is>
      </c>
    </row>
    <row r="8">
      <c r="A8" s="26" t="inlineStr">
        <is>
          <t>Latest weekly (T)</t>
        </is>
      </c>
      <c r="B8" s="30">
        <f>B6</f>
        <v/>
      </c>
    </row>
    <row r="9">
      <c r="A9" s="26" t="inlineStr">
        <is>
          <t>Monthly run-rate (T)</t>
        </is>
      </c>
      <c r="B9" s="30">
        <f>B6*Assumptions!$B$3</f>
        <v/>
      </c>
    </row>
    <row r="10">
      <c r="A10" s="26" t="inlineStr">
        <is>
          <t>Realized blended price ($/Mtok)</t>
        </is>
      </c>
      <c r="B10" s="31">
        <f>0.447*Assumptions!$B$4+3.31*Assumptions!$B$5</f>
        <v/>
      </c>
    </row>
    <row r="11">
      <c r="A11" s="26" t="inlineStr">
        <is>
          <t>Implied monthly inference spend ($M)</t>
        </is>
      </c>
      <c r="B11" s="32">
        <f>B9*B10</f>
        <v/>
      </c>
    </row>
    <row r="13">
      <c r="A13" s="29" t="inlineStr">
        <is>
          <t>Interpretation: at the latest weekly run-rate GLM 5.2 annualizes to a monthly-equivalent volume that would place it among the top 3-5 models, despite not appearing in the trailing-month top 10.</t>
        </is>
      </c>
    </row>
  </sheetData>
  <mergeCells count="2">
    <mergeCell ref="A2:E2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Sources &amp; Methodology</t>
        </is>
      </c>
    </row>
    <row r="3">
      <c r="A3" t="inlineStr">
        <is>
          <t>Token-consumption deliverable focused on GLM 5.2 vs leading frontier models, as of 30 Jun 2026.</t>
        </is>
      </c>
    </row>
    <row r="4">
      <c r="A4" t="inlineStr"/>
    </row>
    <row r="5">
      <c r="A5" t="inlineStr">
        <is>
          <t>Token volumes:</t>
        </is>
      </c>
    </row>
    <row r="6">
      <c r="A6" t="inlineStr">
        <is>
          <t xml:space="preserve">  - OpenRouter LLM Rankings (live monthly/weekly token usage): https://openrouter.ai/rankings</t>
        </is>
      </c>
    </row>
    <row r="7">
      <c r="A7" t="inlineStr">
        <is>
          <t xml:space="preserve">  - 'These Are The Most Popular AI Models On OpenRouter [June 2026]', officechai (monthly top 10).</t>
        </is>
      </c>
    </row>
    <row r="8">
      <c r="A8" t="inlineStr">
        <is>
          <t xml:space="preserve">  - 'OpenRouter Monthly Token Usage Ranking 2026', aicost.org (cross-check).</t>
        </is>
      </c>
    </row>
    <row r="9">
      <c r="A9" t="inlineStr">
        <is>
          <t xml:space="preserve">  - GLM 5.2 weekly figure: thestack.technology 'Opus-killer GLM-5.2... astonishing demand' (#7 ranking, 2.11T week ending 28 Jun, +66% WoW).</t>
        </is>
      </c>
    </row>
    <row r="10">
      <c r="A10" t="inlineStr">
        <is>
          <t xml:space="preserve">  - OpenRouter blog 'The Open Weight Models that Matter: June 2026' (GLM 5.2 realized pricing $0.447/$3.31).</t>
        </is>
      </c>
    </row>
    <row r="11">
      <c r="A11" t="inlineStr"/>
    </row>
    <row r="12">
      <c r="A12" t="inlineStr">
        <is>
          <t>Pricing (per 1M tokens, list and prompt-cache realized where shown):</t>
        </is>
      </c>
    </row>
    <row r="13">
      <c r="A13" t="inlineStr">
        <is>
          <t xml:space="preserve">  - OpenRouter model pages: z-ai/glm-5.2, deepseek-v4-flash, deepseek-v4-pro, deepseek-v3.2,</t>
        </is>
      </c>
    </row>
    <row r="14">
      <c r="A14" t="inlineStr">
        <is>
          <t xml:space="preserve">    anthropic/claude-opus-4.7, anthropic/claude-sonnet-4.6, moonshotai/kimi-k2.6.</t>
        </is>
      </c>
    </row>
    <row r="15">
      <c r="A15" t="inlineStr">
        <is>
          <t xml:space="preserve">  - Gemini 3 Flash Preview list pricing $0.50/$3.00 (OpenRouter).</t>
        </is>
      </c>
    </row>
    <row r="16">
      <c r="A16" t="inlineStr">
        <is>
          <t xml:space="preserve">  - Hy3 Preview input $0.063/M (output not disclosed); Owl Alpha &amp; Nemotron (free) pricing not published.</t>
        </is>
      </c>
    </row>
    <row r="17">
      <c r="A17" t="inlineStr"/>
    </row>
    <row r="18">
      <c r="A18" t="inlineStr">
        <is>
          <t>Methodology &amp; assumptions (see Assumptions sheet, which drives all formulas):</t>
        </is>
      </c>
    </row>
    <row r="19">
      <c r="A19" t="inlineStr">
        <is>
          <t xml:space="preserve">  - Monthly run-rate (T) = latest weekly tokens x weeks-per-month (4.345).</t>
        </is>
      </c>
    </row>
    <row r="20">
      <c r="A20" t="inlineStr">
        <is>
          <t xml:space="preserve">  - Blended $/Mtok = input_share x input$ + output_share x output$ (default 50/50, editable).</t>
        </is>
      </c>
    </row>
    <row r="21">
      <c r="A21" t="inlineStr">
        <is>
          <t xml:space="preserve">  - Implied monthly spend ($M) = tokens (trillions) x blended $/Mtok.  (1T tokens x $1/Mtok = $1M.)</t>
        </is>
      </c>
    </row>
    <row r="22">
      <c r="A22" t="inlineStr">
        <is>
          <t xml:space="preserve">  - Realized (post prompt-caching) pricing used where published; otherwise provider list pricing.</t>
        </is>
      </c>
    </row>
    <row r="23">
      <c r="A23" t="inlineStr"/>
    </row>
    <row r="24">
      <c r="A24" t="inlineStr">
        <is>
          <t>Caveats:</t>
        </is>
      </c>
    </row>
    <row r="25">
      <c r="A25" t="inlineStr">
        <is>
          <t xml:space="preserve">  - OpenRouter reflects developer/API usage routed through that platform, not total ecosystem usage</t>
        </is>
      </c>
    </row>
    <row r="26">
      <c r="A26" t="inlineStr">
        <is>
          <t xml:space="preserve">    (first-party apps such as ChatGPT, Gemini and Claude.ai consume far more tokens off-platform).</t>
        </is>
      </c>
    </row>
    <row r="27">
      <c r="A27" t="inlineStr">
        <is>
          <t xml:space="preserve">  - GLM 5.2 launched mid-June, so its trailing-month cumulative understates its true run-rate.</t>
        </is>
      </c>
    </row>
    <row r="28">
      <c r="A28" t="inlineStr">
        <is>
          <t xml:space="preserve">  - Implied spend is an estimate of inference $ on OpenRouter, not lab revenue or profit.</t>
        </is>
      </c>
    </row>
    <row r="29">
      <c r="A29" t="inlineStr">
        <is>
          <t xml:space="preserve">  - Growth figures capped in source reporting (e.g. '+&gt;999%') are entered at 999%.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2026-06-30T17:24:32Z</dcterms:created>
  <dcterms:modified xsi:type="dcterms:W3CDTF">2026-06-30T17:24:32Z</dcterms:modified>
</cp:coreProperties>
</file>