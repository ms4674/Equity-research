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 Me" sheetId="1" state="visible" r:id="rId1"/>
    <sheet name="Scenario Assumptions" sheetId="2" state="visible" r:id="rId2"/>
    <sheet name="Sub-Segment Exposures" sheetId="3" state="visible" r:id="rId3"/>
    <sheet name="Sales Growth Impact" sheetId="4" state="visible" r:id="rId4"/>
    <sheet name="EPS Growth Impact" sheetId="5" state="visible" r:id="rId5"/>
    <sheet name="Summary Matrix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$#,##0&quot;bn&quot;"/>
    <numFmt numFmtId="165" formatCode="0.0%"/>
    <numFmt numFmtId="166" formatCode="+0.0%;-0.0%;0.0%"/>
    <numFmt numFmtId="167" formatCode="+$#,##0&quot;bn&quot;;-$#,##0&quot;bn&quot;;$0&quot;bn&quot;"/>
    <numFmt numFmtId="168" formatCode="0.0&quot;x&quot;"/>
  </numFmts>
  <fonts count="6">
    <font>
      <name val="Calibri"/>
      <family val="2"/>
      <color theme="1"/>
      <sz val="11"/>
      <scheme val="minor"/>
    </font>
    <font>
      <name val="Calibri"/>
      <b val="1"/>
      <color rgb="001F3864"/>
      <sz val="16"/>
    </font>
    <font>
      <name val="Calibri"/>
      <i val="1"/>
      <color rgb="00595959"/>
      <sz val="11"/>
    </font>
    <font>
      <name val="Calibri"/>
      <b val="1"/>
      <color rgb="001F3864"/>
      <sz val="12"/>
    </font>
    <font>
      <name val="Calibri"/>
      <b val="1"/>
      <color rgb="00FFFFFF"/>
      <sz val="11"/>
    </font>
    <font>
      <name val="Calibri"/>
      <b val="1"/>
      <sz val="11"/>
    </font>
  </fonts>
  <fills count="5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1F3864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3" fillId="0" borderId="0" pivotButton="0" quotePrefix="0" xfId="0"/>
    <xf numFmtId="164" fontId="0" fillId="2" borderId="1" pivotButton="0" quotePrefix="0" xfId="0"/>
    <xf numFmtId="165" fontId="0" fillId="2" borderId="1" pivotButton="0" quotePrefix="0" xfId="0"/>
    <xf numFmtId="165" fontId="0" fillId="0" borderId="1" pivotButton="0" quotePrefix="0" xfId="0"/>
    <xf numFmtId="0" fontId="4" fillId="3" borderId="1" applyAlignment="1" pivotButton="0" quotePrefix="0" xfId="0">
      <alignment horizontal="center" vertical="center" wrapText="1"/>
    </xf>
    <xf numFmtId="0" fontId="5" fillId="0" borderId="1" pivotButton="0" quotePrefix="0" xfId="0"/>
    <xf numFmtId="166" fontId="0" fillId="2" borderId="1" pivotButton="0" quotePrefix="0" xfId="0"/>
    <xf numFmtId="166" fontId="0" fillId="0" borderId="1" pivotButton="0" quotePrefix="0" xfId="0"/>
    <xf numFmtId="164" fontId="0" fillId="0" borderId="1" pivotButton="0" quotePrefix="0" xfId="0"/>
    <xf numFmtId="167" fontId="0" fillId="0" borderId="1" pivotButton="0" quotePrefix="0" xfId="0"/>
    <xf numFmtId="0" fontId="0" fillId="0" borderId="1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168" fontId="0" fillId="2" borderId="1" pivotButton="0" quotePrefix="0" xfId="0"/>
    <xf numFmtId="0" fontId="4" fillId="3" borderId="0" applyAlignment="1" pivotButton="0" quotePrefix="0" xfId="0">
      <alignment horizontal="center" vertical="center" wrapText="1"/>
    </xf>
    <xf numFmtId="0" fontId="5" fillId="4" borderId="1" pivotButton="0" quotePrefix="0" xfId="0"/>
    <xf numFmtId="166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Training vs Inference Capex Exposure by Sub-Segment</a:t>
            </a:r>
          </a:p>
        </rich>
      </tx>
    </title>
    <plotArea>
      <barChart>
        <barDir val="bar"/>
        <grouping val="stacked"/>
        <ser>
          <idx val="0"/>
          <order val="0"/>
          <tx>
            <strRef>
              <f>'Sub-Segment Exposures'!D3</f>
            </strRef>
          </tx>
          <spPr>
            <a:ln>
              <a:prstDash val="solid"/>
            </a:ln>
          </spPr>
          <cat>
            <numRef>
              <f>'Sub-Segment Exposures'!$A$4:$A$17</f>
            </numRef>
          </cat>
          <val>
            <numRef>
              <f>'Sub-Segment Exposures'!$D$4:$D$17</f>
            </numRef>
          </val>
        </ser>
        <ser>
          <idx val="1"/>
          <order val="1"/>
          <tx>
            <strRef>
              <f>'Sub-Segment Exposures'!E3</f>
            </strRef>
          </tx>
          <spPr>
            <a:ln>
              <a:prstDash val="solid"/>
            </a:ln>
          </spPr>
          <cat>
            <numRef>
              <f>'Sub-Segment Exposures'!$A$4:$A$17</f>
            </numRef>
          </cat>
          <val>
            <numRef>
              <f>'Sub-Segment Exposures'!$E$4:$E$17</f>
            </numRef>
          </val>
        </ser>
        <gapWidth val="150"/>
        <overlap val="10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19</row>
      <rowOff>0</rowOff>
    </from>
    <ext cx="864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24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10" customWidth="1" min="2" max="2"/>
  </cols>
  <sheetData>
    <row r="2">
      <c r="B2" s="1" t="inlineStr">
        <is>
          <t>AI Capex Spending Cut — Scenario Analysis</t>
        </is>
      </c>
    </row>
    <row r="3">
      <c r="B3" s="2" t="inlineStr">
        <is>
          <t>Impact on 2026E sales and EPS growth across AI supply-chain sub-segments, with training vs. inference capex exposure</t>
        </is>
      </c>
    </row>
    <row r="5">
      <c r="B5" s="3" t="inlineStr"/>
    </row>
    <row r="6">
      <c r="B6" s="4" t="inlineStr">
        <is>
          <t>HOW TO USE</t>
        </is>
      </c>
    </row>
    <row r="7">
      <c r="B7" s="3" t="inlineStr">
        <is>
          <t>• Yellow cells are inputs. Edit scenario capex growth rates on 'Scenario Assumptions' and segment exposures/baselines on 'Sub-Segment Exposures'; all downstream sheets recalculate automatically.</t>
        </is>
      </c>
    </row>
    <row r="8">
      <c r="B8" s="3" t="inlineStr"/>
    </row>
    <row r="9">
      <c r="B9" s="4" t="inlineStr">
        <is>
          <t>SHEET GUIDE</t>
        </is>
      </c>
    </row>
    <row r="10">
      <c r="B10" s="3" t="inlineStr">
        <is>
          <t>• Scenario Assumptions — global 2025E AI capex base, training/inference split, and four 2026E scenarios (Base, Mild Cut/Digestion, Moderate Cut/ROI Reset, Severe Cut/AI Winter) with separate training and inference capex growth paths.</t>
        </is>
      </c>
    </row>
    <row r="11">
      <c r="B11" s="3" t="inlineStr">
        <is>
          <t>• Sub-Segment Exposures — 14 sub-segments with: AI-capex revenue exposure (% of sales), training vs. inference capex exposure mix, EPS operating leverage, and baseline 2026E sales/EPS growth.</t>
        </is>
      </c>
    </row>
    <row r="12">
      <c r="B12" s="3" t="inlineStr">
        <is>
          <t>• Sales Growth Impact — per scenario: each segment's blended AI capex growth (weighted by its training/inference mix), the change in sales growth vs. Base (pp), and the resulting scenario sales growth.</t>
        </is>
      </c>
    </row>
    <row r="13">
      <c r="B13" s="3" t="inlineStr">
        <is>
          <t>• EPS Growth Impact — applies each segment's EPS leverage factor to the sales-growth delta to get scenario EPS growth.</t>
        </is>
      </c>
    </row>
    <row r="14">
      <c r="B14" s="3" t="inlineStr">
        <is>
          <t>• Summary Matrix — one-page view of sales and EPS growth by segment across all four scenarios (color-scaled).</t>
        </is>
      </c>
    </row>
    <row r="15">
      <c r="B15" s="3" t="inlineStr"/>
    </row>
    <row r="16">
      <c r="B16" s="4" t="inlineStr">
        <is>
          <t>METHODOLOGY</t>
        </is>
      </c>
    </row>
    <row r="17">
      <c r="B17" s="3" t="inlineStr">
        <is>
          <t>1. Each scenario specifies separate 2026E growth rates for TRAINING capex and INFERENCE capex. Cuts hit training first (frontier-model ROI scrutiny, efficiency gains such as distillation); inference is more resilient because it is tied to usage and revenue.</t>
        </is>
      </c>
    </row>
    <row r="18">
      <c r="B18" s="3" t="inlineStr">
        <is>
          <t>2. A segment's AI-linked revenue growth = (training exposure × training capex growth) + (inference exposure × inference capex growth).</t>
        </is>
      </c>
    </row>
    <row r="19">
      <c r="B19" s="3" t="inlineStr">
        <is>
          <t>3. Scenario sales growth = baseline sales growth + AI revenue exposure × (segment AI-linked growth in scenario − segment AI-linked growth in Base). Baseline growth is assumed to embed the Base capex case.</t>
        </is>
      </c>
    </row>
    <row r="20">
      <c r="B20" s="3" t="inlineStr">
        <is>
          <t>4. Scenario EPS growth = baseline EPS growth + (sales-growth delta × EPS leverage). Leverage reflects gross-margin/fixed-cost structure (memory ~2x, ODM servers ~1x, hyperscalers ~0.4x since lower capex cuts depreciation).</t>
        </is>
      </c>
    </row>
    <row r="21">
      <c r="B21" s="3" t="inlineStr"/>
    </row>
    <row r="22">
      <c r="B22" s="4" t="inlineStr">
        <is>
          <t>CAVEATS</t>
        </is>
      </c>
    </row>
    <row r="23">
      <c r="B23" s="3" t="inlineStr">
        <is>
          <t>• All figures are illustrative, directional estimates for scenario analysis — not consensus data and not investment advice. Exposures and baselines are approximations as of September 2026; replace with live estimates before relying on outputs.</t>
        </is>
      </c>
    </row>
    <row r="24">
      <c r="B24" s="3" t="inlineStr">
        <is>
          <t>• First-year sensitivities only: backlogs (semicap, power) and long leases (REITs) delay — not remove — the impact; multi-year effects would differ.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4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20" customWidth="1" min="2" max="2"/>
    <col width="20" customWidth="1" min="3" max="3"/>
    <col width="20" customWidth="1" min="4" max="4"/>
    <col width="22" customWidth="1" min="5" max="5"/>
    <col width="20" customWidth="1" min="6" max="6"/>
    <col width="78" customWidth="1" min="7" max="7"/>
  </cols>
  <sheetData>
    <row r="1">
      <c r="A1" s="1" t="inlineStr">
        <is>
          <t>Scenario Assumptions — 2026E AI Capex</t>
        </is>
      </c>
    </row>
    <row r="3">
      <c r="A3" s="5" t="inlineStr">
        <is>
          <t>Global AI capex (hyperscalers + neoclouds + enterprise)</t>
        </is>
      </c>
    </row>
    <row r="4">
      <c r="A4" t="inlineStr">
        <is>
          <t>2025E AI capex base ($bn)</t>
        </is>
      </c>
      <c r="B4" s="6" t="n">
        <v>475</v>
      </c>
    </row>
    <row r="5">
      <c r="A5" t="inlineStr">
        <is>
          <t>Training share of 2025E AI capex</t>
        </is>
      </c>
      <c r="B5" s="7" t="n">
        <v>0.55</v>
      </c>
    </row>
    <row r="6">
      <c r="A6" t="inlineStr">
        <is>
          <t>Inference share of 2025E AI capex</t>
        </is>
      </c>
      <c r="B6" s="8">
        <f>1-B5</f>
        <v/>
      </c>
    </row>
    <row r="8">
      <c r="A8" s="9" t="inlineStr">
        <is>
          <t>Scenario</t>
        </is>
      </c>
      <c r="B8" s="9" t="inlineStr">
        <is>
          <t>Training capex growth (26E y/y)</t>
        </is>
      </c>
      <c r="C8" s="9" t="inlineStr">
        <is>
          <t>Inference capex growth (26E y/y)</t>
        </is>
      </c>
      <c r="D8" s="9" t="inlineStr">
        <is>
          <t>Blended AI capex growth</t>
        </is>
      </c>
      <c r="E8" s="9" t="inlineStr">
        <is>
          <t>Implied 2026E AI capex ($bn)</t>
        </is>
      </c>
      <c r="F8" s="9" t="inlineStr">
        <is>
          <t>Δ vs Base Case ($bn)</t>
        </is>
      </c>
      <c r="G8" s="9" t="inlineStr">
        <is>
          <t>Narrative</t>
        </is>
      </c>
    </row>
    <row r="9" ht="42" customHeight="1">
      <c r="A9" s="10" t="inlineStr">
        <is>
          <t>Base Case</t>
        </is>
      </c>
      <c r="B9" s="11" t="n">
        <v>0.2</v>
      </c>
      <c r="C9" s="11" t="n">
        <v>0.45</v>
      </c>
      <c r="D9" s="12">
        <f>$B$5*B9+$B$6*C9</f>
        <v/>
      </c>
      <c r="E9" s="13">
        <f>$B$4*(1+D9)</f>
        <v/>
      </c>
      <c r="F9" s="14">
        <f>E9-$E$9</f>
        <v/>
      </c>
      <c r="G9" s="15" t="inlineStr">
        <is>
          <t>Hyperscaler capex guidance holds. Frontier training race continues; inference scales with copilot/agent adoption and token growth.</t>
        </is>
      </c>
    </row>
    <row r="10" ht="42" customHeight="1">
      <c r="A10" s="10" t="inlineStr">
        <is>
          <t>Mild Cut — Digestion</t>
        </is>
      </c>
      <c r="B10" s="11" t="n">
        <v>0</v>
      </c>
      <c r="C10" s="11" t="n">
        <v>0.3</v>
      </c>
      <c r="D10" s="12">
        <f>$B$5*B10+$B$6*C10</f>
        <v/>
      </c>
      <c r="E10" s="13">
        <f>$B$4*(1+D10)</f>
        <v/>
      </c>
      <c r="F10" s="14">
        <f>E10-$E$9</f>
        <v/>
      </c>
      <c r="G10" s="15" t="inlineStr">
        <is>
          <t>Budget digestion after three years of hypergrowth. Training efficiency gains (distillation, MoE, longer depreciation) trim frontier spend; inference growth stays intact.</t>
        </is>
      </c>
    </row>
    <row r="11" ht="42" customHeight="1">
      <c r="A11" s="10" t="inlineStr">
        <is>
          <t>Moderate Cut — ROI Reset</t>
        </is>
      </c>
      <c r="B11" s="11" t="n">
        <v>-0.2</v>
      </c>
      <c r="C11" s="11" t="n">
        <v>0.15</v>
      </c>
      <c r="D11" s="12">
        <f>$B$5*B11+$B$6*C11</f>
        <v/>
      </c>
      <c r="E11" s="13">
        <f>$B$4*(1+D11)</f>
        <v/>
      </c>
      <c r="F11" s="14">
        <f>E11-$E$9</f>
        <v/>
      </c>
      <c r="G11" s="15" t="inlineStr">
        <is>
          <t>ROI scrutiny bites. Training capex declines as fewer frontier labs compete and clusters are re-used; inference growth slows on a monetization lag.</t>
        </is>
      </c>
    </row>
    <row r="12" ht="42" customHeight="1">
      <c r="A12" s="10" t="inlineStr">
        <is>
          <t>Severe Cut — AI Winter</t>
        </is>
      </c>
      <c r="B12" s="11" t="n">
        <v>-0.45</v>
      </c>
      <c r="C12" s="11" t="n">
        <v>-0.1</v>
      </c>
      <c r="D12" s="12">
        <f>$B$5*B12+$B$6*C12</f>
        <v/>
      </c>
      <c r="E12" s="13">
        <f>$B$4*(1+D12)</f>
        <v/>
      </c>
      <c r="F12" s="14">
        <f>E12-$E$9</f>
        <v/>
      </c>
      <c r="G12" s="15" t="inlineStr">
        <is>
          <t>Funding pullback across labs and neoclouds. Training capex cut sharply; inference also contracts while the capacity overhang is absorbed.</t>
        </is>
      </c>
    </row>
    <row r="14" ht="30" customHeight="1">
      <c r="A14" s="16" t="inlineStr">
        <is>
          <t>Design principle: capex cuts hit TRAINING budgets first (frontier ROI scrutiny, model-efficiency gains), while INFERENCE capex is defended because it maps to live usage and revenue. Training-exposed segments therefore underperform in every cut scenario.</t>
        </is>
      </c>
    </row>
  </sheetData>
  <mergeCells count="1">
    <mergeCell ref="A14:G1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7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1" max="1"/>
    <col width="36" customWidth="1" min="2" max="2"/>
    <col width="15" customWidth="1" min="3" max="3"/>
    <col width="14" customWidth="1" min="4" max="4"/>
    <col width="14" customWidth="1" min="5" max="5"/>
    <col width="12" customWidth="1" min="6" max="6"/>
    <col width="14" customWidth="1" min="7" max="7"/>
    <col width="14" customWidth="1" min="8" max="8"/>
    <col width="70" customWidth="1" min="9" max="9"/>
  </cols>
  <sheetData>
    <row r="1">
      <c r="A1" s="1" t="inlineStr">
        <is>
          <t>Sub-Segment Exposures &amp; Baselines</t>
        </is>
      </c>
    </row>
    <row r="3" ht="58" customHeight="1">
      <c r="A3" s="9" t="inlineStr">
        <is>
          <t>Sub-segment</t>
        </is>
      </c>
      <c r="B3" s="9" t="inlineStr">
        <is>
          <t>Representative names</t>
        </is>
      </c>
      <c r="C3" s="9" t="inlineStr">
        <is>
          <t>AI capex revenue exposure (% of sales)</t>
        </is>
      </c>
      <c r="D3" s="9" t="inlineStr">
        <is>
          <t>Training capex exposure (% of AI rev)</t>
        </is>
      </c>
      <c r="E3" s="9" t="inlineStr">
        <is>
          <t>Inference capex exposure (% of AI rev)</t>
        </is>
      </c>
      <c r="F3" s="9" t="inlineStr">
        <is>
          <t>EPS leverage (x)</t>
        </is>
      </c>
      <c r="G3" s="9" t="inlineStr">
        <is>
          <t>Baseline 26E sales growth</t>
        </is>
      </c>
      <c r="H3" s="9" t="inlineStr">
        <is>
          <t>Baseline 26E EPS growth</t>
        </is>
      </c>
      <c r="I3" s="9" t="inlineStr">
        <is>
          <t>Notes</t>
        </is>
      </c>
    </row>
    <row r="4" ht="40" customHeight="1">
      <c r="A4" s="10" t="inlineStr">
        <is>
          <t>AI Accelerators (GPUs)</t>
        </is>
      </c>
      <c r="B4" s="15" t="inlineStr">
        <is>
          <t>NVIDIA, AMD</t>
        </is>
      </c>
      <c r="C4" s="7" t="n">
        <v>0.85</v>
      </c>
      <c r="D4" s="7" t="n">
        <v>0.55</v>
      </c>
      <c r="E4" s="8">
        <f>1-D4</f>
        <v/>
      </c>
      <c r="F4" s="17" t="n">
        <v>1.4</v>
      </c>
      <c r="G4" s="11" t="n">
        <v>0.35</v>
      </c>
      <c r="H4" s="11" t="n">
        <v>0.38</v>
      </c>
      <c r="I4" s="15" t="inlineStr">
        <is>
          <t>Data center is ~85-90% of NVDA revenue. Inference share of GPU demand rising but frontier training still sets the marginal order.</t>
        </is>
      </c>
    </row>
    <row r="5" ht="40" customHeight="1">
      <c r="A5" s="10" t="inlineStr">
        <is>
          <t>Custom AI ASICs (XPUs)</t>
        </is>
      </c>
      <c r="B5" s="15" t="inlineStr">
        <is>
          <t>Broadcom (AI), Marvell, Alchip</t>
        </is>
      </c>
      <c r="C5" s="7" t="n">
        <v>0.45</v>
      </c>
      <c r="D5" s="7" t="n">
        <v>0.45</v>
      </c>
      <c r="E5" s="8">
        <f>1-D5</f>
        <v/>
      </c>
      <c r="F5" s="17" t="n">
        <v>1.5</v>
      </c>
      <c r="G5" s="11" t="n">
        <v>0.32</v>
      </c>
      <c r="H5" s="11" t="n">
        <v>0.35</v>
      </c>
      <c r="I5" s="15" t="inlineStr">
        <is>
          <t>TPU / Trainium / MTIA programs skew to inference serving at scale; multi-year design wins add some backlog protection.</t>
        </is>
      </c>
    </row>
    <row r="6" ht="40" customHeight="1">
      <c r="A6" s="10" t="inlineStr">
        <is>
          <t>HBM &amp; AI DRAM</t>
        </is>
      </c>
      <c r="B6" s="15" t="inlineStr">
        <is>
          <t>Micron, SK Hynix, Samsung</t>
        </is>
      </c>
      <c r="C6" s="7" t="n">
        <v>0.4</v>
      </c>
      <c r="D6" s="7" t="n">
        <v>0.6</v>
      </c>
      <c r="E6" s="8">
        <f>1-D6</f>
        <v/>
      </c>
      <c r="F6" s="17" t="n">
        <v>2</v>
      </c>
      <c r="G6" s="11" t="n">
        <v>0.28</v>
      </c>
      <c r="H6" s="11" t="n">
        <v>0.45</v>
      </c>
      <c r="I6" s="15" t="inlineStr">
        <is>
          <t>HBM demand attaches to accelerator units (training-heavy). High fixed-cost model gives memory the largest EPS beta.</t>
        </is>
      </c>
    </row>
    <row r="7" ht="40" customHeight="1">
      <c r="A7" s="10" t="inlineStr">
        <is>
          <t>AI Networking (Switching/NICs)</t>
        </is>
      </c>
      <c r="B7" s="15" t="inlineStr">
        <is>
          <t>Arista, NVIDIA Networking, Broadcom, Cisco</t>
        </is>
      </c>
      <c r="C7" s="7" t="n">
        <v>0.5</v>
      </c>
      <c r="D7" s="7" t="n">
        <v>0.65</v>
      </c>
      <c r="E7" s="8">
        <f>1-D7</f>
        <v/>
      </c>
      <c r="F7" s="17" t="n">
        <v>1.4</v>
      </c>
      <c r="G7" s="11" t="n">
        <v>0.25</v>
      </c>
      <c r="H7" s="11" t="n">
        <v>0.28</v>
      </c>
      <c r="I7" s="15" t="inlineStr">
        <is>
          <t>Training clusters drive east-west fabric density (higher switch/optics content per GPU than inference pods).</t>
        </is>
      </c>
    </row>
    <row r="8" ht="40" customHeight="1">
      <c r="A8" s="10" t="inlineStr">
        <is>
          <t>Optical Transceivers &amp; Interconnect</t>
        </is>
      </c>
      <c r="B8" s="15" t="inlineStr">
        <is>
          <t>Coherent, Lumentum, Fabrinet, Credo</t>
        </is>
      </c>
      <c r="C8" s="7" t="n">
        <v>0.55</v>
      </c>
      <c r="D8" s="7" t="n">
        <v>0.6</v>
      </c>
      <c r="E8" s="8">
        <f>1-D8</f>
        <v/>
      </c>
      <c r="F8" s="17" t="n">
        <v>1.8</v>
      </c>
      <c r="G8" s="11" t="n">
        <v>0.3</v>
      </c>
      <c r="H8" s="11" t="n">
        <v>0.35</v>
      </c>
      <c r="I8" s="15" t="inlineStr">
        <is>
          <t>800G/1.6T ramps tied to large training fabrics; short lead times mean fast order response when capex changes.</t>
        </is>
      </c>
    </row>
    <row r="9" ht="40" customHeight="1">
      <c r="A9" s="10" t="inlineStr">
        <is>
          <t>Foundry &amp; Advanced Packaging</t>
        </is>
      </c>
      <c r="B9" s="15" t="inlineStr">
        <is>
          <t>TSMC (CoWoS/SoIC)</t>
        </is>
      </c>
      <c r="C9" s="7" t="n">
        <v>0.3</v>
      </c>
      <c r="D9" s="7" t="n">
        <v>0.55</v>
      </c>
      <c r="E9" s="8">
        <f>1-D9</f>
        <v/>
      </c>
      <c r="F9" s="17" t="n">
        <v>1.3</v>
      </c>
      <c r="G9" s="11" t="n">
        <v>0.18</v>
      </c>
      <c r="H9" s="11" t="n">
        <v>0.2</v>
      </c>
      <c r="I9" s="15" t="inlineStr">
        <is>
          <t>AI accelerators ~30% of revenue and rising; CoWoS capacity is the bottleneck. Long-term agreements dampen the first-year hit.</t>
        </is>
      </c>
    </row>
    <row r="10" ht="40" customHeight="1">
      <c r="A10" s="10" t="inlineStr">
        <is>
          <t>Semicap Equipment (WFE)</t>
        </is>
      </c>
      <c r="B10" s="15" t="inlineStr">
        <is>
          <t>ASML, Applied Materials, Lam, KLA</t>
        </is>
      </c>
      <c r="C10" s="7" t="n">
        <v>0.25</v>
      </c>
      <c r="D10" s="7" t="n">
        <v>0.55</v>
      </c>
      <c r="E10" s="8">
        <f>1-D10</f>
        <v/>
      </c>
      <c r="F10" s="17" t="n">
        <v>1.5</v>
      </c>
      <c r="G10" s="11" t="n">
        <v>0.12</v>
      </c>
      <c r="H10" s="11" t="n">
        <v>0.15</v>
      </c>
      <c r="I10" s="15" t="inlineStr">
        <is>
          <t>Second-order exposure: tool orders lag chip capex by 2-4 quarters, so cuts land with a delay but persist longer.</t>
        </is>
      </c>
    </row>
    <row r="11" ht="40" customHeight="1">
      <c r="A11" s="10" t="inlineStr">
        <is>
          <t>AI Servers (ODM/OEM)</t>
        </is>
      </c>
      <c r="B11" s="15" t="inlineStr">
        <is>
          <t>Supermicro, Dell ISG, HPE, Quanta, Wiwynn</t>
        </is>
      </c>
      <c r="C11" s="7" t="n">
        <v>0.5</v>
      </c>
      <c r="D11" s="7" t="n">
        <v>0.55</v>
      </c>
      <c r="E11" s="8">
        <f>1-D11</f>
        <v/>
      </c>
      <c r="F11" s="17" t="n">
        <v>1.1</v>
      </c>
      <c r="G11" s="11" t="n">
        <v>0.22</v>
      </c>
      <c r="H11" s="11" t="n">
        <v>0.18</v>
      </c>
      <c r="I11" s="15" t="inlineStr">
        <is>
          <t>Low-margin integration/pass-through: big revenue swings, smaller EPS leverage than component makers.</t>
        </is>
      </c>
    </row>
    <row r="12" ht="40" customHeight="1">
      <c r="A12" s="10" t="inlineStr">
        <is>
          <t>Power, Cooling &amp; Electricals</t>
        </is>
      </c>
      <c r="B12" s="15" t="inlineStr">
        <is>
          <t>Vertiv, Eaton, Schneider, Modine</t>
        </is>
      </c>
      <c r="C12" s="7" t="n">
        <v>0.35</v>
      </c>
      <c r="D12" s="7" t="n">
        <v>0.5</v>
      </c>
      <c r="E12" s="8">
        <f>1-D12</f>
        <v/>
      </c>
      <c r="F12" s="17" t="n">
        <v>1.3</v>
      </c>
      <c r="G12" s="11" t="n">
        <v>0.18</v>
      </c>
      <c r="H12" s="11" t="n">
        <v>0.22</v>
      </c>
      <c r="I12" s="15" t="inlineStr">
        <is>
          <t>Facility infrastructure is largely training/inference agnostic; multi-quarter backlog cushions the first year of a cut.</t>
        </is>
      </c>
    </row>
    <row r="13" ht="40" customHeight="1">
      <c r="A13" s="10" t="inlineStr">
        <is>
          <t>Data Center Colo &amp; REITs</t>
        </is>
      </c>
      <c r="B13" s="15" t="inlineStr">
        <is>
          <t>Digital Realty, Equinix, GDS</t>
        </is>
      </c>
      <c r="C13" s="7" t="n">
        <v>0.25</v>
      </c>
      <c r="D13" s="7" t="n">
        <v>0.45</v>
      </c>
      <c r="E13" s="8">
        <f>1-D13</f>
        <v/>
      </c>
      <c r="F13" s="17" t="n">
        <v>0.9</v>
      </c>
      <c r="G13" s="11" t="n">
        <v>0.12</v>
      </c>
      <c r="H13" s="11" t="n">
        <v>0.1</v>
      </c>
      <c r="I13" s="15" t="inlineStr">
        <is>
          <t>Long leases limit downside to in-place revenue; the hit shows up in bookings/pre-leasing and development yields.</t>
        </is>
      </c>
    </row>
    <row r="14" ht="40" customHeight="1">
      <c r="A14" s="10" t="inlineStr">
        <is>
          <t>Storage (Nearline HDD/eSSD)</t>
        </is>
      </c>
      <c r="B14" s="15" t="inlineStr">
        <is>
          <t>Seagate, Western Digital</t>
        </is>
      </c>
      <c r="C14" s="7" t="n">
        <v>0.2</v>
      </c>
      <c r="D14" s="7" t="n">
        <v>0.3</v>
      </c>
      <c r="E14" s="8">
        <f>1-D14</f>
        <v/>
      </c>
      <c r="F14" s="17" t="n">
        <v>1.6</v>
      </c>
      <c r="G14" s="11" t="n">
        <v>0.15</v>
      </c>
      <c r="H14" s="11" t="n">
        <v>0.25</v>
      </c>
      <c r="I14" s="15" t="inlineStr">
        <is>
          <t>Skews to inference/data-lake buildouts (retention of generated data); least training-dependent hardware segment.</t>
        </is>
      </c>
    </row>
    <row r="15" ht="40" customHeight="1">
      <c r="A15" s="10" t="inlineStr">
        <is>
          <t>EDA &amp; Semi IP</t>
        </is>
      </c>
      <c r="B15" s="15" t="inlineStr">
        <is>
          <t>Synopsys, Cadence, Arm</t>
        </is>
      </c>
      <c r="C15" s="7" t="n">
        <v>0.2</v>
      </c>
      <c r="D15" s="7" t="n">
        <v>0.6</v>
      </c>
      <c r="E15" s="8">
        <f>1-D15</f>
        <v/>
      </c>
      <c r="F15" s="17" t="n">
        <v>1.1</v>
      </c>
      <c r="G15" s="11" t="n">
        <v>0.12</v>
      </c>
      <c r="H15" s="11" t="n">
        <v>0.14</v>
      </c>
      <c r="I15" s="15" t="inlineStr">
        <is>
          <t>Design activity for training silicon drives bookings, but ratable revenue and backlog make near-term EPS resilient.</t>
        </is>
      </c>
    </row>
    <row r="16" ht="40" customHeight="1">
      <c r="A16" s="10" t="inlineStr">
        <is>
          <t>Neoclouds (GPU Cloud)</t>
        </is>
      </c>
      <c r="B16" s="15" t="inlineStr">
        <is>
          <t>CoreWeave, Nebius, Crusoe</t>
        </is>
      </c>
      <c r="C16" s="7" t="n">
        <v>0.95</v>
      </c>
      <c r="D16" s="7" t="n">
        <v>0.6</v>
      </c>
      <c r="E16" s="8">
        <f>1-D16</f>
        <v/>
      </c>
      <c r="F16" s="17" t="n">
        <v>2.2</v>
      </c>
      <c r="G16" s="11" t="n">
        <v>0.6</v>
      </c>
      <c r="H16" s="11" t="n">
        <v>0.8</v>
      </c>
      <c r="I16" s="15" t="inlineStr">
        <is>
          <t>Most sensitive segment: leveraged balance sheets plus utilization and GPU-price risk amplify any capex/demand cut.</t>
        </is>
      </c>
    </row>
    <row r="17" ht="40" customHeight="1">
      <c r="A17" s="10" t="inlineStr">
        <is>
          <t>Hyperscalers (AI Cloud Revenue)</t>
        </is>
      </c>
      <c r="B17" s="15" t="inlineStr">
        <is>
          <t>Microsoft, Alphabet, Amazon, Meta, Oracle</t>
        </is>
      </c>
      <c r="C17" s="7" t="n">
        <v>0.12</v>
      </c>
      <c r="D17" s="7" t="n">
        <v>0.3</v>
      </c>
      <c r="E17" s="8">
        <f>1-D17</f>
        <v/>
      </c>
      <c r="F17" s="17" t="n">
        <v>0.4</v>
      </c>
      <c r="G17" s="11" t="n">
        <v>0.13</v>
      </c>
      <c r="H17" s="11" t="n">
        <v>0.14</v>
      </c>
      <c r="I17" s="15" t="inlineStr">
        <is>
          <t>They are the spenders: a cut lowers depreciation and lifts near-term FCF/EPS, largely offsetting slower AI cloud revenue — low net EPS beta.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7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</cols>
  <sheetData>
    <row r="1">
      <c r="A1" s="1" t="inlineStr">
        <is>
          <t>Sales Growth Impact by Scenario (2026E)</t>
        </is>
      </c>
    </row>
    <row r="2">
      <c r="B2" s="18" t="inlineStr">
        <is>
          <t>Base Case</t>
        </is>
      </c>
      <c r="E2" s="18" t="inlineStr">
        <is>
          <t>Mild Cut — Digestion</t>
        </is>
      </c>
      <c r="H2" s="18" t="inlineStr">
        <is>
          <t>Moderate Cut — ROI Reset</t>
        </is>
      </c>
      <c r="K2" s="18" t="inlineStr">
        <is>
          <t>Severe Cut — AI Winter</t>
        </is>
      </c>
    </row>
    <row r="3" ht="45" customHeight="1">
      <c r="A3" s="9" t="inlineStr">
        <is>
          <t>Sub-segment</t>
        </is>
      </c>
      <c r="B3" s="9" t="inlineStr">
        <is>
          <t>Segment AI-linked capex growth</t>
        </is>
      </c>
      <c r="C3" s="9" t="inlineStr">
        <is>
          <t>Δ sales growth vs Base (pp)</t>
        </is>
      </c>
      <c r="D3" s="9" t="inlineStr">
        <is>
          <t>Scenario sales growth (26E)</t>
        </is>
      </c>
      <c r="E3" s="9" t="inlineStr">
        <is>
          <t>Segment AI-linked capex growth</t>
        </is>
      </c>
      <c r="F3" s="9" t="inlineStr">
        <is>
          <t>Δ sales growth vs Base (pp)</t>
        </is>
      </c>
      <c r="G3" s="9" t="inlineStr">
        <is>
          <t>Scenario sales growth (26E)</t>
        </is>
      </c>
      <c r="H3" s="9" t="inlineStr">
        <is>
          <t>Segment AI-linked capex growth</t>
        </is>
      </c>
      <c r="I3" s="9" t="inlineStr">
        <is>
          <t>Δ sales growth vs Base (pp)</t>
        </is>
      </c>
      <c r="J3" s="9" t="inlineStr">
        <is>
          <t>Scenario sales growth (26E)</t>
        </is>
      </c>
      <c r="K3" s="9" t="inlineStr">
        <is>
          <t>Segment AI-linked capex growth</t>
        </is>
      </c>
      <c r="L3" s="9" t="inlineStr">
        <is>
          <t>Δ sales growth vs Base (pp)</t>
        </is>
      </c>
      <c r="M3" s="9" t="inlineStr">
        <is>
          <t>Scenario sales growth (26E)</t>
        </is>
      </c>
    </row>
    <row r="4">
      <c r="A4" s="10">
        <f>'Sub-Segment Exposures'!A4</f>
        <v/>
      </c>
      <c r="B4" s="12">
        <f>'Sub-Segment Exposures'!$D4*'Scenario Assumptions'!B$9+'Sub-Segment Exposures'!$E4*'Scenario Assumptions'!C$9</f>
        <v/>
      </c>
      <c r="C4" s="12">
        <f>'Sub-Segment Exposures'!$C4*(B4-$B4)</f>
        <v/>
      </c>
      <c r="D4" s="12">
        <f>'Sub-Segment Exposures'!$G4+C4</f>
        <v/>
      </c>
      <c r="E4" s="12">
        <f>'Sub-Segment Exposures'!$D4*'Scenario Assumptions'!B$10+'Sub-Segment Exposures'!$E4*'Scenario Assumptions'!C$10</f>
        <v/>
      </c>
      <c r="F4" s="12">
        <f>'Sub-Segment Exposures'!$C4*(E4-$B4)</f>
        <v/>
      </c>
      <c r="G4" s="12">
        <f>'Sub-Segment Exposures'!$G4+F4</f>
        <v/>
      </c>
      <c r="H4" s="12">
        <f>'Sub-Segment Exposures'!$D4*'Scenario Assumptions'!B$11+'Sub-Segment Exposures'!$E4*'Scenario Assumptions'!C$11</f>
        <v/>
      </c>
      <c r="I4" s="12">
        <f>'Sub-Segment Exposures'!$C4*(H4-$B4)</f>
        <v/>
      </c>
      <c r="J4" s="12">
        <f>'Sub-Segment Exposures'!$G4+I4</f>
        <v/>
      </c>
      <c r="K4" s="12">
        <f>'Sub-Segment Exposures'!$D4*'Scenario Assumptions'!B$12+'Sub-Segment Exposures'!$E4*'Scenario Assumptions'!C$12</f>
        <v/>
      </c>
      <c r="L4" s="12">
        <f>'Sub-Segment Exposures'!$C4*(K4-$B4)</f>
        <v/>
      </c>
      <c r="M4" s="12">
        <f>'Sub-Segment Exposures'!$G4+L4</f>
        <v/>
      </c>
    </row>
    <row r="5">
      <c r="A5" s="19">
        <f>'Sub-Segment Exposures'!A5</f>
        <v/>
      </c>
      <c r="B5" s="20">
        <f>'Sub-Segment Exposures'!$D5*'Scenario Assumptions'!B$9+'Sub-Segment Exposures'!$E5*'Scenario Assumptions'!C$9</f>
        <v/>
      </c>
      <c r="C5" s="20">
        <f>'Sub-Segment Exposures'!$C5*(B5-$B5)</f>
        <v/>
      </c>
      <c r="D5" s="20">
        <f>'Sub-Segment Exposures'!$G5+C5</f>
        <v/>
      </c>
      <c r="E5" s="20">
        <f>'Sub-Segment Exposures'!$D5*'Scenario Assumptions'!B$10+'Sub-Segment Exposures'!$E5*'Scenario Assumptions'!C$10</f>
        <v/>
      </c>
      <c r="F5" s="20">
        <f>'Sub-Segment Exposures'!$C5*(E5-$B5)</f>
        <v/>
      </c>
      <c r="G5" s="20">
        <f>'Sub-Segment Exposures'!$G5+F5</f>
        <v/>
      </c>
      <c r="H5" s="20">
        <f>'Sub-Segment Exposures'!$D5*'Scenario Assumptions'!B$11+'Sub-Segment Exposures'!$E5*'Scenario Assumptions'!C$11</f>
        <v/>
      </c>
      <c r="I5" s="20">
        <f>'Sub-Segment Exposures'!$C5*(H5-$B5)</f>
        <v/>
      </c>
      <c r="J5" s="20">
        <f>'Sub-Segment Exposures'!$G5+I5</f>
        <v/>
      </c>
      <c r="K5" s="20">
        <f>'Sub-Segment Exposures'!$D5*'Scenario Assumptions'!B$12+'Sub-Segment Exposures'!$E5*'Scenario Assumptions'!C$12</f>
        <v/>
      </c>
      <c r="L5" s="20">
        <f>'Sub-Segment Exposures'!$C5*(K5-$B5)</f>
        <v/>
      </c>
      <c r="M5" s="20">
        <f>'Sub-Segment Exposures'!$G5+L5</f>
        <v/>
      </c>
    </row>
    <row r="6">
      <c r="A6" s="10">
        <f>'Sub-Segment Exposures'!A6</f>
        <v/>
      </c>
      <c r="B6" s="12">
        <f>'Sub-Segment Exposures'!$D6*'Scenario Assumptions'!B$9+'Sub-Segment Exposures'!$E6*'Scenario Assumptions'!C$9</f>
        <v/>
      </c>
      <c r="C6" s="12">
        <f>'Sub-Segment Exposures'!$C6*(B6-$B6)</f>
        <v/>
      </c>
      <c r="D6" s="12">
        <f>'Sub-Segment Exposures'!$G6+C6</f>
        <v/>
      </c>
      <c r="E6" s="12">
        <f>'Sub-Segment Exposures'!$D6*'Scenario Assumptions'!B$10+'Sub-Segment Exposures'!$E6*'Scenario Assumptions'!C$10</f>
        <v/>
      </c>
      <c r="F6" s="12">
        <f>'Sub-Segment Exposures'!$C6*(E6-$B6)</f>
        <v/>
      </c>
      <c r="G6" s="12">
        <f>'Sub-Segment Exposures'!$G6+F6</f>
        <v/>
      </c>
      <c r="H6" s="12">
        <f>'Sub-Segment Exposures'!$D6*'Scenario Assumptions'!B$11+'Sub-Segment Exposures'!$E6*'Scenario Assumptions'!C$11</f>
        <v/>
      </c>
      <c r="I6" s="12">
        <f>'Sub-Segment Exposures'!$C6*(H6-$B6)</f>
        <v/>
      </c>
      <c r="J6" s="12">
        <f>'Sub-Segment Exposures'!$G6+I6</f>
        <v/>
      </c>
      <c r="K6" s="12">
        <f>'Sub-Segment Exposures'!$D6*'Scenario Assumptions'!B$12+'Sub-Segment Exposures'!$E6*'Scenario Assumptions'!C$12</f>
        <v/>
      </c>
      <c r="L6" s="12">
        <f>'Sub-Segment Exposures'!$C6*(K6-$B6)</f>
        <v/>
      </c>
      <c r="M6" s="12">
        <f>'Sub-Segment Exposures'!$G6+L6</f>
        <v/>
      </c>
    </row>
    <row r="7">
      <c r="A7" s="19">
        <f>'Sub-Segment Exposures'!A7</f>
        <v/>
      </c>
      <c r="B7" s="20">
        <f>'Sub-Segment Exposures'!$D7*'Scenario Assumptions'!B$9+'Sub-Segment Exposures'!$E7*'Scenario Assumptions'!C$9</f>
        <v/>
      </c>
      <c r="C7" s="20">
        <f>'Sub-Segment Exposures'!$C7*(B7-$B7)</f>
        <v/>
      </c>
      <c r="D7" s="20">
        <f>'Sub-Segment Exposures'!$G7+C7</f>
        <v/>
      </c>
      <c r="E7" s="20">
        <f>'Sub-Segment Exposures'!$D7*'Scenario Assumptions'!B$10+'Sub-Segment Exposures'!$E7*'Scenario Assumptions'!C$10</f>
        <v/>
      </c>
      <c r="F7" s="20">
        <f>'Sub-Segment Exposures'!$C7*(E7-$B7)</f>
        <v/>
      </c>
      <c r="G7" s="20">
        <f>'Sub-Segment Exposures'!$G7+F7</f>
        <v/>
      </c>
      <c r="H7" s="20">
        <f>'Sub-Segment Exposures'!$D7*'Scenario Assumptions'!B$11+'Sub-Segment Exposures'!$E7*'Scenario Assumptions'!C$11</f>
        <v/>
      </c>
      <c r="I7" s="20">
        <f>'Sub-Segment Exposures'!$C7*(H7-$B7)</f>
        <v/>
      </c>
      <c r="J7" s="20">
        <f>'Sub-Segment Exposures'!$G7+I7</f>
        <v/>
      </c>
      <c r="K7" s="20">
        <f>'Sub-Segment Exposures'!$D7*'Scenario Assumptions'!B$12+'Sub-Segment Exposures'!$E7*'Scenario Assumptions'!C$12</f>
        <v/>
      </c>
      <c r="L7" s="20">
        <f>'Sub-Segment Exposures'!$C7*(K7-$B7)</f>
        <v/>
      </c>
      <c r="M7" s="20">
        <f>'Sub-Segment Exposures'!$G7+L7</f>
        <v/>
      </c>
    </row>
    <row r="8">
      <c r="A8" s="10">
        <f>'Sub-Segment Exposures'!A8</f>
        <v/>
      </c>
      <c r="B8" s="12">
        <f>'Sub-Segment Exposures'!$D8*'Scenario Assumptions'!B$9+'Sub-Segment Exposures'!$E8*'Scenario Assumptions'!C$9</f>
        <v/>
      </c>
      <c r="C8" s="12">
        <f>'Sub-Segment Exposures'!$C8*(B8-$B8)</f>
        <v/>
      </c>
      <c r="D8" s="12">
        <f>'Sub-Segment Exposures'!$G8+C8</f>
        <v/>
      </c>
      <c r="E8" s="12">
        <f>'Sub-Segment Exposures'!$D8*'Scenario Assumptions'!B$10+'Sub-Segment Exposures'!$E8*'Scenario Assumptions'!C$10</f>
        <v/>
      </c>
      <c r="F8" s="12">
        <f>'Sub-Segment Exposures'!$C8*(E8-$B8)</f>
        <v/>
      </c>
      <c r="G8" s="12">
        <f>'Sub-Segment Exposures'!$G8+F8</f>
        <v/>
      </c>
      <c r="H8" s="12">
        <f>'Sub-Segment Exposures'!$D8*'Scenario Assumptions'!B$11+'Sub-Segment Exposures'!$E8*'Scenario Assumptions'!C$11</f>
        <v/>
      </c>
      <c r="I8" s="12">
        <f>'Sub-Segment Exposures'!$C8*(H8-$B8)</f>
        <v/>
      </c>
      <c r="J8" s="12">
        <f>'Sub-Segment Exposures'!$G8+I8</f>
        <v/>
      </c>
      <c r="K8" s="12">
        <f>'Sub-Segment Exposures'!$D8*'Scenario Assumptions'!B$12+'Sub-Segment Exposures'!$E8*'Scenario Assumptions'!C$12</f>
        <v/>
      </c>
      <c r="L8" s="12">
        <f>'Sub-Segment Exposures'!$C8*(K8-$B8)</f>
        <v/>
      </c>
      <c r="M8" s="12">
        <f>'Sub-Segment Exposures'!$G8+L8</f>
        <v/>
      </c>
    </row>
    <row r="9">
      <c r="A9" s="19">
        <f>'Sub-Segment Exposures'!A9</f>
        <v/>
      </c>
      <c r="B9" s="20">
        <f>'Sub-Segment Exposures'!$D9*'Scenario Assumptions'!B$9+'Sub-Segment Exposures'!$E9*'Scenario Assumptions'!C$9</f>
        <v/>
      </c>
      <c r="C9" s="20">
        <f>'Sub-Segment Exposures'!$C9*(B9-$B9)</f>
        <v/>
      </c>
      <c r="D9" s="20">
        <f>'Sub-Segment Exposures'!$G9+C9</f>
        <v/>
      </c>
      <c r="E9" s="20">
        <f>'Sub-Segment Exposures'!$D9*'Scenario Assumptions'!B$10+'Sub-Segment Exposures'!$E9*'Scenario Assumptions'!C$10</f>
        <v/>
      </c>
      <c r="F9" s="20">
        <f>'Sub-Segment Exposures'!$C9*(E9-$B9)</f>
        <v/>
      </c>
      <c r="G9" s="20">
        <f>'Sub-Segment Exposures'!$G9+F9</f>
        <v/>
      </c>
      <c r="H9" s="20">
        <f>'Sub-Segment Exposures'!$D9*'Scenario Assumptions'!B$11+'Sub-Segment Exposures'!$E9*'Scenario Assumptions'!C$11</f>
        <v/>
      </c>
      <c r="I9" s="20">
        <f>'Sub-Segment Exposures'!$C9*(H9-$B9)</f>
        <v/>
      </c>
      <c r="J9" s="20">
        <f>'Sub-Segment Exposures'!$G9+I9</f>
        <v/>
      </c>
      <c r="K9" s="20">
        <f>'Sub-Segment Exposures'!$D9*'Scenario Assumptions'!B$12+'Sub-Segment Exposures'!$E9*'Scenario Assumptions'!C$12</f>
        <v/>
      </c>
      <c r="L9" s="20">
        <f>'Sub-Segment Exposures'!$C9*(K9-$B9)</f>
        <v/>
      </c>
      <c r="M9" s="20">
        <f>'Sub-Segment Exposures'!$G9+L9</f>
        <v/>
      </c>
    </row>
    <row r="10">
      <c r="A10" s="10">
        <f>'Sub-Segment Exposures'!A10</f>
        <v/>
      </c>
      <c r="B10" s="12">
        <f>'Sub-Segment Exposures'!$D10*'Scenario Assumptions'!B$9+'Sub-Segment Exposures'!$E10*'Scenario Assumptions'!C$9</f>
        <v/>
      </c>
      <c r="C10" s="12">
        <f>'Sub-Segment Exposures'!$C10*(B10-$B10)</f>
        <v/>
      </c>
      <c r="D10" s="12">
        <f>'Sub-Segment Exposures'!$G10+C10</f>
        <v/>
      </c>
      <c r="E10" s="12">
        <f>'Sub-Segment Exposures'!$D10*'Scenario Assumptions'!B$10+'Sub-Segment Exposures'!$E10*'Scenario Assumptions'!C$10</f>
        <v/>
      </c>
      <c r="F10" s="12">
        <f>'Sub-Segment Exposures'!$C10*(E10-$B10)</f>
        <v/>
      </c>
      <c r="G10" s="12">
        <f>'Sub-Segment Exposures'!$G10+F10</f>
        <v/>
      </c>
      <c r="H10" s="12">
        <f>'Sub-Segment Exposures'!$D10*'Scenario Assumptions'!B$11+'Sub-Segment Exposures'!$E10*'Scenario Assumptions'!C$11</f>
        <v/>
      </c>
      <c r="I10" s="12">
        <f>'Sub-Segment Exposures'!$C10*(H10-$B10)</f>
        <v/>
      </c>
      <c r="J10" s="12">
        <f>'Sub-Segment Exposures'!$G10+I10</f>
        <v/>
      </c>
      <c r="K10" s="12">
        <f>'Sub-Segment Exposures'!$D10*'Scenario Assumptions'!B$12+'Sub-Segment Exposures'!$E10*'Scenario Assumptions'!C$12</f>
        <v/>
      </c>
      <c r="L10" s="12">
        <f>'Sub-Segment Exposures'!$C10*(K10-$B10)</f>
        <v/>
      </c>
      <c r="M10" s="12">
        <f>'Sub-Segment Exposures'!$G10+L10</f>
        <v/>
      </c>
    </row>
    <row r="11">
      <c r="A11" s="19">
        <f>'Sub-Segment Exposures'!A11</f>
        <v/>
      </c>
      <c r="B11" s="20">
        <f>'Sub-Segment Exposures'!$D11*'Scenario Assumptions'!B$9+'Sub-Segment Exposures'!$E11*'Scenario Assumptions'!C$9</f>
        <v/>
      </c>
      <c r="C11" s="20">
        <f>'Sub-Segment Exposures'!$C11*(B11-$B11)</f>
        <v/>
      </c>
      <c r="D11" s="20">
        <f>'Sub-Segment Exposures'!$G11+C11</f>
        <v/>
      </c>
      <c r="E11" s="20">
        <f>'Sub-Segment Exposures'!$D11*'Scenario Assumptions'!B$10+'Sub-Segment Exposures'!$E11*'Scenario Assumptions'!C$10</f>
        <v/>
      </c>
      <c r="F11" s="20">
        <f>'Sub-Segment Exposures'!$C11*(E11-$B11)</f>
        <v/>
      </c>
      <c r="G11" s="20">
        <f>'Sub-Segment Exposures'!$G11+F11</f>
        <v/>
      </c>
      <c r="H11" s="20">
        <f>'Sub-Segment Exposures'!$D11*'Scenario Assumptions'!B$11+'Sub-Segment Exposures'!$E11*'Scenario Assumptions'!C$11</f>
        <v/>
      </c>
      <c r="I11" s="20">
        <f>'Sub-Segment Exposures'!$C11*(H11-$B11)</f>
        <v/>
      </c>
      <c r="J11" s="20">
        <f>'Sub-Segment Exposures'!$G11+I11</f>
        <v/>
      </c>
      <c r="K11" s="20">
        <f>'Sub-Segment Exposures'!$D11*'Scenario Assumptions'!B$12+'Sub-Segment Exposures'!$E11*'Scenario Assumptions'!C$12</f>
        <v/>
      </c>
      <c r="L11" s="20">
        <f>'Sub-Segment Exposures'!$C11*(K11-$B11)</f>
        <v/>
      </c>
      <c r="M11" s="20">
        <f>'Sub-Segment Exposures'!$G11+L11</f>
        <v/>
      </c>
    </row>
    <row r="12">
      <c r="A12" s="10">
        <f>'Sub-Segment Exposures'!A12</f>
        <v/>
      </c>
      <c r="B12" s="12">
        <f>'Sub-Segment Exposures'!$D12*'Scenario Assumptions'!B$9+'Sub-Segment Exposures'!$E12*'Scenario Assumptions'!C$9</f>
        <v/>
      </c>
      <c r="C12" s="12">
        <f>'Sub-Segment Exposures'!$C12*(B12-$B12)</f>
        <v/>
      </c>
      <c r="D12" s="12">
        <f>'Sub-Segment Exposures'!$G12+C12</f>
        <v/>
      </c>
      <c r="E12" s="12">
        <f>'Sub-Segment Exposures'!$D12*'Scenario Assumptions'!B$10+'Sub-Segment Exposures'!$E12*'Scenario Assumptions'!C$10</f>
        <v/>
      </c>
      <c r="F12" s="12">
        <f>'Sub-Segment Exposures'!$C12*(E12-$B12)</f>
        <v/>
      </c>
      <c r="G12" s="12">
        <f>'Sub-Segment Exposures'!$G12+F12</f>
        <v/>
      </c>
      <c r="H12" s="12">
        <f>'Sub-Segment Exposures'!$D12*'Scenario Assumptions'!B$11+'Sub-Segment Exposures'!$E12*'Scenario Assumptions'!C$11</f>
        <v/>
      </c>
      <c r="I12" s="12">
        <f>'Sub-Segment Exposures'!$C12*(H12-$B12)</f>
        <v/>
      </c>
      <c r="J12" s="12">
        <f>'Sub-Segment Exposures'!$G12+I12</f>
        <v/>
      </c>
      <c r="K12" s="12">
        <f>'Sub-Segment Exposures'!$D12*'Scenario Assumptions'!B$12+'Sub-Segment Exposures'!$E12*'Scenario Assumptions'!C$12</f>
        <v/>
      </c>
      <c r="L12" s="12">
        <f>'Sub-Segment Exposures'!$C12*(K12-$B12)</f>
        <v/>
      </c>
      <c r="M12" s="12">
        <f>'Sub-Segment Exposures'!$G12+L12</f>
        <v/>
      </c>
    </row>
    <row r="13">
      <c r="A13" s="19">
        <f>'Sub-Segment Exposures'!A13</f>
        <v/>
      </c>
      <c r="B13" s="20">
        <f>'Sub-Segment Exposures'!$D13*'Scenario Assumptions'!B$9+'Sub-Segment Exposures'!$E13*'Scenario Assumptions'!C$9</f>
        <v/>
      </c>
      <c r="C13" s="20">
        <f>'Sub-Segment Exposures'!$C13*(B13-$B13)</f>
        <v/>
      </c>
      <c r="D13" s="20">
        <f>'Sub-Segment Exposures'!$G13+C13</f>
        <v/>
      </c>
      <c r="E13" s="20">
        <f>'Sub-Segment Exposures'!$D13*'Scenario Assumptions'!B$10+'Sub-Segment Exposures'!$E13*'Scenario Assumptions'!C$10</f>
        <v/>
      </c>
      <c r="F13" s="20">
        <f>'Sub-Segment Exposures'!$C13*(E13-$B13)</f>
        <v/>
      </c>
      <c r="G13" s="20">
        <f>'Sub-Segment Exposures'!$G13+F13</f>
        <v/>
      </c>
      <c r="H13" s="20">
        <f>'Sub-Segment Exposures'!$D13*'Scenario Assumptions'!B$11+'Sub-Segment Exposures'!$E13*'Scenario Assumptions'!C$11</f>
        <v/>
      </c>
      <c r="I13" s="20">
        <f>'Sub-Segment Exposures'!$C13*(H13-$B13)</f>
        <v/>
      </c>
      <c r="J13" s="20">
        <f>'Sub-Segment Exposures'!$G13+I13</f>
        <v/>
      </c>
      <c r="K13" s="20">
        <f>'Sub-Segment Exposures'!$D13*'Scenario Assumptions'!B$12+'Sub-Segment Exposures'!$E13*'Scenario Assumptions'!C$12</f>
        <v/>
      </c>
      <c r="L13" s="20">
        <f>'Sub-Segment Exposures'!$C13*(K13-$B13)</f>
        <v/>
      </c>
      <c r="M13" s="20">
        <f>'Sub-Segment Exposures'!$G13+L13</f>
        <v/>
      </c>
    </row>
    <row r="14">
      <c r="A14" s="10">
        <f>'Sub-Segment Exposures'!A14</f>
        <v/>
      </c>
      <c r="B14" s="12">
        <f>'Sub-Segment Exposures'!$D14*'Scenario Assumptions'!B$9+'Sub-Segment Exposures'!$E14*'Scenario Assumptions'!C$9</f>
        <v/>
      </c>
      <c r="C14" s="12">
        <f>'Sub-Segment Exposures'!$C14*(B14-$B14)</f>
        <v/>
      </c>
      <c r="D14" s="12">
        <f>'Sub-Segment Exposures'!$G14+C14</f>
        <v/>
      </c>
      <c r="E14" s="12">
        <f>'Sub-Segment Exposures'!$D14*'Scenario Assumptions'!B$10+'Sub-Segment Exposures'!$E14*'Scenario Assumptions'!C$10</f>
        <v/>
      </c>
      <c r="F14" s="12">
        <f>'Sub-Segment Exposures'!$C14*(E14-$B14)</f>
        <v/>
      </c>
      <c r="G14" s="12">
        <f>'Sub-Segment Exposures'!$G14+F14</f>
        <v/>
      </c>
      <c r="H14" s="12">
        <f>'Sub-Segment Exposures'!$D14*'Scenario Assumptions'!B$11+'Sub-Segment Exposures'!$E14*'Scenario Assumptions'!C$11</f>
        <v/>
      </c>
      <c r="I14" s="12">
        <f>'Sub-Segment Exposures'!$C14*(H14-$B14)</f>
        <v/>
      </c>
      <c r="J14" s="12">
        <f>'Sub-Segment Exposures'!$G14+I14</f>
        <v/>
      </c>
      <c r="K14" s="12">
        <f>'Sub-Segment Exposures'!$D14*'Scenario Assumptions'!B$12+'Sub-Segment Exposures'!$E14*'Scenario Assumptions'!C$12</f>
        <v/>
      </c>
      <c r="L14" s="12">
        <f>'Sub-Segment Exposures'!$C14*(K14-$B14)</f>
        <v/>
      </c>
      <c r="M14" s="12">
        <f>'Sub-Segment Exposures'!$G14+L14</f>
        <v/>
      </c>
    </row>
    <row r="15">
      <c r="A15" s="19">
        <f>'Sub-Segment Exposures'!A15</f>
        <v/>
      </c>
      <c r="B15" s="20">
        <f>'Sub-Segment Exposures'!$D15*'Scenario Assumptions'!B$9+'Sub-Segment Exposures'!$E15*'Scenario Assumptions'!C$9</f>
        <v/>
      </c>
      <c r="C15" s="20">
        <f>'Sub-Segment Exposures'!$C15*(B15-$B15)</f>
        <v/>
      </c>
      <c r="D15" s="20">
        <f>'Sub-Segment Exposures'!$G15+C15</f>
        <v/>
      </c>
      <c r="E15" s="20">
        <f>'Sub-Segment Exposures'!$D15*'Scenario Assumptions'!B$10+'Sub-Segment Exposures'!$E15*'Scenario Assumptions'!C$10</f>
        <v/>
      </c>
      <c r="F15" s="20">
        <f>'Sub-Segment Exposures'!$C15*(E15-$B15)</f>
        <v/>
      </c>
      <c r="G15" s="20">
        <f>'Sub-Segment Exposures'!$G15+F15</f>
        <v/>
      </c>
      <c r="H15" s="20">
        <f>'Sub-Segment Exposures'!$D15*'Scenario Assumptions'!B$11+'Sub-Segment Exposures'!$E15*'Scenario Assumptions'!C$11</f>
        <v/>
      </c>
      <c r="I15" s="20">
        <f>'Sub-Segment Exposures'!$C15*(H15-$B15)</f>
        <v/>
      </c>
      <c r="J15" s="20">
        <f>'Sub-Segment Exposures'!$G15+I15</f>
        <v/>
      </c>
      <c r="K15" s="20">
        <f>'Sub-Segment Exposures'!$D15*'Scenario Assumptions'!B$12+'Sub-Segment Exposures'!$E15*'Scenario Assumptions'!C$12</f>
        <v/>
      </c>
      <c r="L15" s="20">
        <f>'Sub-Segment Exposures'!$C15*(K15-$B15)</f>
        <v/>
      </c>
      <c r="M15" s="20">
        <f>'Sub-Segment Exposures'!$G15+L15</f>
        <v/>
      </c>
    </row>
    <row r="16">
      <c r="A16" s="10">
        <f>'Sub-Segment Exposures'!A16</f>
        <v/>
      </c>
      <c r="B16" s="12">
        <f>'Sub-Segment Exposures'!$D16*'Scenario Assumptions'!B$9+'Sub-Segment Exposures'!$E16*'Scenario Assumptions'!C$9</f>
        <v/>
      </c>
      <c r="C16" s="12">
        <f>'Sub-Segment Exposures'!$C16*(B16-$B16)</f>
        <v/>
      </c>
      <c r="D16" s="12">
        <f>'Sub-Segment Exposures'!$G16+C16</f>
        <v/>
      </c>
      <c r="E16" s="12">
        <f>'Sub-Segment Exposures'!$D16*'Scenario Assumptions'!B$10+'Sub-Segment Exposures'!$E16*'Scenario Assumptions'!C$10</f>
        <v/>
      </c>
      <c r="F16" s="12">
        <f>'Sub-Segment Exposures'!$C16*(E16-$B16)</f>
        <v/>
      </c>
      <c r="G16" s="12">
        <f>'Sub-Segment Exposures'!$G16+F16</f>
        <v/>
      </c>
      <c r="H16" s="12">
        <f>'Sub-Segment Exposures'!$D16*'Scenario Assumptions'!B$11+'Sub-Segment Exposures'!$E16*'Scenario Assumptions'!C$11</f>
        <v/>
      </c>
      <c r="I16" s="12">
        <f>'Sub-Segment Exposures'!$C16*(H16-$B16)</f>
        <v/>
      </c>
      <c r="J16" s="12">
        <f>'Sub-Segment Exposures'!$G16+I16</f>
        <v/>
      </c>
      <c r="K16" s="12">
        <f>'Sub-Segment Exposures'!$D16*'Scenario Assumptions'!B$12+'Sub-Segment Exposures'!$E16*'Scenario Assumptions'!C$12</f>
        <v/>
      </c>
      <c r="L16" s="12">
        <f>'Sub-Segment Exposures'!$C16*(K16-$B16)</f>
        <v/>
      </c>
      <c r="M16" s="12">
        <f>'Sub-Segment Exposures'!$G16+L16</f>
        <v/>
      </c>
    </row>
    <row r="17">
      <c r="A17" s="19">
        <f>'Sub-Segment Exposures'!A17</f>
        <v/>
      </c>
      <c r="B17" s="20">
        <f>'Sub-Segment Exposures'!$D17*'Scenario Assumptions'!B$9+'Sub-Segment Exposures'!$E17*'Scenario Assumptions'!C$9</f>
        <v/>
      </c>
      <c r="C17" s="20">
        <f>'Sub-Segment Exposures'!$C17*(B17-$B17)</f>
        <v/>
      </c>
      <c r="D17" s="20">
        <f>'Sub-Segment Exposures'!$G17+C17</f>
        <v/>
      </c>
      <c r="E17" s="20">
        <f>'Sub-Segment Exposures'!$D17*'Scenario Assumptions'!B$10+'Sub-Segment Exposures'!$E17*'Scenario Assumptions'!C$10</f>
        <v/>
      </c>
      <c r="F17" s="20">
        <f>'Sub-Segment Exposures'!$C17*(E17-$B17)</f>
        <v/>
      </c>
      <c r="G17" s="20">
        <f>'Sub-Segment Exposures'!$G17+F17</f>
        <v/>
      </c>
      <c r="H17" s="20">
        <f>'Sub-Segment Exposures'!$D17*'Scenario Assumptions'!B$11+'Sub-Segment Exposures'!$E17*'Scenario Assumptions'!C$11</f>
        <v/>
      </c>
      <c r="I17" s="20">
        <f>'Sub-Segment Exposures'!$C17*(H17-$B17)</f>
        <v/>
      </c>
      <c r="J17" s="20">
        <f>'Sub-Segment Exposures'!$G17+I17</f>
        <v/>
      </c>
      <c r="K17" s="20">
        <f>'Sub-Segment Exposures'!$D17*'Scenario Assumptions'!B$12+'Sub-Segment Exposures'!$E17*'Scenario Assumptions'!C$12</f>
        <v/>
      </c>
      <c r="L17" s="20">
        <f>'Sub-Segment Exposures'!$C17*(K17-$B17)</f>
        <v/>
      </c>
      <c r="M17" s="20">
        <f>'Sub-Segment Exposures'!$G17+L17</f>
        <v/>
      </c>
    </row>
  </sheetData>
  <mergeCells count="4">
    <mergeCell ref="E2:G2"/>
    <mergeCell ref="K2:M2"/>
    <mergeCell ref="B2:D2"/>
    <mergeCell ref="H2:J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7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>
      <c r="A1" s="1" t="inlineStr">
        <is>
          <t>EPS Growth Impact by Scenario (2026E)</t>
        </is>
      </c>
    </row>
    <row r="2">
      <c r="B2" s="18" t="inlineStr">
        <is>
          <t>Base Case</t>
        </is>
      </c>
      <c r="D2" s="18" t="inlineStr">
        <is>
          <t>Mild Cut — Digestion</t>
        </is>
      </c>
      <c r="F2" s="18" t="inlineStr">
        <is>
          <t>Moderate Cut — ROI Reset</t>
        </is>
      </c>
      <c r="H2" s="18" t="inlineStr">
        <is>
          <t>Severe Cut — AI Winter</t>
        </is>
      </c>
    </row>
    <row r="3" ht="45" customHeight="1">
      <c r="A3" s="9" t="inlineStr">
        <is>
          <t>Sub-segment</t>
        </is>
      </c>
      <c r="B3" s="9" t="inlineStr">
        <is>
          <t>Δ EPS growth vs Base (pp)</t>
        </is>
      </c>
      <c r="C3" s="9" t="inlineStr">
        <is>
          <t>Scenario EPS growth (26E)</t>
        </is>
      </c>
      <c r="D3" s="9" t="inlineStr">
        <is>
          <t>Δ EPS growth vs Base (pp)</t>
        </is>
      </c>
      <c r="E3" s="9" t="inlineStr">
        <is>
          <t>Scenario EPS growth (26E)</t>
        </is>
      </c>
      <c r="F3" s="9" t="inlineStr">
        <is>
          <t>Δ EPS growth vs Base (pp)</t>
        </is>
      </c>
      <c r="G3" s="9" t="inlineStr">
        <is>
          <t>Scenario EPS growth (26E)</t>
        </is>
      </c>
      <c r="H3" s="9" t="inlineStr">
        <is>
          <t>Δ EPS growth vs Base (pp)</t>
        </is>
      </c>
      <c r="I3" s="9" t="inlineStr">
        <is>
          <t>Scenario EPS growth (26E)</t>
        </is>
      </c>
    </row>
    <row r="4">
      <c r="A4" s="10">
        <f>'Sub-Segment Exposures'!A4</f>
        <v/>
      </c>
      <c r="B4" s="12">
        <f>'Sub-Segment Exposures'!$F4*'Sales Growth Impact'!C4</f>
        <v/>
      </c>
      <c r="C4" s="12">
        <f>'Sub-Segment Exposures'!$H4+B4</f>
        <v/>
      </c>
      <c r="D4" s="12">
        <f>'Sub-Segment Exposures'!$F4*'Sales Growth Impact'!F4</f>
        <v/>
      </c>
      <c r="E4" s="12">
        <f>'Sub-Segment Exposures'!$H4+D4</f>
        <v/>
      </c>
      <c r="F4" s="12">
        <f>'Sub-Segment Exposures'!$F4*'Sales Growth Impact'!I4</f>
        <v/>
      </c>
      <c r="G4" s="12">
        <f>'Sub-Segment Exposures'!$H4+F4</f>
        <v/>
      </c>
      <c r="H4" s="12">
        <f>'Sub-Segment Exposures'!$F4*'Sales Growth Impact'!L4</f>
        <v/>
      </c>
      <c r="I4" s="12">
        <f>'Sub-Segment Exposures'!$H4+H4</f>
        <v/>
      </c>
    </row>
    <row r="5">
      <c r="A5" s="19">
        <f>'Sub-Segment Exposures'!A5</f>
        <v/>
      </c>
      <c r="B5" s="20">
        <f>'Sub-Segment Exposures'!$F5*'Sales Growth Impact'!C5</f>
        <v/>
      </c>
      <c r="C5" s="20">
        <f>'Sub-Segment Exposures'!$H5+B5</f>
        <v/>
      </c>
      <c r="D5" s="20">
        <f>'Sub-Segment Exposures'!$F5*'Sales Growth Impact'!F5</f>
        <v/>
      </c>
      <c r="E5" s="20">
        <f>'Sub-Segment Exposures'!$H5+D5</f>
        <v/>
      </c>
      <c r="F5" s="20">
        <f>'Sub-Segment Exposures'!$F5*'Sales Growth Impact'!I5</f>
        <v/>
      </c>
      <c r="G5" s="20">
        <f>'Sub-Segment Exposures'!$H5+F5</f>
        <v/>
      </c>
      <c r="H5" s="20">
        <f>'Sub-Segment Exposures'!$F5*'Sales Growth Impact'!L5</f>
        <v/>
      </c>
      <c r="I5" s="20">
        <f>'Sub-Segment Exposures'!$H5+H5</f>
        <v/>
      </c>
    </row>
    <row r="6">
      <c r="A6" s="10">
        <f>'Sub-Segment Exposures'!A6</f>
        <v/>
      </c>
      <c r="B6" s="12">
        <f>'Sub-Segment Exposures'!$F6*'Sales Growth Impact'!C6</f>
        <v/>
      </c>
      <c r="C6" s="12">
        <f>'Sub-Segment Exposures'!$H6+B6</f>
        <v/>
      </c>
      <c r="D6" s="12">
        <f>'Sub-Segment Exposures'!$F6*'Sales Growth Impact'!F6</f>
        <v/>
      </c>
      <c r="E6" s="12">
        <f>'Sub-Segment Exposures'!$H6+D6</f>
        <v/>
      </c>
      <c r="F6" s="12">
        <f>'Sub-Segment Exposures'!$F6*'Sales Growth Impact'!I6</f>
        <v/>
      </c>
      <c r="G6" s="12">
        <f>'Sub-Segment Exposures'!$H6+F6</f>
        <v/>
      </c>
      <c r="H6" s="12">
        <f>'Sub-Segment Exposures'!$F6*'Sales Growth Impact'!L6</f>
        <v/>
      </c>
      <c r="I6" s="12">
        <f>'Sub-Segment Exposures'!$H6+H6</f>
        <v/>
      </c>
    </row>
    <row r="7">
      <c r="A7" s="19">
        <f>'Sub-Segment Exposures'!A7</f>
        <v/>
      </c>
      <c r="B7" s="20">
        <f>'Sub-Segment Exposures'!$F7*'Sales Growth Impact'!C7</f>
        <v/>
      </c>
      <c r="C7" s="20">
        <f>'Sub-Segment Exposures'!$H7+B7</f>
        <v/>
      </c>
      <c r="D7" s="20">
        <f>'Sub-Segment Exposures'!$F7*'Sales Growth Impact'!F7</f>
        <v/>
      </c>
      <c r="E7" s="20">
        <f>'Sub-Segment Exposures'!$H7+D7</f>
        <v/>
      </c>
      <c r="F7" s="20">
        <f>'Sub-Segment Exposures'!$F7*'Sales Growth Impact'!I7</f>
        <v/>
      </c>
      <c r="G7" s="20">
        <f>'Sub-Segment Exposures'!$H7+F7</f>
        <v/>
      </c>
      <c r="H7" s="20">
        <f>'Sub-Segment Exposures'!$F7*'Sales Growth Impact'!L7</f>
        <v/>
      </c>
      <c r="I7" s="20">
        <f>'Sub-Segment Exposures'!$H7+H7</f>
        <v/>
      </c>
    </row>
    <row r="8">
      <c r="A8" s="10">
        <f>'Sub-Segment Exposures'!A8</f>
        <v/>
      </c>
      <c r="B8" s="12">
        <f>'Sub-Segment Exposures'!$F8*'Sales Growth Impact'!C8</f>
        <v/>
      </c>
      <c r="C8" s="12">
        <f>'Sub-Segment Exposures'!$H8+B8</f>
        <v/>
      </c>
      <c r="D8" s="12">
        <f>'Sub-Segment Exposures'!$F8*'Sales Growth Impact'!F8</f>
        <v/>
      </c>
      <c r="E8" s="12">
        <f>'Sub-Segment Exposures'!$H8+D8</f>
        <v/>
      </c>
      <c r="F8" s="12">
        <f>'Sub-Segment Exposures'!$F8*'Sales Growth Impact'!I8</f>
        <v/>
      </c>
      <c r="G8" s="12">
        <f>'Sub-Segment Exposures'!$H8+F8</f>
        <v/>
      </c>
      <c r="H8" s="12">
        <f>'Sub-Segment Exposures'!$F8*'Sales Growth Impact'!L8</f>
        <v/>
      </c>
      <c r="I8" s="12">
        <f>'Sub-Segment Exposures'!$H8+H8</f>
        <v/>
      </c>
    </row>
    <row r="9">
      <c r="A9" s="19">
        <f>'Sub-Segment Exposures'!A9</f>
        <v/>
      </c>
      <c r="B9" s="20">
        <f>'Sub-Segment Exposures'!$F9*'Sales Growth Impact'!C9</f>
        <v/>
      </c>
      <c r="C9" s="20">
        <f>'Sub-Segment Exposures'!$H9+B9</f>
        <v/>
      </c>
      <c r="D9" s="20">
        <f>'Sub-Segment Exposures'!$F9*'Sales Growth Impact'!F9</f>
        <v/>
      </c>
      <c r="E9" s="20">
        <f>'Sub-Segment Exposures'!$H9+D9</f>
        <v/>
      </c>
      <c r="F9" s="20">
        <f>'Sub-Segment Exposures'!$F9*'Sales Growth Impact'!I9</f>
        <v/>
      </c>
      <c r="G9" s="20">
        <f>'Sub-Segment Exposures'!$H9+F9</f>
        <v/>
      </c>
      <c r="H9" s="20">
        <f>'Sub-Segment Exposures'!$F9*'Sales Growth Impact'!L9</f>
        <v/>
      </c>
      <c r="I9" s="20">
        <f>'Sub-Segment Exposures'!$H9+H9</f>
        <v/>
      </c>
    </row>
    <row r="10">
      <c r="A10" s="10">
        <f>'Sub-Segment Exposures'!A10</f>
        <v/>
      </c>
      <c r="B10" s="12">
        <f>'Sub-Segment Exposures'!$F10*'Sales Growth Impact'!C10</f>
        <v/>
      </c>
      <c r="C10" s="12">
        <f>'Sub-Segment Exposures'!$H10+B10</f>
        <v/>
      </c>
      <c r="D10" s="12">
        <f>'Sub-Segment Exposures'!$F10*'Sales Growth Impact'!F10</f>
        <v/>
      </c>
      <c r="E10" s="12">
        <f>'Sub-Segment Exposures'!$H10+D10</f>
        <v/>
      </c>
      <c r="F10" s="12">
        <f>'Sub-Segment Exposures'!$F10*'Sales Growth Impact'!I10</f>
        <v/>
      </c>
      <c r="G10" s="12">
        <f>'Sub-Segment Exposures'!$H10+F10</f>
        <v/>
      </c>
      <c r="H10" s="12">
        <f>'Sub-Segment Exposures'!$F10*'Sales Growth Impact'!L10</f>
        <v/>
      </c>
      <c r="I10" s="12">
        <f>'Sub-Segment Exposures'!$H10+H10</f>
        <v/>
      </c>
    </row>
    <row r="11">
      <c r="A11" s="19">
        <f>'Sub-Segment Exposures'!A11</f>
        <v/>
      </c>
      <c r="B11" s="20">
        <f>'Sub-Segment Exposures'!$F11*'Sales Growth Impact'!C11</f>
        <v/>
      </c>
      <c r="C11" s="20">
        <f>'Sub-Segment Exposures'!$H11+B11</f>
        <v/>
      </c>
      <c r="D11" s="20">
        <f>'Sub-Segment Exposures'!$F11*'Sales Growth Impact'!F11</f>
        <v/>
      </c>
      <c r="E11" s="20">
        <f>'Sub-Segment Exposures'!$H11+D11</f>
        <v/>
      </c>
      <c r="F11" s="20">
        <f>'Sub-Segment Exposures'!$F11*'Sales Growth Impact'!I11</f>
        <v/>
      </c>
      <c r="G11" s="20">
        <f>'Sub-Segment Exposures'!$H11+F11</f>
        <v/>
      </c>
      <c r="H11" s="20">
        <f>'Sub-Segment Exposures'!$F11*'Sales Growth Impact'!L11</f>
        <v/>
      </c>
      <c r="I11" s="20">
        <f>'Sub-Segment Exposures'!$H11+H11</f>
        <v/>
      </c>
    </row>
    <row r="12">
      <c r="A12" s="10">
        <f>'Sub-Segment Exposures'!A12</f>
        <v/>
      </c>
      <c r="B12" s="12">
        <f>'Sub-Segment Exposures'!$F12*'Sales Growth Impact'!C12</f>
        <v/>
      </c>
      <c r="C12" s="12">
        <f>'Sub-Segment Exposures'!$H12+B12</f>
        <v/>
      </c>
      <c r="D12" s="12">
        <f>'Sub-Segment Exposures'!$F12*'Sales Growth Impact'!F12</f>
        <v/>
      </c>
      <c r="E12" s="12">
        <f>'Sub-Segment Exposures'!$H12+D12</f>
        <v/>
      </c>
      <c r="F12" s="12">
        <f>'Sub-Segment Exposures'!$F12*'Sales Growth Impact'!I12</f>
        <v/>
      </c>
      <c r="G12" s="12">
        <f>'Sub-Segment Exposures'!$H12+F12</f>
        <v/>
      </c>
      <c r="H12" s="12">
        <f>'Sub-Segment Exposures'!$F12*'Sales Growth Impact'!L12</f>
        <v/>
      </c>
      <c r="I12" s="12">
        <f>'Sub-Segment Exposures'!$H12+H12</f>
        <v/>
      </c>
    </row>
    <row r="13">
      <c r="A13" s="19">
        <f>'Sub-Segment Exposures'!A13</f>
        <v/>
      </c>
      <c r="B13" s="20">
        <f>'Sub-Segment Exposures'!$F13*'Sales Growth Impact'!C13</f>
        <v/>
      </c>
      <c r="C13" s="20">
        <f>'Sub-Segment Exposures'!$H13+B13</f>
        <v/>
      </c>
      <c r="D13" s="20">
        <f>'Sub-Segment Exposures'!$F13*'Sales Growth Impact'!F13</f>
        <v/>
      </c>
      <c r="E13" s="20">
        <f>'Sub-Segment Exposures'!$H13+D13</f>
        <v/>
      </c>
      <c r="F13" s="20">
        <f>'Sub-Segment Exposures'!$F13*'Sales Growth Impact'!I13</f>
        <v/>
      </c>
      <c r="G13" s="20">
        <f>'Sub-Segment Exposures'!$H13+F13</f>
        <v/>
      </c>
      <c r="H13" s="20">
        <f>'Sub-Segment Exposures'!$F13*'Sales Growth Impact'!L13</f>
        <v/>
      </c>
      <c r="I13" s="20">
        <f>'Sub-Segment Exposures'!$H13+H13</f>
        <v/>
      </c>
    </row>
    <row r="14">
      <c r="A14" s="10">
        <f>'Sub-Segment Exposures'!A14</f>
        <v/>
      </c>
      <c r="B14" s="12">
        <f>'Sub-Segment Exposures'!$F14*'Sales Growth Impact'!C14</f>
        <v/>
      </c>
      <c r="C14" s="12">
        <f>'Sub-Segment Exposures'!$H14+B14</f>
        <v/>
      </c>
      <c r="D14" s="12">
        <f>'Sub-Segment Exposures'!$F14*'Sales Growth Impact'!F14</f>
        <v/>
      </c>
      <c r="E14" s="12">
        <f>'Sub-Segment Exposures'!$H14+D14</f>
        <v/>
      </c>
      <c r="F14" s="12">
        <f>'Sub-Segment Exposures'!$F14*'Sales Growth Impact'!I14</f>
        <v/>
      </c>
      <c r="G14" s="12">
        <f>'Sub-Segment Exposures'!$H14+F14</f>
        <v/>
      </c>
      <c r="H14" s="12">
        <f>'Sub-Segment Exposures'!$F14*'Sales Growth Impact'!L14</f>
        <v/>
      </c>
      <c r="I14" s="12">
        <f>'Sub-Segment Exposures'!$H14+H14</f>
        <v/>
      </c>
    </row>
    <row r="15">
      <c r="A15" s="19">
        <f>'Sub-Segment Exposures'!A15</f>
        <v/>
      </c>
      <c r="B15" s="20">
        <f>'Sub-Segment Exposures'!$F15*'Sales Growth Impact'!C15</f>
        <v/>
      </c>
      <c r="C15" s="20">
        <f>'Sub-Segment Exposures'!$H15+B15</f>
        <v/>
      </c>
      <c r="D15" s="20">
        <f>'Sub-Segment Exposures'!$F15*'Sales Growth Impact'!F15</f>
        <v/>
      </c>
      <c r="E15" s="20">
        <f>'Sub-Segment Exposures'!$H15+D15</f>
        <v/>
      </c>
      <c r="F15" s="20">
        <f>'Sub-Segment Exposures'!$F15*'Sales Growth Impact'!I15</f>
        <v/>
      </c>
      <c r="G15" s="20">
        <f>'Sub-Segment Exposures'!$H15+F15</f>
        <v/>
      </c>
      <c r="H15" s="20">
        <f>'Sub-Segment Exposures'!$F15*'Sales Growth Impact'!L15</f>
        <v/>
      </c>
      <c r="I15" s="20">
        <f>'Sub-Segment Exposures'!$H15+H15</f>
        <v/>
      </c>
    </row>
    <row r="16">
      <c r="A16" s="10">
        <f>'Sub-Segment Exposures'!A16</f>
        <v/>
      </c>
      <c r="B16" s="12">
        <f>'Sub-Segment Exposures'!$F16*'Sales Growth Impact'!C16</f>
        <v/>
      </c>
      <c r="C16" s="12">
        <f>'Sub-Segment Exposures'!$H16+B16</f>
        <v/>
      </c>
      <c r="D16" s="12">
        <f>'Sub-Segment Exposures'!$F16*'Sales Growth Impact'!F16</f>
        <v/>
      </c>
      <c r="E16" s="12">
        <f>'Sub-Segment Exposures'!$H16+D16</f>
        <v/>
      </c>
      <c r="F16" s="12">
        <f>'Sub-Segment Exposures'!$F16*'Sales Growth Impact'!I16</f>
        <v/>
      </c>
      <c r="G16" s="12">
        <f>'Sub-Segment Exposures'!$H16+F16</f>
        <v/>
      </c>
      <c r="H16" s="12">
        <f>'Sub-Segment Exposures'!$F16*'Sales Growth Impact'!L16</f>
        <v/>
      </c>
      <c r="I16" s="12">
        <f>'Sub-Segment Exposures'!$H16+H16</f>
        <v/>
      </c>
    </row>
    <row r="17">
      <c r="A17" s="19">
        <f>'Sub-Segment Exposures'!A17</f>
        <v/>
      </c>
      <c r="B17" s="20">
        <f>'Sub-Segment Exposures'!$F17*'Sales Growth Impact'!C17</f>
        <v/>
      </c>
      <c r="C17" s="20">
        <f>'Sub-Segment Exposures'!$H17+B17</f>
        <v/>
      </c>
      <c r="D17" s="20">
        <f>'Sub-Segment Exposures'!$F17*'Sales Growth Impact'!F17</f>
        <v/>
      </c>
      <c r="E17" s="20">
        <f>'Sub-Segment Exposures'!$H17+D17</f>
        <v/>
      </c>
      <c r="F17" s="20">
        <f>'Sub-Segment Exposures'!$F17*'Sales Growth Impact'!I17</f>
        <v/>
      </c>
      <c r="G17" s="20">
        <f>'Sub-Segment Exposures'!$H17+F17</f>
        <v/>
      </c>
      <c r="H17" s="20">
        <f>'Sub-Segment Exposures'!$F17*'Sales Growth Impact'!L17</f>
        <v/>
      </c>
      <c r="I17" s="20">
        <f>'Sub-Segment Exposures'!$H17+H17</f>
        <v/>
      </c>
    </row>
  </sheetData>
  <mergeCells count="4">
    <mergeCell ref="F2:G2"/>
    <mergeCell ref="B2:C2"/>
    <mergeCell ref="H2:I2"/>
    <mergeCell ref="D2:E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36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1" max="1"/>
    <col width="17" customWidth="1" min="2" max="2"/>
    <col width="17" customWidth="1" min="3" max="3"/>
    <col width="17" customWidth="1" min="4" max="4"/>
    <col width="17" customWidth="1" min="5" max="5"/>
  </cols>
  <sheetData>
    <row r="1">
      <c r="A1" s="1" t="inlineStr">
        <is>
          <t>Summary — 2026E Growth by Scenario</t>
        </is>
      </c>
    </row>
    <row r="3">
      <c r="A3" s="5" t="inlineStr">
        <is>
          <t>2026E revenue growth by scenario</t>
        </is>
      </c>
    </row>
    <row r="4" ht="30" customHeight="1">
      <c r="A4" s="9" t="inlineStr">
        <is>
          <t>Sub-segment</t>
        </is>
      </c>
      <c r="B4" s="9" t="inlineStr">
        <is>
          <t>Base Case</t>
        </is>
      </c>
      <c r="C4" s="9" t="inlineStr">
        <is>
          <t>Mild Cut — Digestion</t>
        </is>
      </c>
      <c r="D4" s="9" t="inlineStr">
        <is>
          <t>Moderate Cut — ROI Reset</t>
        </is>
      </c>
      <c r="E4" s="9" t="inlineStr">
        <is>
          <t>Severe Cut — AI Winter</t>
        </is>
      </c>
    </row>
    <row r="5">
      <c r="A5" s="10">
        <f>'Sub-Segment Exposures'!A4</f>
        <v/>
      </c>
      <c r="B5" s="12">
        <f>'Sales Growth Impact'!D4</f>
        <v/>
      </c>
      <c r="C5" s="12">
        <f>'Sales Growth Impact'!G4</f>
        <v/>
      </c>
      <c r="D5" s="12">
        <f>'Sales Growth Impact'!J4</f>
        <v/>
      </c>
      <c r="E5" s="12">
        <f>'Sales Growth Impact'!M4</f>
        <v/>
      </c>
    </row>
    <row r="6">
      <c r="A6" s="10">
        <f>'Sub-Segment Exposures'!A5</f>
        <v/>
      </c>
      <c r="B6" s="12">
        <f>'Sales Growth Impact'!D5</f>
        <v/>
      </c>
      <c r="C6" s="12">
        <f>'Sales Growth Impact'!G5</f>
        <v/>
      </c>
      <c r="D6" s="12">
        <f>'Sales Growth Impact'!J5</f>
        <v/>
      </c>
      <c r="E6" s="12">
        <f>'Sales Growth Impact'!M5</f>
        <v/>
      </c>
    </row>
    <row r="7">
      <c r="A7" s="10">
        <f>'Sub-Segment Exposures'!A6</f>
        <v/>
      </c>
      <c r="B7" s="12">
        <f>'Sales Growth Impact'!D6</f>
        <v/>
      </c>
      <c r="C7" s="12">
        <f>'Sales Growth Impact'!G6</f>
        <v/>
      </c>
      <c r="D7" s="12">
        <f>'Sales Growth Impact'!J6</f>
        <v/>
      </c>
      <c r="E7" s="12">
        <f>'Sales Growth Impact'!M6</f>
        <v/>
      </c>
    </row>
    <row r="8">
      <c r="A8" s="10">
        <f>'Sub-Segment Exposures'!A7</f>
        <v/>
      </c>
      <c r="B8" s="12">
        <f>'Sales Growth Impact'!D7</f>
        <v/>
      </c>
      <c r="C8" s="12">
        <f>'Sales Growth Impact'!G7</f>
        <v/>
      </c>
      <c r="D8" s="12">
        <f>'Sales Growth Impact'!J7</f>
        <v/>
      </c>
      <c r="E8" s="12">
        <f>'Sales Growth Impact'!M7</f>
        <v/>
      </c>
    </row>
    <row r="9">
      <c r="A9" s="10">
        <f>'Sub-Segment Exposures'!A8</f>
        <v/>
      </c>
      <c r="B9" s="12">
        <f>'Sales Growth Impact'!D8</f>
        <v/>
      </c>
      <c r="C9" s="12">
        <f>'Sales Growth Impact'!G8</f>
        <v/>
      </c>
      <c r="D9" s="12">
        <f>'Sales Growth Impact'!J8</f>
        <v/>
      </c>
      <c r="E9" s="12">
        <f>'Sales Growth Impact'!M8</f>
        <v/>
      </c>
    </row>
    <row r="10">
      <c r="A10" s="10">
        <f>'Sub-Segment Exposures'!A9</f>
        <v/>
      </c>
      <c r="B10" s="12">
        <f>'Sales Growth Impact'!D9</f>
        <v/>
      </c>
      <c r="C10" s="12">
        <f>'Sales Growth Impact'!G9</f>
        <v/>
      </c>
      <c r="D10" s="12">
        <f>'Sales Growth Impact'!J9</f>
        <v/>
      </c>
      <c r="E10" s="12">
        <f>'Sales Growth Impact'!M9</f>
        <v/>
      </c>
    </row>
    <row r="11">
      <c r="A11" s="10">
        <f>'Sub-Segment Exposures'!A10</f>
        <v/>
      </c>
      <c r="B11" s="12">
        <f>'Sales Growth Impact'!D10</f>
        <v/>
      </c>
      <c r="C11" s="12">
        <f>'Sales Growth Impact'!G10</f>
        <v/>
      </c>
      <c r="D11" s="12">
        <f>'Sales Growth Impact'!J10</f>
        <v/>
      </c>
      <c r="E11" s="12">
        <f>'Sales Growth Impact'!M10</f>
        <v/>
      </c>
    </row>
    <row r="12">
      <c r="A12" s="10">
        <f>'Sub-Segment Exposures'!A11</f>
        <v/>
      </c>
      <c r="B12" s="12">
        <f>'Sales Growth Impact'!D11</f>
        <v/>
      </c>
      <c r="C12" s="12">
        <f>'Sales Growth Impact'!G11</f>
        <v/>
      </c>
      <c r="D12" s="12">
        <f>'Sales Growth Impact'!J11</f>
        <v/>
      </c>
      <c r="E12" s="12">
        <f>'Sales Growth Impact'!M11</f>
        <v/>
      </c>
    </row>
    <row r="13">
      <c r="A13" s="10">
        <f>'Sub-Segment Exposures'!A12</f>
        <v/>
      </c>
      <c r="B13" s="12">
        <f>'Sales Growth Impact'!D12</f>
        <v/>
      </c>
      <c r="C13" s="12">
        <f>'Sales Growth Impact'!G12</f>
        <v/>
      </c>
      <c r="D13" s="12">
        <f>'Sales Growth Impact'!J12</f>
        <v/>
      </c>
      <c r="E13" s="12">
        <f>'Sales Growth Impact'!M12</f>
        <v/>
      </c>
    </row>
    <row r="14">
      <c r="A14" s="10">
        <f>'Sub-Segment Exposures'!A13</f>
        <v/>
      </c>
      <c r="B14" s="12">
        <f>'Sales Growth Impact'!D13</f>
        <v/>
      </c>
      <c r="C14" s="12">
        <f>'Sales Growth Impact'!G13</f>
        <v/>
      </c>
      <c r="D14" s="12">
        <f>'Sales Growth Impact'!J13</f>
        <v/>
      </c>
      <c r="E14" s="12">
        <f>'Sales Growth Impact'!M13</f>
        <v/>
      </c>
    </row>
    <row r="15">
      <c r="A15" s="10">
        <f>'Sub-Segment Exposures'!A14</f>
        <v/>
      </c>
      <c r="B15" s="12">
        <f>'Sales Growth Impact'!D14</f>
        <v/>
      </c>
      <c r="C15" s="12">
        <f>'Sales Growth Impact'!G14</f>
        <v/>
      </c>
      <c r="D15" s="12">
        <f>'Sales Growth Impact'!J14</f>
        <v/>
      </c>
      <c r="E15" s="12">
        <f>'Sales Growth Impact'!M14</f>
        <v/>
      </c>
    </row>
    <row r="16">
      <c r="A16" s="10">
        <f>'Sub-Segment Exposures'!A15</f>
        <v/>
      </c>
      <c r="B16" s="12">
        <f>'Sales Growth Impact'!D15</f>
        <v/>
      </c>
      <c r="C16" s="12">
        <f>'Sales Growth Impact'!G15</f>
        <v/>
      </c>
      <c r="D16" s="12">
        <f>'Sales Growth Impact'!J15</f>
        <v/>
      </c>
      <c r="E16" s="12">
        <f>'Sales Growth Impact'!M15</f>
        <v/>
      </c>
    </row>
    <row r="17">
      <c r="A17" s="10">
        <f>'Sub-Segment Exposures'!A16</f>
        <v/>
      </c>
      <c r="B17" s="12">
        <f>'Sales Growth Impact'!D16</f>
        <v/>
      </c>
      <c r="C17" s="12">
        <f>'Sales Growth Impact'!G16</f>
        <v/>
      </c>
      <c r="D17" s="12">
        <f>'Sales Growth Impact'!J16</f>
        <v/>
      </c>
      <c r="E17" s="12">
        <f>'Sales Growth Impact'!M16</f>
        <v/>
      </c>
    </row>
    <row r="18">
      <c r="A18" s="10">
        <f>'Sub-Segment Exposures'!A17</f>
        <v/>
      </c>
      <c r="B18" s="12">
        <f>'Sales Growth Impact'!D17</f>
        <v/>
      </c>
      <c r="C18" s="12">
        <f>'Sales Growth Impact'!G17</f>
        <v/>
      </c>
      <c r="D18" s="12">
        <f>'Sales Growth Impact'!J17</f>
        <v/>
      </c>
      <c r="E18" s="12">
        <f>'Sales Growth Impact'!M17</f>
        <v/>
      </c>
    </row>
    <row r="21">
      <c r="A21" s="5" t="inlineStr">
        <is>
          <t>2026E EPS growth by scenario</t>
        </is>
      </c>
    </row>
    <row r="22" ht="30" customHeight="1">
      <c r="A22" s="9" t="inlineStr">
        <is>
          <t>Sub-segment</t>
        </is>
      </c>
      <c r="B22" s="9" t="inlineStr">
        <is>
          <t>Base Case</t>
        </is>
      </c>
      <c r="C22" s="9" t="inlineStr">
        <is>
          <t>Mild Cut — Digestion</t>
        </is>
      </c>
      <c r="D22" s="9" t="inlineStr">
        <is>
          <t>Moderate Cut — ROI Reset</t>
        </is>
      </c>
      <c r="E22" s="9" t="inlineStr">
        <is>
          <t>Severe Cut — AI Winter</t>
        </is>
      </c>
    </row>
    <row r="23">
      <c r="A23" s="10">
        <f>'Sub-Segment Exposures'!A4</f>
        <v/>
      </c>
      <c r="B23" s="12">
        <f>'EPS Growth Impact'!C4</f>
        <v/>
      </c>
      <c r="C23" s="12">
        <f>'EPS Growth Impact'!E4</f>
        <v/>
      </c>
      <c r="D23" s="12">
        <f>'EPS Growth Impact'!G4</f>
        <v/>
      </c>
      <c r="E23" s="12">
        <f>'EPS Growth Impact'!I4</f>
        <v/>
      </c>
    </row>
    <row r="24">
      <c r="A24" s="10">
        <f>'Sub-Segment Exposures'!A5</f>
        <v/>
      </c>
      <c r="B24" s="12">
        <f>'EPS Growth Impact'!C5</f>
        <v/>
      </c>
      <c r="C24" s="12">
        <f>'EPS Growth Impact'!E5</f>
        <v/>
      </c>
      <c r="D24" s="12">
        <f>'EPS Growth Impact'!G5</f>
        <v/>
      </c>
      <c r="E24" s="12">
        <f>'EPS Growth Impact'!I5</f>
        <v/>
      </c>
    </row>
    <row r="25">
      <c r="A25" s="10">
        <f>'Sub-Segment Exposures'!A6</f>
        <v/>
      </c>
      <c r="B25" s="12">
        <f>'EPS Growth Impact'!C6</f>
        <v/>
      </c>
      <c r="C25" s="12">
        <f>'EPS Growth Impact'!E6</f>
        <v/>
      </c>
      <c r="D25" s="12">
        <f>'EPS Growth Impact'!G6</f>
        <v/>
      </c>
      <c r="E25" s="12">
        <f>'EPS Growth Impact'!I6</f>
        <v/>
      </c>
    </row>
    <row r="26">
      <c r="A26" s="10">
        <f>'Sub-Segment Exposures'!A7</f>
        <v/>
      </c>
      <c r="B26" s="12">
        <f>'EPS Growth Impact'!C7</f>
        <v/>
      </c>
      <c r="C26" s="12">
        <f>'EPS Growth Impact'!E7</f>
        <v/>
      </c>
      <c r="D26" s="12">
        <f>'EPS Growth Impact'!G7</f>
        <v/>
      </c>
      <c r="E26" s="12">
        <f>'EPS Growth Impact'!I7</f>
        <v/>
      </c>
    </row>
    <row r="27">
      <c r="A27" s="10">
        <f>'Sub-Segment Exposures'!A8</f>
        <v/>
      </c>
      <c r="B27" s="12">
        <f>'EPS Growth Impact'!C8</f>
        <v/>
      </c>
      <c r="C27" s="12">
        <f>'EPS Growth Impact'!E8</f>
        <v/>
      </c>
      <c r="D27" s="12">
        <f>'EPS Growth Impact'!G8</f>
        <v/>
      </c>
      <c r="E27" s="12">
        <f>'EPS Growth Impact'!I8</f>
        <v/>
      </c>
    </row>
    <row r="28">
      <c r="A28" s="10">
        <f>'Sub-Segment Exposures'!A9</f>
        <v/>
      </c>
      <c r="B28" s="12">
        <f>'EPS Growth Impact'!C9</f>
        <v/>
      </c>
      <c r="C28" s="12">
        <f>'EPS Growth Impact'!E9</f>
        <v/>
      </c>
      <c r="D28" s="12">
        <f>'EPS Growth Impact'!G9</f>
        <v/>
      </c>
      <c r="E28" s="12">
        <f>'EPS Growth Impact'!I9</f>
        <v/>
      </c>
    </row>
    <row r="29">
      <c r="A29" s="10">
        <f>'Sub-Segment Exposures'!A10</f>
        <v/>
      </c>
      <c r="B29" s="12">
        <f>'EPS Growth Impact'!C10</f>
        <v/>
      </c>
      <c r="C29" s="12">
        <f>'EPS Growth Impact'!E10</f>
        <v/>
      </c>
      <c r="D29" s="12">
        <f>'EPS Growth Impact'!G10</f>
        <v/>
      </c>
      <c r="E29" s="12">
        <f>'EPS Growth Impact'!I10</f>
        <v/>
      </c>
    </row>
    <row r="30">
      <c r="A30" s="10">
        <f>'Sub-Segment Exposures'!A11</f>
        <v/>
      </c>
      <c r="B30" s="12">
        <f>'EPS Growth Impact'!C11</f>
        <v/>
      </c>
      <c r="C30" s="12">
        <f>'EPS Growth Impact'!E11</f>
        <v/>
      </c>
      <c r="D30" s="12">
        <f>'EPS Growth Impact'!G11</f>
        <v/>
      </c>
      <c r="E30" s="12">
        <f>'EPS Growth Impact'!I11</f>
        <v/>
      </c>
    </row>
    <row r="31">
      <c r="A31" s="10">
        <f>'Sub-Segment Exposures'!A12</f>
        <v/>
      </c>
      <c r="B31" s="12">
        <f>'EPS Growth Impact'!C12</f>
        <v/>
      </c>
      <c r="C31" s="12">
        <f>'EPS Growth Impact'!E12</f>
        <v/>
      </c>
      <c r="D31" s="12">
        <f>'EPS Growth Impact'!G12</f>
        <v/>
      </c>
      <c r="E31" s="12">
        <f>'EPS Growth Impact'!I12</f>
        <v/>
      </c>
    </row>
    <row r="32">
      <c r="A32" s="10">
        <f>'Sub-Segment Exposures'!A13</f>
        <v/>
      </c>
      <c r="B32" s="12">
        <f>'EPS Growth Impact'!C13</f>
        <v/>
      </c>
      <c r="C32" s="12">
        <f>'EPS Growth Impact'!E13</f>
        <v/>
      </c>
      <c r="D32" s="12">
        <f>'EPS Growth Impact'!G13</f>
        <v/>
      </c>
      <c r="E32" s="12">
        <f>'EPS Growth Impact'!I13</f>
        <v/>
      </c>
    </row>
    <row r="33">
      <c r="A33" s="10">
        <f>'Sub-Segment Exposures'!A14</f>
        <v/>
      </c>
      <c r="B33" s="12">
        <f>'EPS Growth Impact'!C14</f>
        <v/>
      </c>
      <c r="C33" s="12">
        <f>'EPS Growth Impact'!E14</f>
        <v/>
      </c>
      <c r="D33" s="12">
        <f>'EPS Growth Impact'!G14</f>
        <v/>
      </c>
      <c r="E33" s="12">
        <f>'EPS Growth Impact'!I14</f>
        <v/>
      </c>
    </row>
    <row r="34">
      <c r="A34" s="10">
        <f>'Sub-Segment Exposures'!A15</f>
        <v/>
      </c>
      <c r="B34" s="12">
        <f>'EPS Growth Impact'!C15</f>
        <v/>
      </c>
      <c r="C34" s="12">
        <f>'EPS Growth Impact'!E15</f>
        <v/>
      </c>
      <c r="D34" s="12">
        <f>'EPS Growth Impact'!G15</f>
        <v/>
      </c>
      <c r="E34" s="12">
        <f>'EPS Growth Impact'!I15</f>
        <v/>
      </c>
    </row>
    <row r="35">
      <c r="A35" s="10">
        <f>'Sub-Segment Exposures'!A16</f>
        <v/>
      </c>
      <c r="B35" s="12">
        <f>'EPS Growth Impact'!C16</f>
        <v/>
      </c>
      <c r="C35" s="12">
        <f>'EPS Growth Impact'!E16</f>
        <v/>
      </c>
      <c r="D35" s="12">
        <f>'EPS Growth Impact'!G16</f>
        <v/>
      </c>
      <c r="E35" s="12">
        <f>'EPS Growth Impact'!I16</f>
        <v/>
      </c>
    </row>
    <row r="36">
      <c r="A36" s="10">
        <f>'Sub-Segment Exposures'!A17</f>
        <v/>
      </c>
      <c r="B36" s="12">
        <f>'EPS Growth Impact'!C17</f>
        <v/>
      </c>
      <c r="C36" s="12">
        <f>'EPS Growth Impact'!E17</f>
        <v/>
      </c>
      <c r="D36" s="12">
        <f>'EPS Growth Impact'!G17</f>
        <v/>
      </c>
      <c r="E36" s="12">
        <f>'EPS Growth Impact'!I17</f>
        <v/>
      </c>
    </row>
  </sheetData>
  <conditionalFormatting sqref="B5:E18">
    <cfRule type="colorScale" priority="1">
      <colorScale>
        <cfvo type="num" val="-0.4"/>
        <cfvo type="num" val="0"/>
        <cfvo type="num" val="0.4"/>
        <color rgb="00F8696B"/>
        <color rgb="00FFEB84"/>
        <color rgb="0063BE7B"/>
      </colorScale>
    </cfRule>
  </conditionalFormatting>
  <conditionalFormatting sqref="B23:E36">
    <cfRule type="colorScale" priority="2">
      <colorScale>
        <cfvo type="num" val="-0.4"/>
        <cfvo type="num" val="0"/>
        <cfvo type="num" val="0.4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2026-09-15T01:30:49Z</dcterms:created>
  <dcterms:modified xsi:type="dcterms:W3CDTF">2026-09-15T01:30:49Z</dcterms:modified>
</cp:coreProperties>
</file>