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c_Headline" sheetId="1" state="visible" r:id="rId1"/>
    <sheet name="Company_Summary" sheetId="2" state="visible" r:id="rId2"/>
    <sheet name="Platform_Model" sheetId="3" state="visible" r:id="rId3"/>
    <sheet name="PLOS_2022_Inputs" sheetId="4" state="visible" r:id="rId4"/>
    <sheet name="Pinterest_Calc" sheetId="5" state="visible" r:id="rId5"/>
    <sheet name="Sensitivity" sheetId="6" state="visible" r:id="rId6"/>
    <sheet name="Assumptions" sheetId="7" state="visible" r:id="rId7"/>
    <sheet name="Sources" sheetId="8" state="visible" r:id="rId8"/>
  </sheets>
  <definedNames>
    <definedName name="_xlnm._FilterDatabase" localSheetId="1" hidden="1">'Company_Summary'!$A$4:$J$9</definedName>
    <definedName name="_xlnm._FilterDatabase" localSheetId="2" hidden="1">'Platform_Model'!$A$1:$S$6</definedName>
    <definedName name="_xlnm._FilterDatabase" localSheetId="3" hidden="1">'PLOS_2022_Inputs'!$A$1:$J$5</definedName>
    <definedName name="_xlnm._FilterDatabase" localSheetId="4" hidden="1">'Pinterest_Calc'!$A$1:$E$15</definedName>
    <definedName name="_xlnm._FilterDatabase" localSheetId="5" hidden="1">'Sensitivity'!$A$1:$I$4</definedName>
    <definedName name="_xlnm._FilterDatabase" localSheetId="6" hidden="1">'Assumptions'!$A$1:$C$25</definedName>
    <definedName name="_xlnm._FilterDatabase" localSheetId="7" hidden="1">'Sources'!$A$1:$E$15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,, &quot;M&quot;"/>
    <numFmt numFmtId="165" formatCode="0.0%"/>
    <numFmt numFmtId="166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4" fillId="0" borderId="0" pivotButton="0" quotePrefix="0" xfId="1"/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6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2024 current-rate exposure by company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'Static_Headline'!C6</f>
            </strRef>
          </tx>
          <spPr>
            <a:ln>
              <a:prstDash val="solid"/>
            </a:ln>
          </spPr>
          <cat>
            <numRef>
              <f>'Static_Headline'!$A$7:$A$10</f>
            </numRef>
          </cat>
          <val>
            <numRef>
              <f>'Static_Headline'!$C$7:$C$10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Company/scope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2024 current-rate under-16 exposure by company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'Company_Summary'!D4</f>
            </strRef>
          </tx>
          <spPr>
            <a:ln>
              <a:prstDash val="solid"/>
            </a:ln>
          </spPr>
          <cat>
            <numRef>
              <f>'Company_Summary'!$A$5:$A$8</f>
            </numRef>
          </cat>
          <val>
            <numRef>
              <f>'Company_Summary'!$D$5:$D$8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Sensitivity: total current-rate exposure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'Sensitivity'!H1</f>
            </strRef>
          </tx>
          <spPr>
            <a:ln>
              <a:prstDash val="solid"/>
            </a:ln>
          </spPr>
          <cat>
            <numRef>
              <f>'Sensitivity'!$A$2:$A$4</f>
            </numRef>
          </cat>
          <val>
            <numRef>
              <f>'Sensitivity'!$H$2:$H$4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Cursor</author>
  </authors>
  <commentList>
    <comment ref="D5" authorId="0" shapeId="0">
      <text>
        <t>This is not company-disclosed revenue; it is the 2022 PLOS under-16 base scaled by 2024 reported revenue growth.</t>
      </text>
    </comment>
    <comment ref="D8" authorId="0" shapeId="0">
      <text>
        <t>Pinterest has no PLOS-equivalent minor revenue model; estimate uses age 13-15 population, usage and ARPU.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A1" authorId="0" shapeId="0">
      <text>
        <t>All dollar values are annual revenue exposure. 2024 current-rate rows scale a 2022 U.S. minor-revenue model unless otherwise noted.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aticHeadlineTable" displayName="StaticHeadlineTable" ref="A6:F11" headerRowCount="1">
  <autoFilter ref="A6:F11"/>
  <tableColumns count="6">
    <tableColumn id="1" name="Company / scope"/>
    <tableColumn id="2" name="2022 PLOS-based U.S. under-16 exposure"/>
    <tableColumn id="3" name="2024 current-rate under-16 exposure"/>
    <tableColumn id="4" name="Share of relevant 2024 revenue"/>
    <tableColumn id="5" name="Confidence"/>
    <tableColumn id="6" name="Main cave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ticSensitivityTable" displayName="StaticSensitivityTable" ref="A15:H18" headerRowCount="1">
  <autoFilter ref="A15:H18"/>
  <tableColumns count="8">
    <tableColumn id="1" name="Scenario"/>
    <tableColumn id="2" name="13-15 share of 13-17 revenue"/>
    <tableColumn id="3" name="Pinterest teen usage"/>
    <tableColumn id="4" name="Meta"/>
    <tableColumn id="5" name="Google / YouTube"/>
    <tableColumn id="6" name="Snap"/>
    <tableColumn id="7" name="Pinterest"/>
    <tableColumn id="8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latformModelTable" displayName="PlatformModelTable" ref="A1:S6" headerRowCount="1">
  <autoFilter ref="A1:S6"/>
  <tableColumns count="19">
    <tableColumn id="1" name="Company"/>
    <tableColumn id="2" name="Platform"/>
    <tableColumn id="3" name="Included revenue scope"/>
    <tableColumn id="4" name="Data confidence"/>
    <tableColumn id="5" name="2022 U.S. revenue/ad input"/>
    <tableColumn id="6" name="Revenue age 0-12"/>
    <tableColumn id="7" name="Revenue age 13-17"/>
    <tableColumn id="8" name="Base 13-15 share"/>
    <tableColumn id="9" name="Base revenue age 13-15"/>
    <tableColumn id="10" name="Base revenue age 16-17"/>
    <tableColumn id="11" name="2022 U.S. under-16 revenue"/>
    <tableColumn id="12" name="2024 scaling basis"/>
    <tableColumn id="13" name="2024 scale factor"/>
    <tableColumn id="14" name="2024 current-rate under-16 revenue"/>
    <tableColumn id="15" name="Relevant 2024 revenue denominator"/>
    <tableColumn id="16" name="Share of relevant 2024 revenue"/>
    <tableColumn id="17" name="Global/company 2024 revenue denominator"/>
    <tableColumn id="18" name="Share of global/company 2024 revenue"/>
    <tableColumn id="19" name="Key cavea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LOSInputsTable" displayName="PLOSInputsTable" ref="A1:J5" headerRowCount="1">
  <autoFilter ref="A1:J5"/>
  <tableColumns count="10">
    <tableColumn id="1" name="Company"/>
    <tableColumn id="2" name="Platform"/>
    <tableColumn id="3" name="2022 U.S. net ad revenue input"/>
    <tableColumn id="4" name="PLOS total U18 share"/>
    <tableColumn id="5" name="PLOS users age 0-12"/>
    <tableColumn id="6" name="PLOS users age 13-17"/>
    <tableColumn id="7" name="Revenue age 0-12"/>
    <tableColumn id="8" name="Revenue age 13-17"/>
    <tableColumn id="9" name="Total U18 revenue"/>
    <tableColumn id="10" name="Revenue source quality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nsitivityTable" displayName="SensitivityTable" ref="A1:I4" headerRowCount="1">
  <autoFilter ref="A1:I4"/>
  <tableColumns count="9">
    <tableColumn id="1" name="Scenario"/>
    <tableColumn id="2" name="13-15 share of 13-17 revenue"/>
    <tableColumn id="3" name="Pinterest teen monthly usage"/>
    <tableColumn id="4" name="Meta current-rate exposure"/>
    <tableColumn id="5" name="Google/YouTube current-rate exposure"/>
    <tableColumn id="6" name="Snap current-rate exposure"/>
    <tableColumn id="7" name="Pinterest current-rate exposure"/>
    <tableColumn id="8" name="Total current-rate exposure"/>
    <tableColumn id="9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ssumptionsTable" displayName="AssumptionsTable" ref="A1:C25" headerRowCount="1">
  <autoFilter ref="A1:C25"/>
  <tableColumns count="3">
    <tableColumn id="1" name="Assumption / Input"/>
    <tableColumn id="2" name="Value"/>
    <tableColumn id="3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rcesTable" displayName="SourcesTable" ref="A1:E15" headerRowCount="1">
  <autoFilter ref="A1:E15"/>
  <tableColumns count="5">
    <tableColumn id="1" name="Source"/>
    <tableColumn id="2" name="Publisher / owner"/>
    <tableColumn id="3" name="URL"/>
    <tableColumn id="4" name="Inputs used"/>
    <tableColumn id="5" name="Notes / limit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pmc.ncbi.nlm.nih.gov/articles/PMC10752512/" TargetMode="External" Id="rId1" /><Relationship Type="http://schemas.openxmlformats.org/officeDocument/2006/relationships/hyperlink" Target="https://journals.plos.org/plosone/article/file?type=supplementary&amp;id=10.1371/journal.pone.0295337.s001" TargetMode="External" Id="rId2" /><Relationship Type="http://schemas.openxmlformats.org/officeDocument/2006/relationships/hyperlink" Target="https://journals.plos.org/plosone/article/file?type=supplementary&amp;id=10.1371/journal.pone.0295337.s002" TargetMode="External" Id="rId3" /><Relationship Type="http://schemas.openxmlformats.org/officeDocument/2006/relationships/hyperlink" Target="https://journals.plos.org/plosone/article/file?type=supplementary&amp;id=10.1371/journal.pone.0295337.s003" TargetMode="External" Id="rId4" /><Relationship Type="http://schemas.openxmlformats.org/officeDocument/2006/relationships/hyperlink" Target="https://journals.plos.org/plosone/article/file?type=supplementary&amp;id=10.1371/journal.pone.0295337.s004" TargetMode="External" Id="rId5" /><Relationship Type="http://schemas.openxmlformats.org/officeDocument/2006/relationships/hyperlink" Target="https://www.sec.gov/Archives/edgar/data/1326801/000132680125000014/meta-12312024xexhibit991.htm" TargetMode="External" Id="rId6" /><Relationship Type="http://schemas.openxmlformats.org/officeDocument/2006/relationships/hyperlink" Target="https://www.sec.gov/Archives/edgar/data/1326801/000132680124000010/meta-12312023xexhibit991.htm" TargetMode="External" Id="rId7" /><Relationship Type="http://schemas.openxmlformats.org/officeDocument/2006/relationships/hyperlink" Target="https://abc.xyz/assets/77/51/9841ad5c4fbe85b4440c47a4df8d/goog-10-k-2024.pdf" TargetMode="External" Id="rId8" /><Relationship Type="http://schemas.openxmlformats.org/officeDocument/2006/relationships/hyperlink" Target="https://s25.q4cdn.com/442043304/files/doc_financials/2024/q4/2024-Annual-Report.pdf" TargetMode="External" Id="rId9" /><Relationship Type="http://schemas.openxmlformats.org/officeDocument/2006/relationships/hyperlink" Target="https://companiesmarketcap.com/pinterest/sec-reports-10k/0001506293-25-000022/" TargetMode="External" Id="rId10" /><Relationship Type="http://schemas.openxmlformats.org/officeDocument/2006/relationships/hyperlink" Target="https://www.pewresearch.org/internet/2024/12/12/teens-social-media-and-technology-2024" TargetMode="External" Id="rId11" /><Relationship Type="http://schemas.openxmlformats.org/officeDocument/2006/relationships/hyperlink" Target="https://www.pipersandler.com/sites/default/files/document/319321.2.pdf" TargetMode="External" Id="rId12" /><Relationship Type="http://schemas.openxmlformats.org/officeDocument/2006/relationships/hyperlink" Target="https://www2.census.gov/programs-surveys/popest/datasets/2020-2024/national/asrh/nc-est2024-agesex-res.csv" TargetMode="External" Id="rId13" /><Relationship Type="http://schemas.openxmlformats.org/officeDocument/2006/relationships/hyperlink" Target="https://datareportal.com/essential-pinterest-stats" TargetMode="External" Id="rId14" /><Relationship Type="http://schemas.openxmlformats.org/officeDocument/2006/relationships/table" Target="/xl/tables/table7.xm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14" customWidth="1" min="5" max="5"/>
    <col width="48" customWidth="1" min="6" max="6"/>
    <col width="14" customWidth="1" min="7" max="7"/>
    <col width="14" customWidth="1" min="8" max="8"/>
  </cols>
  <sheetData>
    <row r="1">
      <c r="A1" s="25" t="inlineStr">
        <is>
          <t>Static headline: annual revenue exposure to U.S. users under age 16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5" t="inlineStr">
        <is>
          <t>These are hard-coded outputs from the formula tabs for quick viewing. Use Company_Summary, Platform_Model, and Sensitivity for formulas, assumptions, and source links.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inlineStr">
        <is>
          <t>Generated</t>
        </is>
      </c>
      <c r="B4" s="5" t="inlineStr">
        <is>
          <t>2026-06-15</t>
        </is>
      </c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26" t="inlineStr">
        <is>
          <t>Company / scope</t>
        </is>
      </c>
      <c r="B6" s="26" t="inlineStr">
        <is>
          <t>2022 PLOS-based U.S. under-16 exposure</t>
        </is>
      </c>
      <c r="C6" s="26" t="inlineStr">
        <is>
          <t>2024 current-rate under-16 exposure</t>
        </is>
      </c>
      <c r="D6" s="26" t="inlineStr">
        <is>
          <t>Share of relevant 2024 revenue</t>
        </is>
      </c>
      <c r="E6" s="26" t="inlineStr">
        <is>
          <t>Confidence</t>
        </is>
      </c>
      <c r="F6" s="26" t="inlineStr">
        <is>
          <t>Main caveat</t>
        </is>
      </c>
      <c r="G6" s="26" t="n"/>
      <c r="H6" s="26" t="n"/>
    </row>
    <row r="7">
      <c r="A7" s="5" t="inlineStr">
        <is>
          <t>Meta (Facebook + Instagram)</t>
        </is>
      </c>
      <c r="B7" s="17" t="n">
        <v>3549530000</v>
      </c>
      <c r="C7" s="17" t="n">
        <v>5017261685.732388</v>
      </c>
      <c r="D7" s="18" t="n">
        <v>0.03123431477798701</v>
      </c>
      <c r="E7" s="5" t="inlineStr">
        <is>
          <t>Medium</t>
        </is>
      </c>
      <c r="F7" s="5" t="inlineStr">
        <is>
          <t>2024 scaling uses Meta global ad revenue; Meta does not disclose age/platform revenue.</t>
        </is>
      </c>
      <c r="G7" s="5" t="n"/>
      <c r="H7" s="5" t="n"/>
    </row>
    <row r="8">
      <c r="A8" s="5" t="inlineStr">
        <is>
          <t>Google (YouTube ads only)</t>
        </is>
      </c>
      <c r="B8" s="17" t="n">
        <v>1679100000</v>
      </c>
      <c r="C8" s="17" t="n">
        <v>2075519874.841843</v>
      </c>
      <c r="D8" s="18" t="n">
        <v>0.05741886947303629</v>
      </c>
      <c r="E8" s="5" t="inlineStr">
        <is>
          <t>Medium</t>
        </is>
      </c>
      <c r="F8" s="5" t="inlineStr">
        <is>
          <t>Excludes Google Search, Network, Gmail, Maps, Play, and subscriptions.</t>
        </is>
      </c>
      <c r="G8" s="5" t="n"/>
      <c r="H8" s="5" t="n"/>
    </row>
    <row r="9">
      <c r="A9" s="5" t="inlineStr">
        <is>
          <t>Snap (Snapchat)</t>
        </is>
      </c>
      <c r="B9" s="17" t="n">
        <v>748458596.76</v>
      </c>
      <c r="C9" s="17" t="n">
        <v>801530128.1793857</v>
      </c>
      <c r="D9" s="18" t="n">
        <v>0.1642859453184907</v>
      </c>
      <c r="E9" s="5" t="inlineStr">
        <is>
          <t>Medium-Low</t>
        </is>
      </c>
      <c r="F9" s="5" t="inlineStr">
        <is>
          <t>PLOS age split reconstructed from users and U18 share.</t>
        </is>
      </c>
      <c r="G9" s="5" t="n"/>
      <c r="H9" s="5" t="n"/>
    </row>
    <row r="10">
      <c r="A10" s="5" t="inlineStr">
        <is>
          <t>Pinterest</t>
        </is>
      </c>
      <c r="B10" s="17" t="inlineStr">
        <is>
          <t>n/a</t>
        </is>
      </c>
      <c r="C10" s="17" t="n">
        <v>130828167.47</v>
      </c>
      <c r="D10" s="18" t="n">
        <v>0.04536344225728155</v>
      </c>
      <c r="E10" s="5" t="inlineStr">
        <is>
          <t>Low</t>
        </is>
      </c>
      <c r="F10" s="5" t="inlineStr">
        <is>
          <t>No public minor revenue model; uses Census population, teen usage, and ARPU.</t>
        </is>
      </c>
      <c r="G10" s="5" t="n"/>
      <c r="H10" s="5" t="n"/>
    </row>
    <row r="11">
      <c r="A11" s="5" t="inlineStr">
        <is>
          <t>TOTAL included scope</t>
        </is>
      </c>
      <c r="B11" s="17" t="n">
        <v>5977088596.76</v>
      </c>
      <c r="C11" s="17" t="n">
        <v>8025139856.223616</v>
      </c>
      <c r="D11" s="18" t="n">
        <v>0.03923451240657951</v>
      </c>
      <c r="E11" s="5" t="inlineStr">
        <is>
          <t>Mixed</t>
        </is>
      </c>
      <c r="F11" s="5" t="inlineStr">
        <is>
          <t>Aggregate across unlike disclosed revenue scopes; directional.</t>
        </is>
      </c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13" t="inlineStr">
        <is>
          <t>Sensitivity range (2024 current-rate total)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s="26" t="inlineStr">
        <is>
          <t>Scenario</t>
        </is>
      </c>
      <c r="B15" s="26" t="inlineStr">
        <is>
          <t>13-15 share of 13-17 revenue</t>
        </is>
      </c>
      <c r="C15" s="26" t="inlineStr">
        <is>
          <t>Pinterest teen usage</t>
        </is>
      </c>
      <c r="D15" s="26" t="inlineStr">
        <is>
          <t>Meta</t>
        </is>
      </c>
      <c r="E15" s="26" t="inlineStr">
        <is>
          <t>Google / YouTube</t>
        </is>
      </c>
      <c r="F15" s="26" t="inlineStr">
        <is>
          <t>Snap</t>
        </is>
      </c>
      <c r="G15" s="26" t="inlineStr">
        <is>
          <t>Pinterest</t>
        </is>
      </c>
      <c r="H15" s="26" t="inlineStr">
        <is>
          <t>Total</t>
        </is>
      </c>
    </row>
    <row r="16">
      <c r="A16" s="5" t="inlineStr">
        <is>
          <t>Low</t>
        </is>
      </c>
      <c r="B16" s="18" t="n">
        <v>0.5</v>
      </c>
      <c r="C16" s="18" t="n">
        <v>0.25</v>
      </c>
      <c r="D16" s="17" t="n">
        <v>4402099291.855124</v>
      </c>
      <c r="E16" s="17" t="n">
        <v>1927188992.237459</v>
      </c>
      <c r="F16" s="17" t="n">
        <v>700020600.1613547</v>
      </c>
      <c r="G16" s="17" t="n">
        <v>93448691.05</v>
      </c>
      <c r="H16" s="17" t="n">
        <v>7122757575.303938</v>
      </c>
    </row>
    <row r="17">
      <c r="A17" s="5" t="inlineStr">
        <is>
          <t>Base</t>
        </is>
      </c>
      <c r="B17" s="18" t="n">
        <v>0.6</v>
      </c>
      <c r="C17" s="18" t="n">
        <v>0.35</v>
      </c>
      <c r="D17" s="17" t="n">
        <v>5017261685.732388</v>
      </c>
      <c r="E17" s="17" t="n">
        <v>2075519874.841843</v>
      </c>
      <c r="F17" s="17" t="n">
        <v>801530128.1793857</v>
      </c>
      <c r="G17" s="17" t="n">
        <v>130828167.47</v>
      </c>
      <c r="H17" s="17" t="n">
        <v>8025139856.223617</v>
      </c>
    </row>
    <row r="18">
      <c r="A18" s="5" t="inlineStr">
        <is>
          <t>High</t>
        </is>
      </c>
      <c r="B18" s="18" t="n">
        <v>0.7</v>
      </c>
      <c r="C18" s="18" t="n">
        <v>0.45</v>
      </c>
      <c r="D18" s="17" t="n">
        <v>5632424079.609652</v>
      </c>
      <c r="E18" s="17" t="n">
        <v>2223850757.446227</v>
      </c>
      <c r="F18" s="17" t="n">
        <v>903039656.1974168</v>
      </c>
      <c r="G18" s="17" t="n">
        <v>168207643.89</v>
      </c>
      <c r="H18" s="17" t="n">
        <v>8927522137.143293</v>
      </c>
    </row>
  </sheetData>
  <mergeCells count="3">
    <mergeCell ref="A14:H14"/>
    <mergeCell ref="A2:H3"/>
    <mergeCell ref="A1:H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20" customWidth="1" min="4" max="4"/>
    <col width="20" customWidth="1" min="5" max="5"/>
    <col width="16" customWidth="1" min="6" max="6"/>
    <col width="20" customWidth="1" min="7" max="7"/>
    <col width="18" customWidth="1" min="8" max="8"/>
    <col width="14" customWidth="1" min="9" max="9"/>
    <col width="42" customWidth="1" min="10" max="10"/>
  </cols>
  <sheetData>
    <row r="1">
      <c r="A1" s="1" t="inlineStr">
        <is>
          <t>Teen under-16 revenue exposure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Generated</t>
        </is>
      </c>
      <c r="B2" s="5" t="inlineStr">
        <is>
          <t>2026-06-15</t>
        </is>
      </c>
      <c r="C2" s="5" t="inlineStr">
        <is>
          <t>Currency: USD. Base model defines under 16 as ages 0-15.</t>
        </is>
      </c>
      <c r="D2" s="5" t="n"/>
      <c r="E2" s="5" t="n"/>
      <c r="F2" s="5" t="n"/>
      <c r="G2" s="5" t="n"/>
      <c r="H2" s="5" t="n"/>
      <c r="I2" s="5" t="n"/>
      <c r="J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6" t="inlineStr">
        <is>
          <t>Company</t>
        </is>
      </c>
      <c r="B4" s="6" t="inlineStr">
        <is>
          <t>Included platforms / scope</t>
        </is>
      </c>
      <c r="C4" s="6" t="inlineStr">
        <is>
          <t>2022 U.S. under-16 exposure</t>
        </is>
      </c>
      <c r="D4" s="6" t="inlineStr">
        <is>
          <t>2024 current-rate under-16 exposure</t>
        </is>
      </c>
      <c r="E4" s="6" t="inlineStr">
        <is>
          <t>Relevant 2024 revenue denominator</t>
        </is>
      </c>
      <c r="F4" s="6" t="inlineStr">
        <is>
          <t>Share of relevant revenue</t>
        </is>
      </c>
      <c r="G4" s="6" t="inlineStr">
        <is>
          <t>Global/company 2024 denominator</t>
        </is>
      </c>
      <c r="H4" s="6" t="inlineStr">
        <is>
          <t>Share of global/company revenue</t>
        </is>
      </c>
      <c r="I4" s="6" t="inlineStr">
        <is>
          <t>Confidence</t>
        </is>
      </c>
      <c r="J4" s="6" t="inlineStr">
        <is>
          <t>Principal caveat</t>
        </is>
      </c>
    </row>
    <row r="5">
      <c r="A5" s="5" t="inlineStr">
        <is>
          <t>Meta</t>
        </is>
      </c>
      <c r="B5" s="5" t="inlineStr">
        <is>
          <t>Facebook + Instagram</t>
        </is>
      </c>
      <c r="C5" s="17">
        <f>SUMIF(Platform_Model!A:A,A5,Platform_Model!K:K)</f>
        <v/>
      </c>
      <c r="D5" s="17">
        <f>SUMIF(Platform_Model!A:A,A5,Platform_Model!N:N)</f>
        <v/>
      </c>
      <c r="E5" s="17">
        <f>Assumptions!$B$15</f>
        <v/>
      </c>
      <c r="F5" s="18">
        <f>D5/E5</f>
        <v/>
      </c>
      <c r="G5" s="17">
        <f>Assumptions!$B$15</f>
        <v/>
      </c>
      <c r="H5" s="18">
        <f>D5/G5</f>
        <v/>
      </c>
      <c r="I5" s="9" t="inlineStr">
        <is>
          <t>Medium</t>
        </is>
      </c>
      <c r="J5" s="5" t="inlineStr">
        <is>
          <t>PLOS is U.S. 2022; 2024 scaling uses Meta global ad revenue because platform-level U.S. age revenue is not disclosed.</t>
        </is>
      </c>
    </row>
    <row r="6">
      <c r="A6" s="5" t="inlineStr">
        <is>
          <t>Google</t>
        </is>
      </c>
      <c r="B6" s="5" t="inlineStr">
        <is>
          <t>YouTube ads only</t>
        </is>
      </c>
      <c r="C6" s="17">
        <f>SUMIF(Platform_Model!A:A,A6,Platform_Model!K:K)</f>
        <v/>
      </c>
      <c r="D6" s="17">
        <f>SUMIF(Platform_Model!A:A,A6,Platform_Model!N:N)</f>
        <v/>
      </c>
      <c r="E6" s="17">
        <f>Assumptions!$B$17</f>
        <v/>
      </c>
      <c r="F6" s="18">
        <f>D6/E6</f>
        <v/>
      </c>
      <c r="G6" s="17">
        <f>Assumptions!$B$17</f>
        <v/>
      </c>
      <c r="H6" s="18">
        <f>D6/G6</f>
        <v/>
      </c>
      <c r="I6" s="9" t="inlineStr">
        <is>
          <t>Medium</t>
        </is>
      </c>
      <c r="J6" s="5" t="inlineStr">
        <is>
          <t>Excludes Google Search, Network, and other Google services; no public under-16 allocation found.</t>
        </is>
      </c>
    </row>
    <row r="7">
      <c r="A7" s="5" t="inlineStr">
        <is>
          <t>Snap</t>
        </is>
      </c>
      <c r="B7" s="5" t="inlineStr">
        <is>
          <t>Snapchat</t>
        </is>
      </c>
      <c r="C7" s="17">
        <f>SUMIF(Platform_Model!A:A,A7,Platform_Model!K:K)</f>
        <v/>
      </c>
      <c r="D7" s="17">
        <f>SUMIF(Platform_Model!A:A,A7,Platform_Model!N:N)</f>
        <v/>
      </c>
      <c r="E7" s="17">
        <f>Assumptions!$B$19*Assumptions!$B$21</f>
        <v/>
      </c>
      <c r="F7" s="18">
        <f>D7/E7</f>
        <v/>
      </c>
      <c r="G7" s="17">
        <f>Assumptions!$B$19</f>
        <v/>
      </c>
      <c r="H7" s="18">
        <f>D7/G7</f>
        <v/>
      </c>
      <c r="I7" s="10" t="inlineStr">
        <is>
          <t>Medium-Low</t>
        </is>
      </c>
      <c r="J7" s="5" t="inlineStr">
        <is>
          <t>Age split reconstructed from PLOS inputs; 2024 ad denominator estimated from Snap total revenue and disclosed ad-share.</t>
        </is>
      </c>
    </row>
    <row r="8">
      <c r="A8" s="5" t="inlineStr">
        <is>
          <t>Pinterest</t>
        </is>
      </c>
      <c r="B8" s="5" t="inlineStr">
        <is>
          <t>Pinterest</t>
        </is>
      </c>
      <c r="C8" s="17" t="inlineStr">
        <is>
          <t>n/a</t>
        </is>
      </c>
      <c r="D8" s="17">
        <f>SUMIF(Platform_Model!A:A,A8,Platform_Model!N:N)</f>
        <v/>
      </c>
      <c r="E8" s="17">
        <f>Assumptions!$B$23</f>
        <v/>
      </c>
      <c r="F8" s="18">
        <f>D8/E8</f>
        <v/>
      </c>
      <c r="G8" s="17">
        <f>Assumptions!$B$22</f>
        <v/>
      </c>
      <c r="H8" s="18">
        <f>D8/G8</f>
        <v/>
      </c>
      <c r="I8" s="11" t="inlineStr">
        <is>
          <t>Low</t>
        </is>
      </c>
      <c r="J8" s="5" t="inlineStr">
        <is>
          <t>No public minor revenue model; estimated from teen usage, Census population, and U.S./Canada ARPU.</t>
        </is>
      </c>
    </row>
    <row r="9">
      <c r="A9" s="5" t="inlineStr">
        <is>
          <t>TOTAL</t>
        </is>
      </c>
      <c r="B9" s="5" t="inlineStr">
        <is>
          <t>All included scopes</t>
        </is>
      </c>
      <c r="C9" s="17">
        <f>SUM(C5:C7)</f>
        <v/>
      </c>
      <c r="D9" s="17">
        <f>SUM(D5:D8)</f>
        <v/>
      </c>
      <c r="E9" s="17">
        <f>SUM(E5:E8)</f>
        <v/>
      </c>
      <c r="F9" s="18">
        <f>D9/E9</f>
        <v/>
      </c>
      <c r="G9" s="17">
        <f>SUM(G5:G8)</f>
        <v/>
      </c>
      <c r="H9" s="18">
        <f>D9/G9</f>
        <v/>
      </c>
      <c r="I9" s="12" t="inlineStr">
        <is>
          <t>Mixed</t>
        </is>
      </c>
      <c r="J9" s="5" t="inlineStr">
        <is>
          <t>This is not a company-disclosed figure; it is a transparent public-data model.</t>
        </is>
      </c>
    </row>
    <row r="10">
      <c r="A10" s="5" t="n"/>
      <c r="B10" s="5" t="n"/>
      <c r="C10" s="17" t="n"/>
      <c r="D10" s="17" t="n"/>
      <c r="E10" s="17" t="n"/>
      <c r="F10" s="18" t="n"/>
      <c r="G10" s="17" t="n"/>
      <c r="H10" s="18" t="n"/>
      <c r="I10" s="5" t="n"/>
      <c r="J10" s="5" t="n"/>
    </row>
    <row r="11">
      <c r="A11" s="5" t="n"/>
      <c r="B11" s="5" t="n"/>
      <c r="C11" s="17" t="n"/>
      <c r="D11" s="17" t="n"/>
      <c r="E11" s="17" t="n"/>
      <c r="F11" s="18" t="n"/>
      <c r="G11" s="17" t="n"/>
      <c r="H11" s="18" t="n"/>
      <c r="I11" s="5" t="n"/>
      <c r="J11" s="5" t="n"/>
    </row>
    <row r="12">
      <c r="A12" s="13" t="inlineStr">
        <is>
          <t>Headline interpretation</t>
        </is>
      </c>
      <c r="B12" s="5" t="n"/>
      <c r="C12" s="17" t="n"/>
      <c r="D12" s="17" t="n"/>
      <c r="E12" s="17" t="n"/>
      <c r="F12" s="18" t="n"/>
      <c r="G12" s="17" t="n"/>
      <c r="H12" s="18" t="n"/>
      <c r="I12" s="5" t="n"/>
      <c r="J12" s="5" t="n"/>
    </row>
    <row r="13">
      <c r="A13" s="5" t="inlineStr">
        <is>
          <t>Base case estimates roughly $8.0B of current-rate annual revenue exposure across the included scopes. The comparable peer-reviewed PLOS 2022 U.S. baseline for Meta + YouTube + Snapchat is about $6.0B under age 16. Google is scoped to YouTube only; Pinterest is the lowest-confidence estimate.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20" t="n"/>
    </row>
    <row r="14">
      <c r="A14" s="21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3" t="n"/>
    </row>
  </sheetData>
  <autoFilter ref="A4:J9"/>
  <mergeCells count="2">
    <mergeCell ref="A1:J1"/>
    <mergeCell ref="A13:J1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7" customWidth="1" min="4" max="4"/>
    <col width="28" customWidth="1" min="5" max="5"/>
    <col width="22" customWidth="1" min="6" max="6"/>
    <col width="22" customWidth="1" min="7" max="7"/>
    <col width="19" customWidth="1" min="8" max="8"/>
    <col width="24" customWidth="1" min="9" max="9"/>
    <col width="24" customWidth="1" min="10" max="10"/>
    <col width="28" customWidth="1" min="11" max="11"/>
    <col width="48" customWidth="1" min="12" max="12"/>
    <col width="48" customWidth="1" min="13" max="13"/>
    <col width="36" customWidth="1" min="14" max="14"/>
    <col width="38" customWidth="1" min="15" max="15"/>
    <col width="32" customWidth="1" min="16" max="16"/>
    <col width="41" customWidth="1" min="17" max="17"/>
    <col width="38" customWidth="1" min="18" max="18"/>
    <col width="48" customWidth="1" min="19" max="19"/>
  </cols>
  <sheetData>
    <row r="1">
      <c r="A1" s="6" t="inlineStr">
        <is>
          <t>Company</t>
        </is>
      </c>
      <c r="B1" s="6" t="inlineStr">
        <is>
          <t>Platform</t>
        </is>
      </c>
      <c r="C1" s="6" t="inlineStr">
        <is>
          <t>Included revenue scope</t>
        </is>
      </c>
      <c r="D1" s="6" t="inlineStr">
        <is>
          <t>Data confidence</t>
        </is>
      </c>
      <c r="E1" s="6" t="inlineStr">
        <is>
          <t>2022 U.S. revenue/ad input</t>
        </is>
      </c>
      <c r="F1" s="6" t="inlineStr">
        <is>
          <t>Revenue age 0-12</t>
        </is>
      </c>
      <c r="G1" s="6" t="inlineStr">
        <is>
          <t>Revenue age 13-17</t>
        </is>
      </c>
      <c r="H1" s="6" t="inlineStr">
        <is>
          <t>Base 13-15 share</t>
        </is>
      </c>
      <c r="I1" s="6" t="inlineStr">
        <is>
          <t>Base revenue age 13-15</t>
        </is>
      </c>
      <c r="J1" s="6" t="inlineStr">
        <is>
          <t>Base revenue age 16-17</t>
        </is>
      </c>
      <c r="K1" s="6" t="inlineStr">
        <is>
          <t>2022 U.S. under-16 revenue</t>
        </is>
      </c>
      <c r="L1" s="6" t="inlineStr">
        <is>
          <t>2024 scaling basis</t>
        </is>
      </c>
      <c r="M1" s="6" t="inlineStr">
        <is>
          <t>2024 scale factor</t>
        </is>
      </c>
      <c r="N1" s="6" t="inlineStr">
        <is>
          <t>2024 current-rate under-16 revenue</t>
        </is>
      </c>
      <c r="O1" s="6" t="inlineStr">
        <is>
          <t>Relevant 2024 revenue denominator</t>
        </is>
      </c>
      <c r="P1" s="6" t="inlineStr">
        <is>
          <t>Share of relevant 2024 revenue</t>
        </is>
      </c>
      <c r="Q1" s="6" t="inlineStr">
        <is>
          <t>Global/company 2024 revenue denominator</t>
        </is>
      </c>
      <c r="R1" s="6" t="inlineStr">
        <is>
          <t>Share of global/company 2024 revenue</t>
        </is>
      </c>
      <c r="S1" s="6" t="inlineStr">
        <is>
          <t>Key caveats</t>
        </is>
      </c>
    </row>
    <row r="2">
      <c r="A2" s="5" t="inlineStr">
        <is>
          <t>Meta</t>
        </is>
      </c>
      <c r="B2" s="5" t="inlineStr">
        <is>
          <t>Facebook</t>
        </is>
      </c>
      <c r="C2" s="5" t="inlineStr">
        <is>
          <t>U.S. Facebook advertising revenue in PLOS; 2024 scaled by Meta global GAAP advertising revenue</t>
        </is>
      </c>
      <c r="D2" s="9" t="inlineStr">
        <is>
          <t>Medium</t>
        </is>
      </c>
      <c r="E2" s="17">
        <f>PLOS_2022_Inputs!C2</f>
        <v/>
      </c>
      <c r="F2" s="17">
        <f>PLOS_2022_Inputs!G2</f>
        <v/>
      </c>
      <c r="G2" s="17">
        <f>PLOS_2022_Inputs!H2</f>
        <v/>
      </c>
      <c r="H2" s="18">
        <f>Assumptions!$B$2</f>
        <v/>
      </c>
      <c r="I2" s="17">
        <f>G2*H2</f>
        <v/>
      </c>
      <c r="J2" s="17">
        <f>G2*(1-H2)</f>
        <v/>
      </c>
      <c r="K2" s="17">
        <f>F2+I2</f>
        <v/>
      </c>
      <c r="L2" s="5" t="inlineStr">
        <is>
          <t>Meta global GAAP ad revenue 2024 / 2022</t>
        </is>
      </c>
      <c r="M2" s="18">
        <f>Assumptions!$B$15/Assumptions!$B$14</f>
        <v/>
      </c>
      <c r="N2" s="17">
        <f>K2*M2</f>
        <v/>
      </c>
      <c r="O2" s="17">
        <f>Assumptions!$B$15</f>
        <v/>
      </c>
      <c r="P2" s="18">
        <f>N2/O2</f>
        <v/>
      </c>
      <c r="Q2" s="17">
        <f>Assumptions!$B$15</f>
        <v/>
      </c>
      <c r="R2" s="18">
        <f>N2/Q2</f>
        <v/>
      </c>
      <c r="S2" s="5" t="inlineStr">
        <is>
          <t>Meta does not publicly disclose U.S. Facebook vs Instagram revenue or revenue by age; PLOS is U.S. 2022 simulated model.</t>
        </is>
      </c>
    </row>
    <row r="3">
      <c r="A3" s="5" t="inlineStr">
        <is>
          <t>Meta</t>
        </is>
      </c>
      <c r="B3" s="5" t="inlineStr">
        <is>
          <t>Instagram</t>
        </is>
      </c>
      <c r="C3" s="5" t="inlineStr">
        <is>
          <t>U.S. Instagram advertising revenue in PLOS; 2024 scaled by Meta global GAAP advertising revenue</t>
        </is>
      </c>
      <c r="D3" s="9" t="inlineStr">
        <is>
          <t>Medium</t>
        </is>
      </c>
      <c r="E3" s="17">
        <f>PLOS_2022_Inputs!C3</f>
        <v/>
      </c>
      <c r="F3" s="17">
        <f>PLOS_2022_Inputs!G3</f>
        <v/>
      </c>
      <c r="G3" s="17">
        <f>PLOS_2022_Inputs!H3</f>
        <v/>
      </c>
      <c r="H3" s="18">
        <f>Assumptions!$B$2</f>
        <v/>
      </c>
      <c r="I3" s="17">
        <f>G3*H3</f>
        <v/>
      </c>
      <c r="J3" s="17">
        <f>G3*(1-H3)</f>
        <v/>
      </c>
      <c r="K3" s="17">
        <f>F3+I3</f>
        <v/>
      </c>
      <c r="L3" s="5" t="inlineStr">
        <is>
          <t>Meta global GAAP ad revenue 2024 / 2022</t>
        </is>
      </c>
      <c r="M3" s="18">
        <f>Assumptions!$B$15/Assumptions!$B$14</f>
        <v/>
      </c>
      <c r="N3" s="17">
        <f>K3*M3</f>
        <v/>
      </c>
      <c r="O3" s="17">
        <f>Assumptions!$B$15</f>
        <v/>
      </c>
      <c r="P3" s="18">
        <f>N3/O3</f>
        <v/>
      </c>
      <c r="Q3" s="17">
        <f>Assumptions!$B$15</f>
        <v/>
      </c>
      <c r="R3" s="18">
        <f>N3/Q3</f>
        <v/>
      </c>
      <c r="S3" s="5" t="inlineStr">
        <is>
          <t>PLOS reports Instagram 13-17 revenue as approximately $4.0B; current-rate scaling does not update teen user mix.</t>
        </is>
      </c>
    </row>
    <row r="4">
      <c r="A4" s="5" t="inlineStr">
        <is>
          <t>Google</t>
        </is>
      </c>
      <c r="B4" s="5" t="inlineStr">
        <is>
          <t>YouTube</t>
        </is>
      </c>
      <c r="C4" s="5" t="inlineStr">
        <is>
          <t>YouTube advertising only; excludes Search, Network, Gmail, Maps, Google Play, subscriptions</t>
        </is>
      </c>
      <c r="D4" s="9" t="inlineStr">
        <is>
          <t>Medium</t>
        </is>
      </c>
      <c r="E4" s="17">
        <f>PLOS_2022_Inputs!C5</f>
        <v/>
      </c>
      <c r="F4" s="17">
        <f>PLOS_2022_Inputs!G5</f>
        <v/>
      </c>
      <c r="G4" s="17">
        <f>PLOS_2022_Inputs!H5</f>
        <v/>
      </c>
      <c r="H4" s="18">
        <f>Assumptions!$B$2</f>
        <v/>
      </c>
      <c r="I4" s="17">
        <f>G4*H4</f>
        <v/>
      </c>
      <c r="J4" s="17">
        <f>G4*(1-H4)</f>
        <v/>
      </c>
      <c r="K4" s="17">
        <f>F4+I4</f>
        <v/>
      </c>
      <c r="L4" s="5" t="inlineStr">
        <is>
          <t>YouTube global ad revenue 2024 / 2022</t>
        </is>
      </c>
      <c r="M4" s="18">
        <f>Assumptions!$B$17/Assumptions!$B$16</f>
        <v/>
      </c>
      <c r="N4" s="17">
        <f>K4*M4</f>
        <v/>
      </c>
      <c r="O4" s="17">
        <f>Assumptions!$B$17</f>
        <v/>
      </c>
      <c r="P4" s="18">
        <f>N4/O4</f>
        <v/>
      </c>
      <c r="Q4" s="17">
        <f>Assumptions!$B$17</f>
        <v/>
      </c>
      <c r="R4" s="18">
        <f>N4/Q4</f>
        <v/>
      </c>
      <c r="S4" s="5" t="inlineStr">
        <is>
          <t>Google exposure is undercounted if Search/Network revenue from under-16 users is in-scope; no public age allocation found.</t>
        </is>
      </c>
    </row>
    <row r="5">
      <c r="A5" s="5" t="inlineStr">
        <is>
          <t>Snap</t>
        </is>
      </c>
      <c r="B5" s="5" t="inlineStr">
        <is>
          <t>Snapchat</t>
        </is>
      </c>
      <c r="C5" s="5" t="inlineStr">
        <is>
          <t>Snapchat advertising revenue; 2024 scaled by reported Snap ad revenue proxy</t>
        </is>
      </c>
      <c r="D5" s="10" t="inlineStr">
        <is>
          <t>Medium-Low</t>
        </is>
      </c>
      <c r="E5" s="17">
        <f>PLOS_2022_Inputs!C4</f>
        <v/>
      </c>
      <c r="F5" s="17">
        <f>PLOS_2022_Inputs!G4</f>
        <v/>
      </c>
      <c r="G5" s="17">
        <f>PLOS_2022_Inputs!H4</f>
        <v/>
      </c>
      <c r="H5" s="18">
        <f>Assumptions!$B$2</f>
        <v/>
      </c>
      <c r="I5" s="17">
        <f>G5*H5</f>
        <v/>
      </c>
      <c r="J5" s="17">
        <f>G5*(1-H5)</f>
        <v/>
      </c>
      <c r="K5" s="17">
        <f>F5+I5</f>
        <v/>
      </c>
      <c r="L5" s="5" t="inlineStr">
        <is>
          <t>Snap global ad revenue proxy 2024 / 2022: total revenue * ad share</t>
        </is>
      </c>
      <c r="M5" s="18">
        <f>Assumptions!$B$19*Assumptions!$B$21/(Assumptions!$B$18*Assumptions!$B$20)</f>
        <v/>
      </c>
      <c r="N5" s="17">
        <f>K5*M5</f>
        <v/>
      </c>
      <c r="O5" s="17">
        <f>Assumptions!$B$19*Assumptions!$B$21</f>
        <v/>
      </c>
      <c r="P5" s="18">
        <f>N5/O5</f>
        <v/>
      </c>
      <c r="Q5" s="17">
        <f>Assumptions!$B$19</f>
        <v/>
      </c>
      <c r="R5" s="18">
        <f>N5/Q5</f>
        <v/>
      </c>
      <c r="S5" s="5" t="inlineStr">
        <is>
          <t>PLOS gives U18 share but not exact 0-12/13-17 revenue in text; age split reconstructed from PLOS user counts.</t>
        </is>
      </c>
    </row>
    <row r="6">
      <c r="A6" s="5" t="inlineStr">
        <is>
          <t>Pinterest</t>
        </is>
      </c>
      <c r="B6" s="5" t="inlineStr">
        <is>
          <t>Pinterest</t>
        </is>
      </c>
      <c r="C6" s="5" t="inlineStr">
        <is>
          <t>U.S. teen MAU estimate * Pinterest U.S./Canada ARPU; no 0-12 because service minimum age is 13</t>
        </is>
      </c>
      <c r="D6" s="11" t="inlineStr">
        <is>
          <t>Low</t>
        </is>
      </c>
      <c r="E6" s="17">
        <f>Assumptions!$B$23</f>
        <v/>
      </c>
      <c r="F6" s="17" t="n">
        <v>0</v>
      </c>
      <c r="G6" s="17">
        <f>Pinterest_Calc!B13+Pinterest_Calc!B14</f>
        <v/>
      </c>
      <c r="H6" s="18">
        <f>Pinterest_Calc!B13/G6</f>
        <v/>
      </c>
      <c r="I6" s="17">
        <f>Pinterest_Calc!B13</f>
        <v/>
      </c>
      <c r="J6" s="17">
        <f>Pinterest_Calc!B14</f>
        <v/>
      </c>
      <c r="K6" s="17">
        <f>F6+I6</f>
        <v/>
      </c>
      <c r="L6" s="5" t="inlineStr">
        <is>
          <t>Direct 2024 estimate, no scale factor</t>
        </is>
      </c>
      <c r="M6" s="18" t="n">
        <v>1</v>
      </c>
      <c r="N6" s="17">
        <f>K6*M6</f>
        <v/>
      </c>
      <c r="O6" s="17">
        <f>Assumptions!$B$23</f>
        <v/>
      </c>
      <c r="P6" s="18">
        <f>N6/O6</f>
        <v/>
      </c>
      <c r="Q6" s="17">
        <f>Assumptions!$B$22</f>
        <v/>
      </c>
      <c r="R6" s="18">
        <f>N6/Q6</f>
        <v/>
      </c>
      <c r="S6" s="5" t="inlineStr">
        <is>
          <t>Pinterest does not disclose under-18 MAUs/revenue; based on Census age 13-15 population, Piper Sandler 35% monthly usage, and annual U.S./Canada ARPU.</t>
        </is>
      </c>
    </row>
  </sheetData>
  <autoFilter ref="A1:S6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2" customWidth="1" min="4" max="4"/>
    <col width="21" customWidth="1" min="5" max="5"/>
    <col width="22" customWidth="1" min="6" max="6"/>
    <col width="19" customWidth="1" min="7" max="7"/>
    <col width="19" customWidth="1" min="8" max="8"/>
    <col width="19" customWidth="1" min="9" max="9"/>
    <col width="48" customWidth="1" min="10" max="10"/>
  </cols>
  <sheetData>
    <row r="1">
      <c r="A1" s="6" t="inlineStr">
        <is>
          <t>Company</t>
        </is>
      </c>
      <c r="B1" s="6" t="inlineStr">
        <is>
          <t>Platform</t>
        </is>
      </c>
      <c r="C1" s="6" t="inlineStr">
        <is>
          <t>2022 U.S. net ad revenue input</t>
        </is>
      </c>
      <c r="D1" s="6" t="inlineStr">
        <is>
          <t>PLOS total U18 share</t>
        </is>
      </c>
      <c r="E1" s="6" t="inlineStr">
        <is>
          <t>PLOS users age 0-12</t>
        </is>
      </c>
      <c r="F1" s="6" t="inlineStr">
        <is>
          <t>PLOS users age 13-17</t>
        </is>
      </c>
      <c r="G1" s="6" t="inlineStr">
        <is>
          <t>Revenue age 0-12</t>
        </is>
      </c>
      <c r="H1" s="6" t="inlineStr">
        <is>
          <t>Revenue age 13-17</t>
        </is>
      </c>
      <c r="I1" s="6" t="inlineStr">
        <is>
          <t>Total U18 revenue</t>
        </is>
      </c>
      <c r="J1" s="6" t="inlineStr">
        <is>
          <t>Revenue source quality / notes</t>
        </is>
      </c>
    </row>
    <row r="2">
      <c r="A2" s="5" t="inlineStr">
        <is>
          <t>Meta</t>
        </is>
      </c>
      <c r="B2" s="5" t="inlineStr">
        <is>
          <t>Facebook</t>
        </is>
      </c>
      <c r="C2" s="17" t="n">
        <v>25750000000</v>
      </c>
      <c r="D2" s="18" t="n">
        <v>0.019</v>
      </c>
      <c r="E2" s="14" t="n">
        <v>2757000</v>
      </c>
      <c r="F2" s="14" t="n">
        <v>7047000</v>
      </c>
      <c r="G2" s="17" t="n">
        <v>137200000</v>
      </c>
      <c r="H2" s="17">
        <f>C2*D2-G2</f>
        <v/>
      </c>
      <c r="I2" s="17">
        <f>G2+H2</f>
        <v/>
      </c>
      <c r="J2" s="5" t="inlineStr">
        <is>
          <t>PLOS narrative gives 0-12 revenue; U18 share from Fig. 2; 13-17 derived as total U18 less 0-12.</t>
        </is>
      </c>
    </row>
    <row r="3">
      <c r="A3" s="5" t="inlineStr">
        <is>
          <t>Meta</t>
        </is>
      </c>
      <c r="B3" s="5" t="inlineStr">
        <is>
          <t>Instagram</t>
        </is>
      </c>
      <c r="C3" s="17" t="n">
        <v>29790000000</v>
      </c>
      <c r="D3" s="18">
        <f>(G3+H3)/C3</f>
        <v/>
      </c>
      <c r="E3" s="14" t="n">
        <v>3982000</v>
      </c>
      <c r="F3" s="14" t="n">
        <v>12726000</v>
      </c>
      <c r="G3" s="17" t="n">
        <v>801100000</v>
      </c>
      <c r="H3" s="17" t="n">
        <v>4000000000</v>
      </c>
      <c r="I3" s="17">
        <f>G3+H3</f>
        <v/>
      </c>
      <c r="J3" s="5" t="inlineStr">
        <is>
          <t>PLOS narrative gives 0-12 and approx. 13-17 revenue; share recalculated from those values.</t>
        </is>
      </c>
    </row>
    <row r="4">
      <c r="A4" s="5" t="inlineStr">
        <is>
          <t>Snap</t>
        </is>
      </c>
      <c r="B4" s="5" t="inlineStr">
        <is>
          <t>Snapchat</t>
        </is>
      </c>
      <c r="C4" s="17" t="n">
        <v>2723700000</v>
      </c>
      <c r="D4" s="18" t="n">
        <v>0.414</v>
      </c>
      <c r="E4" s="14" t="n">
        <v>2869000</v>
      </c>
      <c r="F4" s="14" t="n">
        <v>15131000</v>
      </c>
      <c r="G4" s="17">
        <f>C4*D4*E4/(E4+F4)</f>
        <v/>
      </c>
      <c r="H4" s="17">
        <f>C4*D4*F4/(E4+F4)</f>
        <v/>
      </c>
      <c r="I4" s="17">
        <f>G4+H4</f>
        <v/>
      </c>
      <c r="J4" s="5" t="inlineStr">
        <is>
          <t>PLOS Fig. 2 gives U18 share. Age split reconstructed using PLOS Table 1 users; youth minutes are same for both child and adolescent groups in S4.</t>
        </is>
      </c>
    </row>
    <row r="5">
      <c r="A5" s="5" t="inlineStr">
        <is>
          <t>Google</t>
        </is>
      </c>
      <c r="B5" s="5" t="inlineStr">
        <is>
          <t>YouTube</t>
        </is>
      </c>
      <c r="C5" s="17" t="n">
        <v>8020000000</v>
      </c>
      <c r="D5" s="18">
        <f>(G5+H5)/C5</f>
        <v/>
      </c>
      <c r="E5" s="14" t="n">
        <v>31448000</v>
      </c>
      <c r="F5" s="14" t="n">
        <v>18341000</v>
      </c>
      <c r="G5" s="17" t="n">
        <v>959100000</v>
      </c>
      <c r="H5" s="17" t="n">
        <v>1200000000</v>
      </c>
      <c r="I5" s="17">
        <f>G5+H5</f>
        <v/>
      </c>
      <c r="J5" s="5" t="inlineStr">
        <is>
          <t>PLOS narrative gives 0-12 and approx. 13-17 revenue.</t>
        </is>
      </c>
    </row>
  </sheetData>
  <autoFilter ref="A1:J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7" customWidth="1" min="3" max="3"/>
    <col width="17" customWidth="1" min="4" max="4"/>
    <col width="48" customWidth="1" min="5" max="5"/>
  </cols>
  <sheetData>
    <row r="1">
      <c r="A1" s="6" t="inlineStr">
        <is>
          <t>Item</t>
        </is>
      </c>
      <c r="B1" s="6" t="inlineStr">
        <is>
          <t>Base value</t>
        </is>
      </c>
      <c r="C1" s="6" t="inlineStr">
        <is>
          <t>Low case</t>
        </is>
      </c>
      <c r="D1" s="6" t="inlineStr">
        <is>
          <t>High case</t>
        </is>
      </c>
      <c r="E1" s="6" t="inlineStr">
        <is>
          <t>Formula / source</t>
        </is>
      </c>
    </row>
    <row r="2">
      <c r="A2" s="5" t="inlineStr">
        <is>
          <t>U.S. population age 13</t>
        </is>
      </c>
      <c r="B2" s="14">
        <f>Assumptions!B9</f>
        <v/>
      </c>
      <c r="C2" s="14">
        <f>B2</f>
        <v/>
      </c>
      <c r="D2" s="14">
        <f>B2</f>
        <v/>
      </c>
      <c r="E2" s="5" t="inlineStr">
        <is>
          <t>Census NC-EST2024-AGESEX-RES</t>
        </is>
      </c>
    </row>
    <row r="3">
      <c r="A3" s="5" t="inlineStr">
        <is>
          <t>U.S. population age 14</t>
        </is>
      </c>
      <c r="B3" s="14">
        <f>Assumptions!B10</f>
        <v/>
      </c>
      <c r="C3" s="14">
        <f>B3</f>
        <v/>
      </c>
      <c r="D3" s="14">
        <f>B3</f>
        <v/>
      </c>
      <c r="E3" s="5" t="inlineStr">
        <is>
          <t>Census NC-EST2024-AGESEX-RES</t>
        </is>
      </c>
    </row>
    <row r="4">
      <c r="A4" s="5" t="inlineStr">
        <is>
          <t>U.S. population age 15</t>
        </is>
      </c>
      <c r="B4" s="14">
        <f>Assumptions!B11</f>
        <v/>
      </c>
      <c r="C4" s="14">
        <f>B4</f>
        <v/>
      </c>
      <c r="D4" s="14">
        <f>B4</f>
        <v/>
      </c>
      <c r="E4" s="5" t="inlineStr">
        <is>
          <t>Census NC-EST2024-AGESEX-RES</t>
        </is>
      </c>
    </row>
    <row r="5">
      <c r="A5" s="5" t="inlineStr">
        <is>
          <t>U.S. population age 16</t>
        </is>
      </c>
      <c r="B5" s="14">
        <f>Assumptions!B12</f>
        <v/>
      </c>
      <c r="C5" s="14">
        <f>B5</f>
        <v/>
      </c>
      <c r="D5" s="14">
        <f>B5</f>
        <v/>
      </c>
      <c r="E5" s="5" t="inlineStr">
        <is>
          <t>Census NC-EST2024-AGESEX-RES</t>
        </is>
      </c>
    </row>
    <row r="6">
      <c r="A6" s="5" t="inlineStr">
        <is>
          <t>U.S. population age 17</t>
        </is>
      </c>
      <c r="B6" s="14">
        <f>Assumptions!B13</f>
        <v/>
      </c>
      <c r="C6" s="14">
        <f>B6</f>
        <v/>
      </c>
      <c r="D6" s="14">
        <f>B6</f>
        <v/>
      </c>
      <c r="E6" s="5" t="inlineStr">
        <is>
          <t>Census NC-EST2024-AGESEX-RES</t>
        </is>
      </c>
    </row>
    <row r="7">
      <c r="A7" s="5" t="inlineStr">
        <is>
          <t>Population age 13-15</t>
        </is>
      </c>
      <c r="B7" s="14">
        <f>SUM(B2:B4)</f>
        <v/>
      </c>
      <c r="C7" s="14">
        <f>SUM(C2:C4)</f>
        <v/>
      </c>
      <c r="D7" s="14">
        <f>SUM(D2:D4)</f>
        <v/>
      </c>
      <c r="E7" s="5" t="inlineStr">
        <is>
          <t>Under-16 teen population for Pinterest because platform minimum age is 13.</t>
        </is>
      </c>
    </row>
    <row r="8">
      <c r="A8" s="5" t="inlineStr">
        <is>
          <t>Population age 16-17</t>
        </is>
      </c>
      <c r="B8" s="14">
        <f>SUM(B5:B6)</f>
        <v/>
      </c>
      <c r="C8" s="14">
        <f>SUM(C5:C6)</f>
        <v/>
      </c>
      <c r="D8" s="14">
        <f>SUM(D5:D6)</f>
        <v/>
      </c>
      <c r="E8" s="5" t="inlineStr">
        <is>
          <t>Older teen comparator.</t>
        </is>
      </c>
    </row>
    <row r="9">
      <c r="A9" s="5" t="inlineStr">
        <is>
          <t>Monthly usage assumption</t>
        </is>
      </c>
      <c r="B9" s="14">
        <f>Assumptions!B5</f>
        <v/>
      </c>
      <c r="C9" s="14">
        <f>Assumptions!B6</f>
        <v/>
      </c>
      <c r="D9" s="14">
        <f>Assumptions!B7</f>
        <v/>
      </c>
      <c r="E9" s="5" t="inlineStr">
        <is>
          <t>Piper Sandler base; low/high sensitivity chosen by model.</t>
        </is>
      </c>
    </row>
    <row r="10">
      <c r="A10" s="5" t="inlineStr">
        <is>
          <t>Estimated Pinterest MAUs age 13-15</t>
        </is>
      </c>
      <c r="B10" s="18">
        <f>B7*B9</f>
        <v/>
      </c>
      <c r="C10" s="18">
        <f>C7*C9</f>
        <v/>
      </c>
      <c r="D10" s="18">
        <f>D7*D9</f>
        <v/>
      </c>
      <c r="E10" s="5" t="inlineStr">
        <is>
          <t>Population * monthly usage.</t>
        </is>
      </c>
    </row>
    <row r="11">
      <c r="A11" s="5" t="inlineStr">
        <is>
          <t>Estimated Pinterest MAUs age 16-17</t>
        </is>
      </c>
      <c r="B11" s="14">
        <f>B8*B9</f>
        <v/>
      </c>
      <c r="C11" s="14">
        <f>C8*C9</f>
        <v/>
      </c>
      <c r="D11" s="14">
        <f>D8*D9</f>
        <v/>
      </c>
      <c r="E11" s="5" t="inlineStr">
        <is>
          <t>Population * monthly usage.</t>
        </is>
      </c>
    </row>
    <row r="12">
      <c r="A12" s="5" t="inlineStr">
        <is>
          <t>Annual U.S./Canada ARPU</t>
        </is>
      </c>
      <c r="B12" s="24">
        <f>Assumptions!B8</f>
        <v/>
      </c>
      <c r="C12" s="24">
        <f>B12</f>
        <v/>
      </c>
      <c r="D12" s="24">
        <f>B12</f>
        <v/>
      </c>
      <c r="E12" s="5" t="inlineStr">
        <is>
          <t>Pinterest 2024 annual U.S./Canada ARPU.</t>
        </is>
      </c>
    </row>
    <row r="13">
      <c r="A13" s="5" t="inlineStr">
        <is>
          <t>Estimated revenue age 13-15</t>
        </is>
      </c>
      <c r="B13" s="14">
        <f>B10*B12</f>
        <v/>
      </c>
      <c r="C13" s="14">
        <f>C10*C12</f>
        <v/>
      </c>
      <c r="D13" s="14">
        <f>D10*D12</f>
        <v/>
      </c>
      <c r="E13" s="5" t="inlineStr">
        <is>
          <t>Estimated MAUs * ARPU.</t>
        </is>
      </c>
    </row>
    <row r="14">
      <c r="A14" s="5" t="inlineStr">
        <is>
          <t>Estimated revenue age 16-17</t>
        </is>
      </c>
      <c r="B14" s="17">
        <f>B11*B12</f>
        <v/>
      </c>
      <c r="C14" s="17">
        <f>C11*C12</f>
        <v/>
      </c>
      <c r="D14" s="17">
        <f>D11*D12</f>
        <v/>
      </c>
      <c r="E14" s="5" t="inlineStr">
        <is>
          <t>Estimated MAUs * ARPU.</t>
        </is>
      </c>
    </row>
    <row r="15">
      <c r="A15" s="5" t="inlineStr">
        <is>
          <t>Estimated under-16 revenue</t>
        </is>
      </c>
      <c r="B15" s="17">
        <f>B13</f>
        <v/>
      </c>
      <c r="C15" s="17">
        <f>C13</f>
        <v/>
      </c>
      <c r="D15" s="17">
        <f>D13</f>
        <v/>
      </c>
      <c r="E15" s="5" t="inlineStr">
        <is>
          <t>Pinterest has no public comparable minor ad revenue model; this is assumption-driven.</t>
        </is>
      </c>
    </row>
  </sheetData>
  <autoFilter ref="A1:E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8" customWidth="1" min="4" max="4"/>
    <col width="48" customWidth="1" min="5" max="5"/>
    <col width="48" customWidth="1" min="6" max="6"/>
    <col width="44" customWidth="1" min="7" max="7"/>
    <col width="29" customWidth="1" min="8" max="8"/>
    <col width="45" customWidth="1" min="9" max="9"/>
  </cols>
  <sheetData>
    <row r="1">
      <c r="A1" s="6" t="inlineStr">
        <is>
          <t>Scenario</t>
        </is>
      </c>
      <c r="B1" s="6" t="inlineStr">
        <is>
          <t>13-15 share of 13-17 revenue</t>
        </is>
      </c>
      <c r="C1" s="6" t="inlineStr">
        <is>
          <t>Pinterest teen monthly usage</t>
        </is>
      </c>
      <c r="D1" s="6" t="inlineStr">
        <is>
          <t>Meta current-rate exposure</t>
        </is>
      </c>
      <c r="E1" s="6" t="inlineStr">
        <is>
          <t>Google/YouTube current-rate exposure</t>
        </is>
      </c>
      <c r="F1" s="6" t="inlineStr">
        <is>
          <t>Snap current-rate exposure</t>
        </is>
      </c>
      <c r="G1" s="6" t="inlineStr">
        <is>
          <t>Pinterest current-rate exposure</t>
        </is>
      </c>
      <c r="H1" s="6" t="inlineStr">
        <is>
          <t>Total current-rate exposure</t>
        </is>
      </c>
      <c r="I1" s="6" t="inlineStr">
        <is>
          <t>Notes</t>
        </is>
      </c>
    </row>
    <row r="2">
      <c r="A2" s="5" t="inlineStr">
        <is>
          <t>Low</t>
        </is>
      </c>
      <c r="B2" s="18">
        <f>Assumptions!B3</f>
        <v/>
      </c>
      <c r="C2" s="18">
        <f>Assumptions!B6</f>
        <v/>
      </c>
      <c r="D2" s="17">
        <f>((PLOS_2022_Inputs!G2+PLOS_2022_Inputs!G3)+B2*(PLOS_2022_Inputs!H2+PLOS_2022_Inputs!H3))*(Assumptions!B15/Assumptions!B14)</f>
        <v/>
      </c>
      <c r="E2" s="17">
        <f>(PLOS_2022_Inputs!G5+B2*PLOS_2022_Inputs!H5)*(Assumptions!B17/Assumptions!B16)</f>
        <v/>
      </c>
      <c r="F2" s="17">
        <f>(PLOS_2022_Inputs!G4+B2*PLOS_2022_Inputs!H4)*(Assumptions!B19*Assumptions!B21/(Assumptions!B18*Assumptions!B20))</f>
        <v/>
      </c>
      <c r="G2" s="17">
        <f>SUM(Assumptions!B9:B11)*C2*Assumptions!B8</f>
        <v/>
      </c>
      <c r="H2" s="17">
        <f>SUM(D2:G2)</f>
        <v/>
      </c>
      <c r="I2" s="5" t="inlineStr">
        <is>
          <t>Older-teen skew / lower Pinterest usage.</t>
        </is>
      </c>
    </row>
    <row r="3">
      <c r="A3" s="5" t="inlineStr">
        <is>
          <t>Base</t>
        </is>
      </c>
      <c r="B3" s="18">
        <f>Assumptions!B2</f>
        <v/>
      </c>
      <c r="C3" s="18">
        <f>Assumptions!B5</f>
        <v/>
      </c>
      <c r="D3" s="17">
        <f>((PLOS_2022_Inputs!G2+PLOS_2022_Inputs!G3)+B3*(PLOS_2022_Inputs!H2+PLOS_2022_Inputs!H3))*(Assumptions!B15/Assumptions!B14)</f>
        <v/>
      </c>
      <c r="E3" s="17">
        <f>(PLOS_2022_Inputs!G5+B3*PLOS_2022_Inputs!H5)*(Assumptions!B17/Assumptions!B16)</f>
        <v/>
      </c>
      <c r="F3" s="17">
        <f>(PLOS_2022_Inputs!G4+B3*PLOS_2022_Inputs!H4)*(Assumptions!B19*Assumptions!B21/(Assumptions!B18*Assumptions!B20))</f>
        <v/>
      </c>
      <c r="G3" s="17">
        <f>SUM(Assumptions!B9:B11)*C3*Assumptions!B8</f>
        <v/>
      </c>
      <c r="H3" s="17">
        <f>SUM(D3:G3)</f>
        <v/>
      </c>
      <c r="I3" s="5" t="inlineStr">
        <is>
          <t>3 of 5 teen ages allocated to ages 13-15.</t>
        </is>
      </c>
    </row>
    <row r="4">
      <c r="A4" s="5" t="inlineStr">
        <is>
          <t>High</t>
        </is>
      </c>
      <c r="B4" s="18">
        <f>Assumptions!B4</f>
        <v/>
      </c>
      <c r="C4" s="18">
        <f>Assumptions!B7</f>
        <v/>
      </c>
      <c r="D4" s="17">
        <f>((PLOS_2022_Inputs!G2+PLOS_2022_Inputs!G3)+B4*(PLOS_2022_Inputs!H2+PLOS_2022_Inputs!H3))*(Assumptions!B15/Assumptions!B14)</f>
        <v/>
      </c>
      <c r="E4" s="17">
        <f>(PLOS_2022_Inputs!G5+B4*PLOS_2022_Inputs!H5)*(Assumptions!B17/Assumptions!B16)</f>
        <v/>
      </c>
      <c r="F4" s="17">
        <f>(PLOS_2022_Inputs!G4+B4*PLOS_2022_Inputs!H4)*(Assumptions!B19*Assumptions!B21/(Assumptions!B18*Assumptions!B20))</f>
        <v/>
      </c>
      <c r="G4" s="17">
        <f>SUM(Assumptions!B9:B11)*C4*Assumptions!B8</f>
        <v/>
      </c>
      <c r="H4" s="17">
        <f>SUM(D4:G4)</f>
        <v/>
      </c>
      <c r="I4" s="5" t="inlineStr">
        <is>
          <t>Younger-teen skew / higher Pinterest usage.</t>
        </is>
      </c>
    </row>
  </sheetData>
  <autoFilter ref="A1:I4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48" customWidth="1" min="3" max="3"/>
  </cols>
  <sheetData>
    <row r="1">
      <c r="A1" s="6" t="inlineStr">
        <is>
          <t>Assumption / Input</t>
        </is>
      </c>
      <c r="B1" s="6" t="inlineStr">
        <is>
          <t>Value</t>
        </is>
      </c>
      <c r="C1" s="6" t="inlineStr">
        <is>
          <t>Notes</t>
        </is>
      </c>
    </row>
    <row r="2">
      <c r="A2" s="5" t="inlineStr">
        <is>
          <t>Model date</t>
        </is>
      </c>
      <c r="B2" s="5" t="inlineStr">
        <is>
          <t>2026-06-15</t>
        </is>
      </c>
      <c r="C2" s="5" t="inlineStr">
        <is>
          <t>Workbook generated by Cursor Cloud agent.</t>
        </is>
      </c>
    </row>
    <row r="3">
      <c r="A3" s="5" t="inlineStr">
        <is>
          <t>Base share of 13-17 revenue/users allocated to ages 13-15</t>
        </is>
      </c>
      <c r="B3" s="18" t="n">
        <v>0.6</v>
      </c>
      <c r="C3" s="5" t="inlineStr">
        <is>
          <t>Under 16 includes ages 13, 14 and 15; base assumes 3 of 5 teen ages. Sensitivity tests 50%-70%.</t>
        </is>
      </c>
    </row>
    <row r="4">
      <c r="A4" s="5" t="inlineStr">
        <is>
          <t>Low share of 13-17 allocated to ages 13-15</t>
        </is>
      </c>
      <c r="B4" s="18" t="n">
        <v>0.5</v>
      </c>
      <c r="C4" s="5" t="inlineStr">
        <is>
          <t>Accounts for older teens potentially having more usage/monetization.</t>
        </is>
      </c>
    </row>
    <row r="5">
      <c r="A5" s="5" t="inlineStr">
        <is>
          <t>High share of 13-17 allocated to ages 13-15</t>
        </is>
      </c>
      <c r="B5" s="18" t="n">
        <v>0.7</v>
      </c>
      <c r="C5" s="5" t="inlineStr">
        <is>
          <t>Accounts for younger teens potentially having comparable or higher usage.</t>
        </is>
      </c>
    </row>
    <row r="6">
      <c r="A6" s="5" t="inlineStr">
        <is>
          <t>Pinterest base monthly teen usage</t>
        </is>
      </c>
      <c r="B6" s="18" t="n">
        <v>0.35</v>
      </c>
      <c r="C6" s="5" t="inlineStr">
        <is>
          <t>Piper Sandler Taking Stock With Teens: Pinterest monthly usage peaked around 35%.</t>
        </is>
      </c>
    </row>
    <row r="7">
      <c r="A7" s="5" t="inlineStr">
        <is>
          <t>Pinterest low monthly teen usage</t>
        </is>
      </c>
      <c r="B7" s="18" t="n">
        <v>0.25</v>
      </c>
      <c r="C7" s="5" t="inlineStr">
        <is>
          <t>Sensitivity assumption.</t>
        </is>
      </c>
    </row>
    <row r="8">
      <c r="A8" s="5" t="inlineStr">
        <is>
          <t>Pinterest high monthly teen usage</t>
        </is>
      </c>
      <c r="B8" s="18" t="n">
        <v>0.45</v>
      </c>
      <c r="C8" s="5" t="inlineStr">
        <is>
          <t>Sensitivity assumption.</t>
        </is>
      </c>
    </row>
    <row r="9">
      <c r="A9" s="5" t="inlineStr">
        <is>
          <t>Pinterest annual U.S./Canada ARPU 2024</t>
        </is>
      </c>
      <c r="B9" s="24" t="n">
        <v>29.15</v>
      </c>
      <c r="C9" s="5" t="inlineStr">
        <is>
          <t>Pinterest 2024 Form 10-K: annual U.S. and Canada ARPU.</t>
        </is>
      </c>
    </row>
    <row r="10">
      <c r="A10" s="5" t="inlineStr">
        <is>
          <t>U.S. population age 13, 2024</t>
        </is>
      </c>
      <c r="B10" s="14" t="n">
        <v>4187019</v>
      </c>
      <c r="C10" s="5" t="inlineStr">
        <is>
          <t>Census NC-EST2024-AGESEX-RES, sex=0.</t>
        </is>
      </c>
    </row>
    <row r="11">
      <c r="A11" s="5" t="inlineStr">
        <is>
          <t>U.S. population age 14, 2024</t>
        </is>
      </c>
      <c r="B11" s="14" t="n">
        <v>4272434</v>
      </c>
      <c r="C11" s="5" t="inlineStr">
        <is>
          <t>Census NC-EST2024-AGESEX-RES, sex=0.</t>
        </is>
      </c>
    </row>
    <row r="12">
      <c r="A12" s="5" t="inlineStr">
        <is>
          <t>U.S. population age 15, 2024</t>
        </is>
      </c>
      <c r="B12" s="14" t="n">
        <v>4363695</v>
      </c>
      <c r="C12" s="5" t="inlineStr">
        <is>
          <t>Census NC-EST2024-AGESEX-RES, sex=0.</t>
        </is>
      </c>
    </row>
    <row r="13">
      <c r="A13" s="5" t="inlineStr">
        <is>
          <t>U.S. population age 16, 2024</t>
        </is>
      </c>
      <c r="B13" s="14" t="n">
        <v>4532690</v>
      </c>
      <c r="C13" s="5" t="inlineStr">
        <is>
          <t>Census NC-EST2024-AGESEX-RES, sex=0.</t>
        </is>
      </c>
    </row>
    <row r="14">
      <c r="A14" s="5" t="inlineStr">
        <is>
          <t>U.S. population age 17, 2024</t>
        </is>
      </c>
      <c r="B14" s="14" t="n">
        <v>4538195</v>
      </c>
      <c r="C14" s="5" t="inlineStr">
        <is>
          <t>Census NC-EST2024-AGESEX-RES, sex=0.</t>
        </is>
      </c>
    </row>
    <row r="15">
      <c r="A15" s="5" t="inlineStr">
        <is>
          <t>Meta 2022 GAAP advertising revenue</t>
        </is>
      </c>
      <c r="B15" s="24" t="n">
        <v>113642000000</v>
      </c>
      <c r="C15" s="5" t="inlineStr">
        <is>
          <t>Meta FY2023 release gives 2022 and 2023 advertising revenue.</t>
        </is>
      </c>
    </row>
    <row r="16">
      <c r="A16" s="5" t="inlineStr">
        <is>
          <t>Meta 2024 GAAP advertising revenue</t>
        </is>
      </c>
      <c r="B16" s="24" t="n">
        <v>160633000000</v>
      </c>
      <c r="C16" s="5" t="inlineStr">
        <is>
          <t>Meta FY2024 release.</t>
        </is>
      </c>
    </row>
    <row r="17">
      <c r="A17" s="5" t="inlineStr">
        <is>
          <t>YouTube ads 2022</t>
        </is>
      </c>
      <c r="B17" s="24" t="n">
        <v>29243000000</v>
      </c>
      <c r="C17" s="5" t="inlineStr">
        <is>
          <t>Alphabet 2024 Form 10-K.</t>
        </is>
      </c>
    </row>
    <row r="18">
      <c r="A18" s="5" t="inlineStr">
        <is>
          <t>YouTube ads 2024</t>
        </is>
      </c>
      <c r="B18" s="24" t="n">
        <v>36147000000</v>
      </c>
      <c r="C18" s="5" t="inlineStr">
        <is>
          <t>Alphabet 2024 Form 10-K.</t>
        </is>
      </c>
    </row>
    <row r="19">
      <c r="A19" s="5" t="inlineStr">
        <is>
          <t>Snap total revenue 2022</t>
        </is>
      </c>
      <c r="B19" s="24" t="n">
        <v>4601847000</v>
      </c>
      <c r="C19" s="5" t="inlineStr">
        <is>
          <t>Snap 2024 Form 10-K.</t>
        </is>
      </c>
    </row>
    <row r="20">
      <c r="A20" s="5" t="inlineStr">
        <is>
          <t>Snap total revenue 2024</t>
        </is>
      </c>
      <c r="B20" s="24" t="n">
        <v>5361398000</v>
      </c>
      <c r="C20" s="5" t="inlineStr">
        <is>
          <t>Snap 2024 Form 10-K.</t>
        </is>
      </c>
    </row>
    <row r="21">
      <c r="A21" s="5" t="inlineStr">
        <is>
          <t>Snap ad share of total revenue 2022</t>
        </is>
      </c>
      <c r="B21" s="18" t="n">
        <v>0.99</v>
      </c>
      <c r="C21" s="5" t="inlineStr">
        <is>
          <t>Snap 2024 Form 10-K says advertising accounted for approximately 99% of total revenue in 2022.</t>
        </is>
      </c>
    </row>
    <row r="22">
      <c r="A22" s="5" t="inlineStr">
        <is>
          <t>Snap ad share of total revenue 2024</t>
        </is>
      </c>
      <c r="B22" s="18" t="n">
        <v>0.91</v>
      </c>
      <c r="C22" s="5" t="inlineStr">
        <is>
          <t>Snap 2024 Form 10-K says advertising accounted for approximately 91% of total revenue in 2024.</t>
        </is>
      </c>
    </row>
    <row r="23">
      <c r="A23" s="5" t="inlineStr">
        <is>
          <t>Pinterest global revenue 2024</t>
        </is>
      </c>
      <c r="B23" s="24" t="n">
        <v>3646166000</v>
      </c>
      <c r="C23" s="5" t="inlineStr">
        <is>
          <t>Pinterest 2024 Form 10-K.</t>
        </is>
      </c>
    </row>
    <row r="24">
      <c r="A24" s="5" t="inlineStr">
        <is>
          <t>Pinterest U.S. and Canada revenue 2024</t>
        </is>
      </c>
      <c r="B24" s="24" t="n">
        <v>2884000000</v>
      </c>
      <c r="C24" s="5" t="inlineStr">
        <is>
          <t>Pinterest 2024 Form 10-K / FY2024 release.</t>
        </is>
      </c>
    </row>
    <row r="25">
      <c r="A25" s="5" t="inlineStr">
        <is>
          <t>Alphabet Google advertising revenue 2024, context only</t>
        </is>
      </c>
      <c r="B25" s="24" t="n">
        <v>264590000000</v>
      </c>
      <c r="C25" s="5" t="inlineStr">
        <is>
          <t>Includes Search &amp; other, YouTube ads, and Google Network; not allocated to under-16 due lack of public age/product data.</t>
        </is>
      </c>
    </row>
  </sheetData>
  <autoFilter ref="A1:C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  <col width="48" customWidth="1" min="4" max="4"/>
    <col width="48" customWidth="1" min="5" max="5"/>
  </cols>
  <sheetData>
    <row r="1">
      <c r="A1" s="6" t="inlineStr">
        <is>
          <t>Source</t>
        </is>
      </c>
      <c r="B1" s="6" t="inlineStr">
        <is>
          <t>Publisher / owner</t>
        </is>
      </c>
      <c r="C1" s="6" t="inlineStr">
        <is>
          <t>URL</t>
        </is>
      </c>
      <c r="D1" s="6" t="inlineStr">
        <is>
          <t>Inputs used</t>
        </is>
      </c>
      <c r="E1" s="6" t="inlineStr">
        <is>
          <t>Notes / limitations</t>
        </is>
      </c>
    </row>
    <row r="2">
      <c r="A2" s="5" t="inlineStr">
        <is>
          <t>Social media platforms generate billions of dollars in revenue from U.S. youth: Findings from a simulated revenue model</t>
        </is>
      </c>
      <c r="B2" s="5" t="inlineStr">
        <is>
          <t>PLOS ONE / Raffoul et al.</t>
        </is>
      </c>
      <c r="C2" s="16" t="inlineStr">
        <is>
          <t>https://pmc.ncbi.nlm.nih.gov/articles/PMC10752512/</t>
        </is>
      </c>
      <c r="D2" s="5" t="inlineStr">
        <is>
          <t>2022 U.S. youth users, youth ad revenue narrative values, U18 revenue shares, methods</t>
        </is>
      </c>
      <c r="E2" s="5" t="inlineStr">
        <is>
          <t>Peer-reviewed simulation; reports ages 0-12 and 13-17, not under-16 directly.</t>
        </is>
      </c>
    </row>
    <row r="3">
      <c r="A3" s="5" t="inlineStr">
        <is>
          <t>PLOS supplemental S1 Table</t>
        </is>
      </c>
      <c r="B3" s="5" t="inlineStr">
        <is>
          <t>PLOS ONE</t>
        </is>
      </c>
      <c r="C3" s="16" t="inlineStr">
        <is>
          <t>https://journals.plos.org/plosone/article/file?type=supplementary&amp;id=10.1371/journal.pone.0295337.s001</t>
        </is>
      </c>
      <c r="D3" s="5" t="inlineStr">
        <is>
          <t>Platform usage rates by age group</t>
        </is>
      </c>
      <c r="E3" s="5" t="inlineStr">
        <is>
          <t>Used as source register; not directly used in core formulas except context.</t>
        </is>
      </c>
    </row>
    <row r="4">
      <c r="A4" s="5" t="inlineStr">
        <is>
          <t>PLOS supplemental S2 Table</t>
        </is>
      </c>
      <c r="B4" s="5" t="inlineStr">
        <is>
          <t>PLOS ONE</t>
        </is>
      </c>
      <c r="C4" s="16" t="inlineStr">
        <is>
          <t>https://journals.plos.org/plosone/article/file?type=supplementary&amp;id=10.1371/journal.pone.0295337.s002</t>
        </is>
      </c>
      <c r="D4" s="5" t="inlineStr">
        <is>
          <t>2022 U.S. net ad revenue inputs for Facebook, Instagram, Snapchat, YouTube</t>
        </is>
      </c>
      <c r="E4" s="5" t="inlineStr">
        <is>
          <t>PLOS input based on eMarketer.</t>
        </is>
      </c>
    </row>
    <row r="5">
      <c r="A5" s="5" t="inlineStr">
        <is>
          <t>PLOS supplemental S3 Table</t>
        </is>
      </c>
      <c r="B5" s="5" t="inlineStr">
        <is>
          <t>PLOS ONE</t>
        </is>
      </c>
      <c r="C5" s="16" t="inlineStr">
        <is>
          <t>https://journals.plos.org/plosone/article/file?type=supplementary&amp;id=10.1371/journal.pone.0295337.s003</t>
        </is>
      </c>
      <c r="D5" s="5" t="inlineStr">
        <is>
          <t>2022 platform users by age group</t>
        </is>
      </c>
      <c r="E5" s="5" t="inlineStr">
        <is>
          <t>Used to reconstruct Snapchat 0-12 vs 13-17 split.</t>
        </is>
      </c>
    </row>
    <row r="6">
      <c r="A6" s="5" t="inlineStr">
        <is>
          <t>PLOS supplemental S4 Table</t>
        </is>
      </c>
      <c r="B6" s="5" t="inlineStr">
        <is>
          <t>PLOS ONE</t>
        </is>
      </c>
      <c r="C6" s="16" t="inlineStr">
        <is>
          <t>https://journals.plos.org/plosone/article/file?type=supplementary&amp;id=10.1371/journal.pone.0295337.s004</t>
        </is>
      </c>
      <c r="D6" s="5" t="inlineStr">
        <is>
          <t>Minutes per day by platform for children/adults</t>
        </is>
      </c>
      <c r="E6" s="5" t="inlineStr">
        <is>
          <t>Supports revenue-per-minute assumption and Snapchat split note.</t>
        </is>
      </c>
    </row>
    <row r="7">
      <c r="A7" s="5" t="inlineStr">
        <is>
          <t>Meta FY2024 results</t>
        </is>
      </c>
      <c r="B7" s="5" t="inlineStr">
        <is>
          <t>Meta Platforms</t>
        </is>
      </c>
      <c r="C7" s="16" t="inlineStr">
        <is>
          <t>https://www.sec.gov/Archives/edgar/data/1326801/000132680125000014/meta-12312024xexhibit991.htm</t>
        </is>
      </c>
      <c r="D7" s="5" t="inlineStr">
        <is>
          <t>2024 GAAP advertising revenue $160.633B</t>
        </is>
      </c>
      <c r="E7" s="5" t="inlineStr">
        <is>
          <t>Company disclosure.</t>
        </is>
      </c>
    </row>
    <row r="8">
      <c r="A8" s="5" t="inlineStr">
        <is>
          <t>Meta FY2023 results</t>
        </is>
      </c>
      <c r="B8" s="5" t="inlineStr">
        <is>
          <t>Meta Platforms</t>
        </is>
      </c>
      <c r="C8" s="16" t="inlineStr">
        <is>
          <t>https://www.sec.gov/Archives/edgar/data/1326801/000132680124000010/meta-12312023xexhibit991.htm</t>
        </is>
      </c>
      <c r="D8" s="5" t="inlineStr">
        <is>
          <t>2022 GAAP advertising revenue $113.642B</t>
        </is>
      </c>
      <c r="E8" s="5" t="inlineStr">
        <is>
          <t>Used for 2024/2022 scale factor.</t>
        </is>
      </c>
    </row>
    <row r="9">
      <c r="A9" s="5" t="inlineStr">
        <is>
          <t>Alphabet 2024 Form 10-K</t>
        </is>
      </c>
      <c r="B9" s="5" t="inlineStr">
        <is>
          <t>Alphabet</t>
        </is>
      </c>
      <c r="C9" s="16" t="inlineStr">
        <is>
          <t>https://abc.xyz/assets/77/51/9841ad5c4fbe85b4440c47a4df8d/goog-10-k-2024.pdf</t>
        </is>
      </c>
      <c r="D9" s="5" t="inlineStr">
        <is>
          <t>YouTube ads 2022 $29.243B and 2024 $36.147B; Google advertising 2024 $264.590B context</t>
        </is>
      </c>
      <c r="E9" s="5" t="inlineStr">
        <is>
          <t>Google estimate in model is YouTube-only.</t>
        </is>
      </c>
    </row>
    <row r="10">
      <c r="A10" s="5" t="inlineStr">
        <is>
          <t>Snap 2024 Annual Report / Form 10-K</t>
        </is>
      </c>
      <c r="B10" s="5" t="inlineStr">
        <is>
          <t>Snap Inc.</t>
        </is>
      </c>
      <c r="C10" s="16" t="inlineStr">
        <is>
          <t>https://s25.q4cdn.com/442043304/files/doc_financials/2024/q4/2024-Annual-Report.pdf</t>
        </is>
      </c>
      <c r="D10" s="5" t="inlineStr">
        <is>
          <t>Total revenue 2022/2024; ad revenue share 99%/91%; geographic revenue context</t>
        </is>
      </c>
      <c r="E10" s="5" t="inlineStr">
        <is>
          <t>Snap ad revenue denominator estimated as total revenue * disclosed ad-share.</t>
        </is>
      </c>
    </row>
    <row r="11">
      <c r="A11" s="5" t="inlineStr">
        <is>
          <t>Pinterest 2024 Annual Report / Form 10-K</t>
        </is>
      </c>
      <c r="B11" s="5" t="inlineStr">
        <is>
          <t>Pinterest</t>
        </is>
      </c>
      <c r="C11" s="16" t="inlineStr">
        <is>
          <t>https://companiesmarketcap.com/pinterest/sec-reports-10k/0001506293-25-000022/</t>
        </is>
      </c>
      <c r="D11" s="5" t="inlineStr">
        <is>
          <t>2024 global revenue $3.646B; U.S./Canada revenue $2.884B; annual U.S./Canada ARPU $29.15; MAUs 553M</t>
        </is>
      </c>
      <c r="E11" s="5" t="inlineStr">
        <is>
          <t>Pinterest estimate is assumption-driven.</t>
        </is>
      </c>
    </row>
    <row r="12">
      <c r="A12" s="5" t="inlineStr">
        <is>
          <t>Pew Research Teens, Social Media and Technology 2024</t>
        </is>
      </c>
      <c r="B12" s="5" t="inlineStr">
        <is>
          <t>Pew Research Center</t>
        </is>
      </c>
      <c r="C12" s="16" t="inlineStr">
        <is>
          <t>https://www.pewresearch.org/internet/2024/12/12/teens-social-media-and-technology-2024</t>
        </is>
      </c>
      <c r="D12" s="5" t="inlineStr">
        <is>
          <t>2024 teen usage context for YouTube, Instagram, Snapchat and Facebook</t>
        </is>
      </c>
      <c r="E12" s="5" t="inlineStr">
        <is>
          <t>Pew did not include Pinterest in primary 2024 set.</t>
        </is>
      </c>
    </row>
    <row r="13">
      <c r="A13" s="5" t="inlineStr">
        <is>
          <t>Piper Sandler Taking Stock With Teens Fall 2023</t>
        </is>
      </c>
      <c r="B13" s="5" t="inlineStr">
        <is>
          <t>Piper Sandler</t>
        </is>
      </c>
      <c r="C13" s="16" t="inlineStr">
        <is>
          <t>https://www.pipersandler.com/sites/default/files/document/319321.2.pdf</t>
        </is>
      </c>
      <c r="D13" s="5" t="inlineStr">
        <is>
          <t>Pinterest monthly teen usage ~35%</t>
        </is>
      </c>
      <c r="E13" s="5" t="inlineStr">
        <is>
          <t>Survey sample and methodology differ from Census/PLOS; used only for Pinterest assumption.</t>
        </is>
      </c>
    </row>
    <row r="14">
      <c r="A14" s="5" t="inlineStr">
        <is>
          <t>Census NC-EST2024-AGESEX-RES</t>
        </is>
      </c>
      <c r="B14" s="5" t="inlineStr">
        <is>
          <t>U.S. Census Bureau</t>
        </is>
      </c>
      <c r="C14" s="16" t="inlineStr">
        <is>
          <t>https://www2.census.gov/programs-surveys/popest/datasets/2020-2024/national/asrh/nc-est2024-agesex-res.csv</t>
        </is>
      </c>
      <c r="D14" s="5" t="inlineStr">
        <is>
          <t>2024 U.S. population ages 13, 14, 15, 16, 17</t>
        </is>
      </c>
      <c r="E14" s="5" t="inlineStr">
        <is>
          <t>Used for Pinterest user estimate.</t>
        </is>
      </c>
    </row>
    <row r="15">
      <c r="A15" s="5" t="inlineStr">
        <is>
          <t>DataReportal Essential Pinterest Stats</t>
        </is>
      </c>
      <c r="B15" s="5" t="inlineStr">
        <is>
          <t>DataReportal</t>
        </is>
      </c>
      <c r="C15" s="16" t="inlineStr">
        <is>
          <t>https://datareportal.com/essential-pinterest-stats</t>
        </is>
      </c>
      <c r="D15" s="5" t="inlineStr">
        <is>
          <t>Pinterest advertising tools publish limited data below age 18</t>
        </is>
      </c>
      <c r="E15" s="5" t="inlineStr">
        <is>
          <t>Supports limitation note; not used directly in formulas.</t>
        </is>
      </c>
    </row>
  </sheetData>
  <autoFilter ref="A1:E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</hyperlinks>
  <pageMargins left="0.75" right="0.75" top="1" bottom="1" header="0.5" footer="0.5"/>
  <tableParts count="1">
    <tablePart xmlns:r="http://schemas.openxmlformats.org/officeDocument/2006/relationships" r:id="rId1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2026-06-15T14:29:02Z</dcterms:created>
  <dcterms:modified xsi:type="dcterms:W3CDTF">2026-06-15T14:30:45Z</dcterms:modified>
</cp:coreProperties>
</file>