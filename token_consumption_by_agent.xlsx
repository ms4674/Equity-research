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i val="1"/>
    </font>
    <font>
      <b val="1"/>
      <color rgb="001F4E78"/>
      <sz val="11"/>
    </font>
    <font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pivotButton="0" quotePrefix="0" xfId="0"/>
    <xf numFmtId="0" fontId="5" fillId="4" borderId="1" applyAlignment="1" pivotButton="0" quotePrefix="0" xfId="0">
      <alignment horizontal="center"/>
    </xf>
    <xf numFmtId="3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Monthly Token Consumption by AI Agent Vertical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'Token Consumption'!B4</f>
            </strRef>
          </tx>
          <spPr>
            <a:ln>
              <a:prstDash val="solid"/>
            </a:ln>
          </spPr>
          <cat>
            <numRef>
              <f>'Token Consumption'!$A$5:$A$16</f>
            </numRef>
          </cat>
          <val>
            <numRef>
              <f>'Token Consumption'!$B$5:$B$16</f>
            </numRef>
          </val>
        </ser>
        <ser>
          <idx val="1"/>
          <order val="1"/>
          <tx>
            <strRef>
              <f>'Token Consumption'!C4</f>
            </strRef>
          </tx>
          <spPr>
            <a:ln>
              <a:prstDash val="solid"/>
            </a:ln>
          </spPr>
          <cat>
            <numRef>
              <f>'Token Consumption'!$A$5:$A$16</f>
            </numRef>
          </cat>
          <val>
            <numRef>
              <f>'Token Consumption'!$C$5:$C$16</f>
            </numRef>
          </val>
        </ser>
        <ser>
          <idx val="2"/>
          <order val="2"/>
          <tx>
            <strRef>
              <f>'Token Consumption'!D4</f>
            </strRef>
          </tx>
          <spPr>
            <a:ln>
              <a:prstDash val="solid"/>
            </a:ln>
          </spPr>
          <cat>
            <numRef>
              <f>'Token Consumption'!$A$5:$A$16</f>
            </numRef>
          </cat>
          <val>
            <numRef>
              <f>'Token Consumption'!$D$5:$D$16</f>
            </numRef>
          </val>
        </ser>
        <dLbls>
          <showVal val="0"/>
        </dLbls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 Consumed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36" customWidth="1" min="4" max="4"/>
    <col width="18" customWidth="1" min="5" max="5"/>
  </cols>
  <sheetData>
    <row r="1">
      <c r="A1" s="1" t="inlineStr">
        <is>
          <t>Monthly Token Consumption by AI Agent Vertical (M tokens)</t>
        </is>
      </c>
    </row>
    <row r="2">
      <c r="A2" s="2" t="inlineStr">
        <is>
          <t>Values shown in millions of tokens consumed per month.</t>
        </is>
      </c>
    </row>
    <row r="4">
      <c r="A4" s="3" t="inlineStr">
        <is>
          <t>Month</t>
        </is>
      </c>
      <c r="B4" s="3" t="inlineStr">
        <is>
          <t>Coding Agent</t>
        </is>
      </c>
      <c r="C4" s="3" t="inlineStr">
        <is>
          <t>Customer Service Agent</t>
        </is>
      </c>
      <c r="D4" s="3" t="inlineStr">
        <is>
          <t>Banking &amp; Financial Services Agent</t>
        </is>
      </c>
      <c r="E4" s="3" t="inlineStr">
        <is>
          <t>Monthly Total</t>
        </is>
      </c>
    </row>
    <row r="5">
      <c r="A5" s="4" t="inlineStr">
        <is>
          <t>2025-05</t>
        </is>
      </c>
      <c r="B5" s="5" t="n">
        <v>420</v>
      </c>
      <c r="C5" s="5" t="n">
        <v>150</v>
      </c>
      <c r="D5" s="5" t="n">
        <v>240</v>
      </c>
      <c r="E5" s="5">
        <f>SUM(B5:D5)</f>
        <v/>
      </c>
    </row>
    <row r="6">
      <c r="A6" s="4" t="inlineStr">
        <is>
          <t>2025-06</t>
        </is>
      </c>
      <c r="B6" s="5" t="n">
        <v>465</v>
      </c>
      <c r="C6" s="5" t="n">
        <v>162</v>
      </c>
      <c r="D6" s="5" t="n">
        <v>258</v>
      </c>
      <c r="E6" s="5">
        <f>SUM(B6:D6)</f>
        <v/>
      </c>
    </row>
    <row r="7">
      <c r="A7" s="4" t="inlineStr">
        <is>
          <t>2025-07</t>
        </is>
      </c>
      <c r="B7" s="5" t="n">
        <v>530</v>
      </c>
      <c r="C7" s="5" t="n">
        <v>175</v>
      </c>
      <c r="D7" s="5" t="n">
        <v>285</v>
      </c>
      <c r="E7" s="5">
        <f>SUM(B7:D7)</f>
        <v/>
      </c>
    </row>
    <row r="8">
      <c r="A8" s="4" t="inlineStr">
        <is>
          <t>2025-08</t>
        </is>
      </c>
      <c r="B8" s="5" t="n">
        <v>612</v>
      </c>
      <c r="C8" s="5" t="n">
        <v>188</v>
      </c>
      <c r="D8" s="5" t="n">
        <v>310</v>
      </c>
      <c r="E8" s="5">
        <f>SUM(B8:D8)</f>
        <v/>
      </c>
    </row>
    <row r="9">
      <c r="A9" s="4" t="inlineStr">
        <is>
          <t>2025-09</t>
        </is>
      </c>
      <c r="B9" s="5" t="n">
        <v>690</v>
      </c>
      <c r="C9" s="5" t="n">
        <v>205</v>
      </c>
      <c r="D9" s="5" t="n">
        <v>345</v>
      </c>
      <c r="E9" s="5">
        <f>SUM(B9:D9)</f>
        <v/>
      </c>
    </row>
    <row r="10">
      <c r="A10" s="4" t="inlineStr">
        <is>
          <t>2025-10</t>
        </is>
      </c>
      <c r="B10" s="5" t="n">
        <v>755</v>
      </c>
      <c r="C10" s="5" t="n">
        <v>220</v>
      </c>
      <c r="D10" s="5" t="n">
        <v>372</v>
      </c>
      <c r="E10" s="5">
        <f>SUM(B10:D10)</f>
        <v/>
      </c>
    </row>
    <row r="11">
      <c r="A11" s="4" t="inlineStr">
        <is>
          <t>2025-11</t>
        </is>
      </c>
      <c r="B11" s="5" t="n">
        <v>810</v>
      </c>
      <c r="C11" s="5" t="n">
        <v>232</v>
      </c>
      <c r="D11" s="5" t="n">
        <v>398</v>
      </c>
      <c r="E11" s="5">
        <f>SUM(B11:D11)</f>
        <v/>
      </c>
    </row>
    <row r="12">
      <c r="A12" s="4" t="inlineStr">
        <is>
          <t>2025-12</t>
        </is>
      </c>
      <c r="B12" s="5" t="n">
        <v>845</v>
      </c>
      <c r="C12" s="5" t="n">
        <v>245</v>
      </c>
      <c r="D12" s="5" t="n">
        <v>420</v>
      </c>
      <c r="E12" s="5">
        <f>SUM(B12:D12)</f>
        <v/>
      </c>
    </row>
    <row r="13">
      <c r="A13" s="4" t="inlineStr">
        <is>
          <t>2026-01</t>
        </is>
      </c>
      <c r="B13" s="5" t="n">
        <v>905</v>
      </c>
      <c r="C13" s="5" t="n">
        <v>260</v>
      </c>
      <c r="D13" s="5" t="n">
        <v>455</v>
      </c>
      <c r="E13" s="5">
        <f>SUM(B13:D13)</f>
        <v/>
      </c>
    </row>
    <row r="14">
      <c r="A14" s="4" t="inlineStr">
        <is>
          <t>2026-02</t>
        </is>
      </c>
      <c r="B14" s="5" t="n">
        <v>980</v>
      </c>
      <c r="C14" s="5" t="n">
        <v>278</v>
      </c>
      <c r="D14" s="5" t="n">
        <v>490</v>
      </c>
      <c r="E14" s="5">
        <f>SUM(B14:D14)</f>
        <v/>
      </c>
    </row>
    <row r="15">
      <c r="A15" s="4" t="inlineStr">
        <is>
          <t>2026-03</t>
        </is>
      </c>
      <c r="B15" s="5" t="n">
        <v>1060</v>
      </c>
      <c r="C15" s="5" t="n">
        <v>295</v>
      </c>
      <c r="D15" s="5" t="n">
        <v>528</v>
      </c>
      <c r="E15" s="5">
        <f>SUM(B15:D15)</f>
        <v/>
      </c>
    </row>
    <row r="16">
      <c r="A16" s="4" t="inlineStr">
        <is>
          <t>2026-04</t>
        </is>
      </c>
      <c r="B16" s="5" t="n">
        <v>1145</v>
      </c>
      <c r="C16" s="5" t="n">
        <v>312</v>
      </c>
      <c r="D16" s="5" t="n">
        <v>565</v>
      </c>
      <c r="E16" s="5">
        <f>SUM(B16:D16)</f>
        <v/>
      </c>
    </row>
    <row r="17">
      <c r="A17" s="6" t="inlineStr">
        <is>
          <t>12-Month Total</t>
        </is>
      </c>
      <c r="B17" s="7">
        <f>SUM(B5:B16)</f>
        <v/>
      </c>
      <c r="C17" s="7">
        <f>SUM(C5:C16)</f>
        <v/>
      </c>
      <c r="D17" s="7">
        <f>SUM(D5:D16)</f>
        <v/>
      </c>
      <c r="E17" s="7">
        <f>SUM(E5:E16)</f>
        <v/>
      </c>
    </row>
    <row r="18">
      <c r="A18" s="8" t="inlineStr">
        <is>
          <t>Monthly Average</t>
        </is>
      </c>
      <c r="B18" s="9">
        <f>AVERAGE(B5:B16)</f>
        <v/>
      </c>
      <c r="C18" s="9">
        <f>AVERAGE(C5:C16)</f>
        <v/>
      </c>
      <c r="D18" s="9">
        <f>AVERAGE(D5:D16)</f>
        <v/>
      </c>
      <c r="E18" s="9">
        <f>AVERAGE(E5:E16)</f>
        <v/>
      </c>
    </row>
    <row r="21">
      <c r="A21" s="10" t="inlineStr">
        <is>
          <t>Notes &amp; Assumptions</t>
        </is>
      </c>
    </row>
    <row r="22">
      <c r="A22" s="11" t="inlineStr">
        <is>
          <t>1. Token volumes are illustrative monthly totals across all interactions for each agent vertical.</t>
        </is>
      </c>
    </row>
    <row r="23">
      <c r="A23" s="11" t="inlineStr">
        <is>
          <t>2. Coding Agent: large source-code context windows and multi-file edits drive higher per-task token cost.</t>
        </is>
      </c>
    </row>
    <row r="24">
      <c r="A24" s="11" t="inlineStr">
        <is>
          <t>3. Customer Service Agent: short conversational turns; high interaction volume but low tokens per turn.</t>
        </is>
      </c>
    </row>
    <row r="25">
      <c r="A25" s="11" t="inlineStr">
        <is>
          <t>4. Banking &amp; Financial Services Agent: moderate volume; analysis of statements, reports, and disclosures.</t>
        </is>
      </c>
    </row>
    <row r="26">
      <c r="A26" s="11" t="inlineStr">
        <is>
          <t>5. Growth trend reflects expanding adoption and richer multi-turn workflows over the 12-month window.</t>
        </is>
      </c>
    </row>
  </sheetData>
  <mergeCells count="7">
    <mergeCell ref="A26:E26"/>
    <mergeCell ref="A24:E24"/>
    <mergeCell ref="A2:E2"/>
    <mergeCell ref="A25:E25"/>
    <mergeCell ref="A1:E1"/>
    <mergeCell ref="A23:E23"/>
    <mergeCell ref="A22:E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2026-04-18T02:20:19Z</dcterms:created>
  <dcterms:modified xsi:type="dcterms:W3CDTF">2026-04-18T02:20:19Z</dcterms:modified>
</cp:coreProperties>
</file>