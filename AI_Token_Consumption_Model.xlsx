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Forecast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3" fontId="0" fillId="3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4" fontId="0" fillId="3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Quarterly Token Consumption by Modality (Trillions)</a:t>
            </a:r>
          </a:p>
        </rich>
      </tx>
    </title>
    <plotArea>
      <lineChart>
        <grouping val="standard"/>
        <ser>
          <idx val="0"/>
          <order val="0"/>
          <tx>
            <strRef>
              <f>'Forecast'!A4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'Forecast'!$B$3:$U$3</f>
            </numRef>
          </cat>
          <val>
            <numRef>
              <f>'Forecast'!$B$4:$U$4</f>
            </numRef>
          </val>
          <smooth val="1"/>
        </ser>
        <ser>
          <idx val="1"/>
          <order val="1"/>
          <tx>
            <strRef>
              <f>'Forecast'!A5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'Forecast'!$B$3:$U$3</f>
            </numRef>
          </cat>
          <val>
            <numRef>
              <f>'Forecast'!$B$5:$U$5</f>
            </numRef>
          </val>
          <smooth val="1"/>
        </ser>
        <ser>
          <idx val="2"/>
          <order val="2"/>
          <tx>
            <strRef>
              <f>'Forecast'!A6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'Forecast'!$B$3:$U$3</f>
            </numRef>
          </cat>
          <val>
            <numRef>
              <f>'Forecast'!$B$6:$U$6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Tokens (Trillions)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Annual Token Consumption by Modality (Trillions)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'Forecast'!A11</f>
            </strRef>
          </tx>
          <spPr>
            <a:ln>
              <a:prstDash val="solid"/>
            </a:ln>
          </spPr>
          <cat>
            <numRef>
              <f>'Forecast'!$B$10:$F$10</f>
            </numRef>
          </cat>
          <val>
            <numRef>
              <f>'Forecast'!$B$11:$F$11</f>
            </numRef>
          </val>
        </ser>
        <ser>
          <idx val="1"/>
          <order val="1"/>
          <tx>
            <strRef>
              <f>'Forecast'!A12</f>
            </strRef>
          </tx>
          <spPr>
            <a:ln>
              <a:prstDash val="solid"/>
            </a:ln>
          </spPr>
          <cat>
            <numRef>
              <f>'Forecast'!$B$10:$F$10</f>
            </numRef>
          </cat>
          <val>
            <numRef>
              <f>'Forecast'!$B$12:$F$12</f>
            </numRef>
          </val>
        </ser>
        <ser>
          <idx val="2"/>
          <order val="2"/>
          <tx>
            <strRef>
              <f>'Forecast'!A13</f>
            </strRef>
          </tx>
          <spPr>
            <a:ln>
              <a:prstDash val="solid"/>
            </a:ln>
          </spPr>
          <cat>
            <numRef>
              <f>'Forecast'!$B$10:$F$10</f>
            </numRef>
          </cat>
          <val>
            <numRef>
              <f>'Forecast'!$B$13:$F$13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Tokens (Trillions)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Annual Token Mix — Stacked (Trillions)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'Forecast'!A11</f>
            </strRef>
          </tx>
          <spPr>
            <a:ln>
              <a:prstDash val="solid"/>
            </a:ln>
          </spPr>
          <cat>
            <numRef>
              <f>'Forecast'!$B$10:$F$10</f>
            </numRef>
          </cat>
          <val>
            <numRef>
              <f>'Forecast'!$B$11:$F$11</f>
            </numRef>
          </val>
        </ser>
        <ser>
          <idx val="1"/>
          <order val="1"/>
          <tx>
            <strRef>
              <f>'Forecast'!A12</f>
            </strRef>
          </tx>
          <spPr>
            <a:ln>
              <a:prstDash val="solid"/>
            </a:ln>
          </spPr>
          <cat>
            <numRef>
              <f>'Forecast'!$B$10:$F$10</f>
            </numRef>
          </cat>
          <val>
            <numRef>
              <f>'Forecast'!$B$12:$F$12</f>
            </numRef>
          </val>
        </ser>
        <ser>
          <idx val="2"/>
          <order val="2"/>
          <tx>
            <strRef>
              <f>'Forecast'!A13</f>
            </strRef>
          </tx>
          <spPr>
            <a:ln>
              <a:prstDash val="solid"/>
            </a:ln>
          </spPr>
          <cat>
            <numRef>
              <f>'Forecast'!$B$10:$F$10</f>
            </numRef>
          </cat>
          <val>
            <numRef>
              <f>'Forecast'!$B$13:$F$13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Tokens (Trillions)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25</row>
      <rowOff>0</rowOff>
    </from>
    <ext cx="792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48</row>
      <rowOff>0</rowOff>
    </from>
    <ext cx="792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AI Inference Token Consumption — Model Assumptions</t>
        </is>
      </c>
    </row>
    <row r="2">
      <c r="A2" s="2" t="inlineStr">
        <is>
          <t>All figures are illustrative; edit the yellow cells to flex the model.</t>
        </is>
      </c>
    </row>
    <row r="4">
      <c r="A4" s="3" t="inlineStr">
        <is>
          <t>Driver</t>
        </is>
      </c>
      <c r="B4" s="3" t="inlineStr">
        <is>
          <t>Text</t>
        </is>
      </c>
      <c r="C4" s="3" t="inlineStr">
        <is>
          <t>Voice</t>
        </is>
      </c>
      <c r="D4" s="3" t="inlineStr">
        <is>
          <t>Video</t>
        </is>
      </c>
    </row>
    <row r="5">
      <c r="A5" s="4" t="inlineStr">
        <is>
          <t>Initial monthly active users (M, Q1 2024)</t>
        </is>
      </c>
      <c r="B5" s="5" t="n">
        <v>500</v>
      </c>
      <c r="C5" s="5" t="n">
        <v>60</v>
      </c>
      <c r="D5" s="5" t="n">
        <v>12</v>
      </c>
    </row>
    <row r="6">
      <c r="A6" s="4" t="inlineStr">
        <is>
          <t>User CAGR (annualized)</t>
        </is>
      </c>
      <c r="B6" s="6" t="n">
        <v>0.45</v>
      </c>
      <c r="C6" s="6" t="n">
        <v>0.85</v>
      </c>
      <c r="D6" s="6" t="n">
        <v>1.2</v>
      </c>
    </row>
    <row r="7">
      <c r="A7" s="4" t="inlineStr">
        <is>
          <t>Avg sessions per user per day</t>
        </is>
      </c>
      <c r="B7" s="7" t="n">
        <v>8</v>
      </c>
      <c r="C7" s="7" t="n">
        <v>2</v>
      </c>
      <c r="D7" s="7" t="n">
        <v>0.5</v>
      </c>
    </row>
    <row r="8">
      <c r="A8" s="4" t="inlineStr">
        <is>
          <t>Avg tokens per session</t>
        </is>
      </c>
      <c r="B8" s="5" t="n">
        <v>750</v>
      </c>
      <c r="C8" s="5" t="n">
        <v>6000</v>
      </c>
      <c r="D8" s="5" t="n">
        <v>60000</v>
      </c>
    </row>
    <row r="9">
      <c r="A9" s="4" t="inlineStr">
        <is>
          <t>Days per quarter</t>
        </is>
      </c>
      <c r="B9" s="7" t="n">
        <v>91</v>
      </c>
      <c r="C9" s="7" t="n">
        <v>91</v>
      </c>
      <c r="D9" s="7" t="n">
        <v>91</v>
      </c>
    </row>
    <row r="12">
      <c r="A12" s="4" t="inlineStr">
        <is>
          <t>Notes</t>
        </is>
      </c>
    </row>
    <row r="13">
      <c r="A13" s="8" t="inlineStr">
        <is>
          <t>Tokens-per-session benchmarks reflect typical 2025 multimodal models:</t>
        </is>
      </c>
    </row>
    <row r="14">
      <c r="A14" s="8" t="inlineStr">
        <is>
          <t xml:space="preserve">  Text  ≈ 500-1,000 tokens (prompt + completion)</t>
        </is>
      </c>
    </row>
    <row r="15">
      <c r="A15" s="8" t="inlineStr">
        <is>
          <t xml:space="preserve">  Voice ≈ 3,000 tokens / minute (ASR + LLM + TTS), ~2-min session</t>
        </is>
      </c>
    </row>
    <row r="16">
      <c r="A16" s="8" t="inlineStr">
        <is>
          <t xml:space="preserve">  Video ≈ 50,000 tokens / minute (frame patch tokens), ~1-min clip</t>
        </is>
      </c>
    </row>
    <row r="17">
      <c r="A17" s="8" t="inlineStr">
        <is>
          <t>Quarterly user growth = (1 + CAGR) ^ (1/4) compounded from Q1 2024.</t>
        </is>
      </c>
    </row>
  </sheetData>
  <mergeCells count="7">
    <mergeCell ref="A1:D1"/>
    <mergeCell ref="A17:D17"/>
    <mergeCell ref="A15:D15"/>
    <mergeCell ref="A2:D2"/>
    <mergeCell ref="A16:D16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3" customWidth="1" min="22" max="22"/>
  </cols>
  <sheetData>
    <row r="1">
      <c r="A1" s="1" t="inlineStr">
        <is>
          <t>Quarterly Token Consumption Forecast (Trillions of Tokens)</t>
        </is>
      </c>
    </row>
    <row r="3">
      <c r="A3" s="3" t="inlineStr">
        <is>
          <t>Modality</t>
        </is>
      </c>
      <c r="B3" s="3" t="inlineStr">
        <is>
          <t>Q1 2024</t>
        </is>
      </c>
      <c r="C3" s="3" t="inlineStr">
        <is>
          <t>Q2 2024</t>
        </is>
      </c>
      <c r="D3" s="3" t="inlineStr">
        <is>
          <t>Q3 2024</t>
        </is>
      </c>
      <c r="E3" s="3" t="inlineStr">
        <is>
          <t>Q4 2024</t>
        </is>
      </c>
      <c r="F3" s="3" t="inlineStr">
        <is>
          <t>Q1 2025</t>
        </is>
      </c>
      <c r="G3" s="3" t="inlineStr">
        <is>
          <t>Q2 2025</t>
        </is>
      </c>
      <c r="H3" s="3" t="inlineStr">
        <is>
          <t>Q3 2025</t>
        </is>
      </c>
      <c r="I3" s="3" t="inlineStr">
        <is>
          <t>Q4 2025</t>
        </is>
      </c>
      <c r="J3" s="3" t="inlineStr">
        <is>
          <t>Q1 2026</t>
        </is>
      </c>
      <c r="K3" s="3" t="inlineStr">
        <is>
          <t>Q2 2026</t>
        </is>
      </c>
      <c r="L3" s="3" t="inlineStr">
        <is>
          <t>Q3 2026</t>
        </is>
      </c>
      <c r="M3" s="3" t="inlineStr">
        <is>
          <t>Q4 2026</t>
        </is>
      </c>
      <c r="N3" s="3" t="inlineStr">
        <is>
          <t>Q1 2027</t>
        </is>
      </c>
      <c r="O3" s="3" t="inlineStr">
        <is>
          <t>Q2 2027</t>
        </is>
      </c>
      <c r="P3" s="3" t="inlineStr">
        <is>
          <t>Q3 2027</t>
        </is>
      </c>
      <c r="Q3" s="3" t="inlineStr">
        <is>
          <t>Q4 2027</t>
        </is>
      </c>
      <c r="R3" s="3" t="inlineStr">
        <is>
          <t>Q1 2028</t>
        </is>
      </c>
      <c r="S3" s="3" t="inlineStr">
        <is>
          <t>Q2 2028</t>
        </is>
      </c>
      <c r="T3" s="3" t="inlineStr">
        <is>
          <t>Q3 2028</t>
        </is>
      </c>
      <c r="U3" s="3" t="inlineStr">
        <is>
          <t>Q4 2028</t>
        </is>
      </c>
      <c r="V3" s="3" t="inlineStr">
        <is>
          <t>5-Yr Total</t>
        </is>
      </c>
    </row>
    <row r="4">
      <c r="A4" s="9" t="inlineStr">
        <is>
          <t>Text</t>
        </is>
      </c>
      <c r="B4" s="10">
        <f>((Assumptions!$B$5 * (1 + Assumptions!$B$6) ^ (0/4)) * 1000000 * Assumptions!$B$7 * Assumptions!$B$8 * Assumptions!$B$9)/1e12</f>
        <v/>
      </c>
      <c r="C4" s="10">
        <f>((Assumptions!$B$5 * (1 + Assumptions!$B$6) ^ (1/4)) * 1000000 * Assumptions!$B$7 * Assumptions!$B$8 * Assumptions!$B$9)/1e12</f>
        <v/>
      </c>
      <c r="D4" s="10">
        <f>((Assumptions!$B$5 * (1 + Assumptions!$B$6) ^ (2/4)) * 1000000 * Assumptions!$B$7 * Assumptions!$B$8 * Assumptions!$B$9)/1e12</f>
        <v/>
      </c>
      <c r="E4" s="10">
        <f>((Assumptions!$B$5 * (1 + Assumptions!$B$6) ^ (3/4)) * 1000000 * Assumptions!$B$7 * Assumptions!$B$8 * Assumptions!$B$9)/1e12</f>
        <v/>
      </c>
      <c r="F4" s="10">
        <f>((Assumptions!$B$5 * (1 + Assumptions!$B$6) ^ (4/4)) * 1000000 * Assumptions!$B$7 * Assumptions!$B$8 * Assumptions!$B$9)/1e12</f>
        <v/>
      </c>
      <c r="G4" s="10">
        <f>((Assumptions!$B$5 * (1 + Assumptions!$B$6) ^ (5/4)) * 1000000 * Assumptions!$B$7 * Assumptions!$B$8 * Assumptions!$B$9)/1e12</f>
        <v/>
      </c>
      <c r="H4" s="10">
        <f>((Assumptions!$B$5 * (1 + Assumptions!$B$6) ^ (6/4)) * 1000000 * Assumptions!$B$7 * Assumptions!$B$8 * Assumptions!$B$9)/1e12</f>
        <v/>
      </c>
      <c r="I4" s="10">
        <f>((Assumptions!$B$5 * (1 + Assumptions!$B$6) ^ (7/4)) * 1000000 * Assumptions!$B$7 * Assumptions!$B$8 * Assumptions!$B$9)/1e12</f>
        <v/>
      </c>
      <c r="J4" s="10">
        <f>((Assumptions!$B$5 * (1 + Assumptions!$B$6) ^ (8/4)) * 1000000 * Assumptions!$B$7 * Assumptions!$B$8 * Assumptions!$B$9)/1e12</f>
        <v/>
      </c>
      <c r="K4" s="10">
        <f>((Assumptions!$B$5 * (1 + Assumptions!$B$6) ^ (9/4)) * 1000000 * Assumptions!$B$7 * Assumptions!$B$8 * Assumptions!$B$9)/1e12</f>
        <v/>
      </c>
      <c r="L4" s="10">
        <f>((Assumptions!$B$5 * (1 + Assumptions!$B$6) ^ (10/4)) * 1000000 * Assumptions!$B$7 * Assumptions!$B$8 * Assumptions!$B$9)/1e12</f>
        <v/>
      </c>
      <c r="M4" s="10">
        <f>((Assumptions!$B$5 * (1 + Assumptions!$B$6) ^ (11/4)) * 1000000 * Assumptions!$B$7 * Assumptions!$B$8 * Assumptions!$B$9)/1e12</f>
        <v/>
      </c>
      <c r="N4" s="10">
        <f>((Assumptions!$B$5 * (1 + Assumptions!$B$6) ^ (12/4)) * 1000000 * Assumptions!$B$7 * Assumptions!$B$8 * Assumptions!$B$9)/1e12</f>
        <v/>
      </c>
      <c r="O4" s="10">
        <f>((Assumptions!$B$5 * (1 + Assumptions!$B$6) ^ (13/4)) * 1000000 * Assumptions!$B$7 * Assumptions!$B$8 * Assumptions!$B$9)/1e12</f>
        <v/>
      </c>
      <c r="P4" s="10">
        <f>((Assumptions!$B$5 * (1 + Assumptions!$B$6) ^ (14/4)) * 1000000 * Assumptions!$B$7 * Assumptions!$B$8 * Assumptions!$B$9)/1e12</f>
        <v/>
      </c>
      <c r="Q4" s="10">
        <f>((Assumptions!$B$5 * (1 + Assumptions!$B$6) ^ (15/4)) * 1000000 * Assumptions!$B$7 * Assumptions!$B$8 * Assumptions!$B$9)/1e12</f>
        <v/>
      </c>
      <c r="R4" s="10">
        <f>((Assumptions!$B$5 * (1 + Assumptions!$B$6) ^ (16/4)) * 1000000 * Assumptions!$B$7 * Assumptions!$B$8 * Assumptions!$B$9)/1e12</f>
        <v/>
      </c>
      <c r="S4" s="10">
        <f>((Assumptions!$B$5 * (1 + Assumptions!$B$6) ^ (17/4)) * 1000000 * Assumptions!$B$7 * Assumptions!$B$8 * Assumptions!$B$9)/1e12</f>
        <v/>
      </c>
      <c r="T4" s="10">
        <f>((Assumptions!$B$5 * (1 + Assumptions!$B$6) ^ (18/4)) * 1000000 * Assumptions!$B$7 * Assumptions!$B$8 * Assumptions!$B$9)/1e12</f>
        <v/>
      </c>
      <c r="U4" s="10">
        <f>((Assumptions!$B$5 * (1 + Assumptions!$B$6) ^ (19/4)) * 1000000 * Assumptions!$B$7 * Assumptions!$B$8 * Assumptions!$B$9)/1e12</f>
        <v/>
      </c>
      <c r="V4" s="11">
        <f>SUM(B4:U4)</f>
        <v/>
      </c>
    </row>
    <row r="5">
      <c r="A5" s="9" t="inlineStr">
        <is>
          <t>Voice</t>
        </is>
      </c>
      <c r="B5" s="10">
        <f>((Assumptions!$C$5 * (1 + Assumptions!$C$6) ^ (0/4)) * 1000000 * Assumptions!$C$7 * Assumptions!$C$8 * Assumptions!$C$9)/1e12</f>
        <v/>
      </c>
      <c r="C5" s="10">
        <f>((Assumptions!$C$5 * (1 + Assumptions!$C$6) ^ (1/4)) * 1000000 * Assumptions!$C$7 * Assumptions!$C$8 * Assumptions!$C$9)/1e12</f>
        <v/>
      </c>
      <c r="D5" s="10">
        <f>((Assumptions!$C$5 * (1 + Assumptions!$C$6) ^ (2/4)) * 1000000 * Assumptions!$C$7 * Assumptions!$C$8 * Assumptions!$C$9)/1e12</f>
        <v/>
      </c>
      <c r="E5" s="10">
        <f>((Assumptions!$C$5 * (1 + Assumptions!$C$6) ^ (3/4)) * 1000000 * Assumptions!$C$7 * Assumptions!$C$8 * Assumptions!$C$9)/1e12</f>
        <v/>
      </c>
      <c r="F5" s="10">
        <f>((Assumptions!$C$5 * (1 + Assumptions!$C$6) ^ (4/4)) * 1000000 * Assumptions!$C$7 * Assumptions!$C$8 * Assumptions!$C$9)/1e12</f>
        <v/>
      </c>
      <c r="G5" s="10">
        <f>((Assumptions!$C$5 * (1 + Assumptions!$C$6) ^ (5/4)) * 1000000 * Assumptions!$C$7 * Assumptions!$C$8 * Assumptions!$C$9)/1e12</f>
        <v/>
      </c>
      <c r="H5" s="10">
        <f>((Assumptions!$C$5 * (1 + Assumptions!$C$6) ^ (6/4)) * 1000000 * Assumptions!$C$7 * Assumptions!$C$8 * Assumptions!$C$9)/1e12</f>
        <v/>
      </c>
      <c r="I5" s="10">
        <f>((Assumptions!$C$5 * (1 + Assumptions!$C$6) ^ (7/4)) * 1000000 * Assumptions!$C$7 * Assumptions!$C$8 * Assumptions!$C$9)/1e12</f>
        <v/>
      </c>
      <c r="J5" s="10">
        <f>((Assumptions!$C$5 * (1 + Assumptions!$C$6) ^ (8/4)) * 1000000 * Assumptions!$C$7 * Assumptions!$C$8 * Assumptions!$C$9)/1e12</f>
        <v/>
      </c>
      <c r="K5" s="10">
        <f>((Assumptions!$C$5 * (1 + Assumptions!$C$6) ^ (9/4)) * 1000000 * Assumptions!$C$7 * Assumptions!$C$8 * Assumptions!$C$9)/1e12</f>
        <v/>
      </c>
      <c r="L5" s="10">
        <f>((Assumptions!$C$5 * (1 + Assumptions!$C$6) ^ (10/4)) * 1000000 * Assumptions!$C$7 * Assumptions!$C$8 * Assumptions!$C$9)/1e12</f>
        <v/>
      </c>
      <c r="M5" s="10">
        <f>((Assumptions!$C$5 * (1 + Assumptions!$C$6) ^ (11/4)) * 1000000 * Assumptions!$C$7 * Assumptions!$C$8 * Assumptions!$C$9)/1e12</f>
        <v/>
      </c>
      <c r="N5" s="10">
        <f>((Assumptions!$C$5 * (1 + Assumptions!$C$6) ^ (12/4)) * 1000000 * Assumptions!$C$7 * Assumptions!$C$8 * Assumptions!$C$9)/1e12</f>
        <v/>
      </c>
      <c r="O5" s="10">
        <f>((Assumptions!$C$5 * (1 + Assumptions!$C$6) ^ (13/4)) * 1000000 * Assumptions!$C$7 * Assumptions!$C$8 * Assumptions!$C$9)/1e12</f>
        <v/>
      </c>
      <c r="P5" s="10">
        <f>((Assumptions!$C$5 * (1 + Assumptions!$C$6) ^ (14/4)) * 1000000 * Assumptions!$C$7 * Assumptions!$C$8 * Assumptions!$C$9)/1e12</f>
        <v/>
      </c>
      <c r="Q5" s="10">
        <f>((Assumptions!$C$5 * (1 + Assumptions!$C$6) ^ (15/4)) * 1000000 * Assumptions!$C$7 * Assumptions!$C$8 * Assumptions!$C$9)/1e12</f>
        <v/>
      </c>
      <c r="R5" s="10">
        <f>((Assumptions!$C$5 * (1 + Assumptions!$C$6) ^ (16/4)) * 1000000 * Assumptions!$C$7 * Assumptions!$C$8 * Assumptions!$C$9)/1e12</f>
        <v/>
      </c>
      <c r="S5" s="10">
        <f>((Assumptions!$C$5 * (1 + Assumptions!$C$6) ^ (17/4)) * 1000000 * Assumptions!$C$7 * Assumptions!$C$8 * Assumptions!$C$9)/1e12</f>
        <v/>
      </c>
      <c r="T5" s="10">
        <f>((Assumptions!$C$5 * (1 + Assumptions!$C$6) ^ (18/4)) * 1000000 * Assumptions!$C$7 * Assumptions!$C$8 * Assumptions!$C$9)/1e12</f>
        <v/>
      </c>
      <c r="U5" s="10">
        <f>((Assumptions!$C$5 * (1 + Assumptions!$C$6) ^ (19/4)) * 1000000 * Assumptions!$C$7 * Assumptions!$C$8 * Assumptions!$C$9)/1e12</f>
        <v/>
      </c>
      <c r="V5" s="11">
        <f>SUM(B5:U5)</f>
        <v/>
      </c>
    </row>
    <row r="6">
      <c r="A6" s="9" t="inlineStr">
        <is>
          <t>Video</t>
        </is>
      </c>
      <c r="B6" s="10">
        <f>((Assumptions!$D$5 * (1 + Assumptions!$D$6) ^ (0/4)) * 1000000 * Assumptions!$D$7 * Assumptions!$D$8 * Assumptions!$D$9)/1e12</f>
        <v/>
      </c>
      <c r="C6" s="10">
        <f>((Assumptions!$D$5 * (1 + Assumptions!$D$6) ^ (1/4)) * 1000000 * Assumptions!$D$7 * Assumptions!$D$8 * Assumptions!$D$9)/1e12</f>
        <v/>
      </c>
      <c r="D6" s="10">
        <f>((Assumptions!$D$5 * (1 + Assumptions!$D$6) ^ (2/4)) * 1000000 * Assumptions!$D$7 * Assumptions!$D$8 * Assumptions!$D$9)/1e12</f>
        <v/>
      </c>
      <c r="E6" s="10">
        <f>((Assumptions!$D$5 * (1 + Assumptions!$D$6) ^ (3/4)) * 1000000 * Assumptions!$D$7 * Assumptions!$D$8 * Assumptions!$D$9)/1e12</f>
        <v/>
      </c>
      <c r="F6" s="10">
        <f>((Assumptions!$D$5 * (1 + Assumptions!$D$6) ^ (4/4)) * 1000000 * Assumptions!$D$7 * Assumptions!$D$8 * Assumptions!$D$9)/1e12</f>
        <v/>
      </c>
      <c r="G6" s="10">
        <f>((Assumptions!$D$5 * (1 + Assumptions!$D$6) ^ (5/4)) * 1000000 * Assumptions!$D$7 * Assumptions!$D$8 * Assumptions!$D$9)/1e12</f>
        <v/>
      </c>
      <c r="H6" s="10">
        <f>((Assumptions!$D$5 * (1 + Assumptions!$D$6) ^ (6/4)) * 1000000 * Assumptions!$D$7 * Assumptions!$D$8 * Assumptions!$D$9)/1e12</f>
        <v/>
      </c>
      <c r="I6" s="10">
        <f>((Assumptions!$D$5 * (1 + Assumptions!$D$6) ^ (7/4)) * 1000000 * Assumptions!$D$7 * Assumptions!$D$8 * Assumptions!$D$9)/1e12</f>
        <v/>
      </c>
      <c r="J6" s="10">
        <f>((Assumptions!$D$5 * (1 + Assumptions!$D$6) ^ (8/4)) * 1000000 * Assumptions!$D$7 * Assumptions!$D$8 * Assumptions!$D$9)/1e12</f>
        <v/>
      </c>
      <c r="K6" s="10">
        <f>((Assumptions!$D$5 * (1 + Assumptions!$D$6) ^ (9/4)) * 1000000 * Assumptions!$D$7 * Assumptions!$D$8 * Assumptions!$D$9)/1e12</f>
        <v/>
      </c>
      <c r="L6" s="10">
        <f>((Assumptions!$D$5 * (1 + Assumptions!$D$6) ^ (10/4)) * 1000000 * Assumptions!$D$7 * Assumptions!$D$8 * Assumptions!$D$9)/1e12</f>
        <v/>
      </c>
      <c r="M6" s="10">
        <f>((Assumptions!$D$5 * (1 + Assumptions!$D$6) ^ (11/4)) * 1000000 * Assumptions!$D$7 * Assumptions!$D$8 * Assumptions!$D$9)/1e12</f>
        <v/>
      </c>
      <c r="N6" s="10">
        <f>((Assumptions!$D$5 * (1 + Assumptions!$D$6) ^ (12/4)) * 1000000 * Assumptions!$D$7 * Assumptions!$D$8 * Assumptions!$D$9)/1e12</f>
        <v/>
      </c>
      <c r="O6" s="10">
        <f>((Assumptions!$D$5 * (1 + Assumptions!$D$6) ^ (13/4)) * 1000000 * Assumptions!$D$7 * Assumptions!$D$8 * Assumptions!$D$9)/1e12</f>
        <v/>
      </c>
      <c r="P6" s="10">
        <f>((Assumptions!$D$5 * (1 + Assumptions!$D$6) ^ (14/4)) * 1000000 * Assumptions!$D$7 * Assumptions!$D$8 * Assumptions!$D$9)/1e12</f>
        <v/>
      </c>
      <c r="Q6" s="10">
        <f>((Assumptions!$D$5 * (1 + Assumptions!$D$6) ^ (15/4)) * 1000000 * Assumptions!$D$7 * Assumptions!$D$8 * Assumptions!$D$9)/1e12</f>
        <v/>
      </c>
      <c r="R6" s="10">
        <f>((Assumptions!$D$5 * (1 + Assumptions!$D$6) ^ (16/4)) * 1000000 * Assumptions!$D$7 * Assumptions!$D$8 * Assumptions!$D$9)/1e12</f>
        <v/>
      </c>
      <c r="S6" s="10">
        <f>((Assumptions!$D$5 * (1 + Assumptions!$D$6) ^ (17/4)) * 1000000 * Assumptions!$D$7 * Assumptions!$D$8 * Assumptions!$D$9)/1e12</f>
        <v/>
      </c>
      <c r="T6" s="10">
        <f>((Assumptions!$D$5 * (1 + Assumptions!$D$6) ^ (18/4)) * 1000000 * Assumptions!$D$7 * Assumptions!$D$8 * Assumptions!$D$9)/1e12</f>
        <v/>
      </c>
      <c r="U6" s="10">
        <f>((Assumptions!$D$5 * (1 + Assumptions!$D$6) ^ (19/4)) * 1000000 * Assumptions!$D$7 * Assumptions!$D$8 * Assumptions!$D$9)/1e12</f>
        <v/>
      </c>
      <c r="V6" s="11">
        <f>SUM(B6:U6)</f>
        <v/>
      </c>
    </row>
    <row r="7">
      <c r="A7" s="12" t="inlineStr">
        <is>
          <t>Total</t>
        </is>
      </c>
      <c r="B7" s="11">
        <f>SUM(B4:B6)</f>
        <v/>
      </c>
      <c r="C7" s="11">
        <f>SUM(C4:C6)</f>
        <v/>
      </c>
      <c r="D7" s="11">
        <f>SUM(D4:D6)</f>
        <v/>
      </c>
      <c r="E7" s="11">
        <f>SUM(E4:E6)</f>
        <v/>
      </c>
      <c r="F7" s="11">
        <f>SUM(F4:F6)</f>
        <v/>
      </c>
      <c r="G7" s="11">
        <f>SUM(G4:G6)</f>
        <v/>
      </c>
      <c r="H7" s="11">
        <f>SUM(H4:H6)</f>
        <v/>
      </c>
      <c r="I7" s="11">
        <f>SUM(I4:I6)</f>
        <v/>
      </c>
      <c r="J7" s="11">
        <f>SUM(J4:J6)</f>
        <v/>
      </c>
      <c r="K7" s="11">
        <f>SUM(K4:K6)</f>
        <v/>
      </c>
      <c r="L7" s="11">
        <f>SUM(L4:L6)</f>
        <v/>
      </c>
      <c r="M7" s="11">
        <f>SUM(M4:M6)</f>
        <v/>
      </c>
      <c r="N7" s="11">
        <f>SUM(N4:N6)</f>
        <v/>
      </c>
      <c r="O7" s="11">
        <f>SUM(O4:O6)</f>
        <v/>
      </c>
      <c r="P7" s="11">
        <f>SUM(P4:P6)</f>
        <v/>
      </c>
      <c r="Q7" s="11">
        <f>SUM(Q4:Q6)</f>
        <v/>
      </c>
      <c r="R7" s="11">
        <f>SUM(R4:R6)</f>
        <v/>
      </c>
      <c r="S7" s="11">
        <f>SUM(S4:S6)</f>
        <v/>
      </c>
      <c r="T7" s="11">
        <f>SUM(T4:T6)</f>
        <v/>
      </c>
      <c r="U7" s="11">
        <f>SUM(U4:U6)</f>
        <v/>
      </c>
      <c r="V7" s="11">
        <f>SUM(V4:V6)</f>
        <v/>
      </c>
    </row>
    <row r="9">
      <c r="A9" s="4" t="inlineStr">
        <is>
          <t>Annual Token Consumption (Trillions)</t>
        </is>
      </c>
    </row>
    <row r="10">
      <c r="A10" s="3" t="inlineStr">
        <is>
          <t>Modality</t>
        </is>
      </c>
      <c r="B10" s="3" t="n">
        <v>2024</v>
      </c>
      <c r="C10" s="3" t="n">
        <v>2025</v>
      </c>
      <c r="D10" s="3" t="n">
        <v>2026</v>
      </c>
      <c r="E10" s="3" t="n">
        <v>2027</v>
      </c>
      <c r="F10" s="3" t="n">
        <v>2028</v>
      </c>
      <c r="G10" s="3" t="inlineStr">
        <is>
          <t>5-Yr Total</t>
        </is>
      </c>
    </row>
    <row r="11">
      <c r="A11" s="13" t="inlineStr">
        <is>
          <t>Text</t>
        </is>
      </c>
      <c r="B11" s="10">
        <f>SUM(B4:E4)</f>
        <v/>
      </c>
      <c r="C11" s="10">
        <f>SUM(F4:I4)</f>
        <v/>
      </c>
      <c r="D11" s="10">
        <f>SUM(J4:M4)</f>
        <v/>
      </c>
      <c r="E11" s="10">
        <f>SUM(N4:Q4)</f>
        <v/>
      </c>
      <c r="F11" s="10">
        <f>SUM(R4:U4)</f>
        <v/>
      </c>
      <c r="G11" s="11">
        <f>SUM(B11:F11)</f>
        <v/>
      </c>
    </row>
    <row r="12">
      <c r="A12" s="13" t="inlineStr">
        <is>
          <t>Voice</t>
        </is>
      </c>
      <c r="B12" s="10">
        <f>SUM(B5:E5)</f>
        <v/>
      </c>
      <c r="C12" s="10">
        <f>SUM(F5:I5)</f>
        <v/>
      </c>
      <c r="D12" s="10">
        <f>SUM(J5:M5)</f>
        <v/>
      </c>
      <c r="E12" s="10">
        <f>SUM(N5:Q5)</f>
        <v/>
      </c>
      <c r="F12" s="10">
        <f>SUM(R5:U5)</f>
        <v/>
      </c>
      <c r="G12" s="11">
        <f>SUM(B12:F12)</f>
        <v/>
      </c>
    </row>
    <row r="13">
      <c r="A13" s="13" t="inlineStr">
        <is>
          <t>Video</t>
        </is>
      </c>
      <c r="B13" s="10">
        <f>SUM(B6:E6)</f>
        <v/>
      </c>
      <c r="C13" s="10">
        <f>SUM(F6:I6)</f>
        <v/>
      </c>
      <c r="D13" s="10">
        <f>SUM(J6:M6)</f>
        <v/>
      </c>
      <c r="E13" s="10">
        <f>SUM(N6:Q6)</f>
        <v/>
      </c>
      <c r="F13" s="10">
        <f>SUM(R6:U6)</f>
        <v/>
      </c>
      <c r="G13" s="11">
        <f>SUM(B13:F13)</f>
        <v/>
      </c>
    </row>
    <row r="14">
      <c r="A14" s="12" t="inlineStr">
        <is>
          <t>Total</t>
        </is>
      </c>
      <c r="B14" s="11">
        <f>SUM(B11:B13)</f>
        <v/>
      </c>
      <c r="C14" s="11">
        <f>SUM(C11:C13)</f>
        <v/>
      </c>
      <c r="D14" s="11">
        <f>SUM(D11:D13)</f>
        <v/>
      </c>
      <c r="E14" s="11">
        <f>SUM(E11:E13)</f>
        <v/>
      </c>
      <c r="F14" s="11">
        <f>SUM(F11:F13)</f>
        <v/>
      </c>
      <c r="G14" s="11">
        <f>SUM(G11:G13)</f>
        <v/>
      </c>
    </row>
  </sheetData>
  <mergeCells count="2">
    <mergeCell ref="A1:V1"/>
    <mergeCell ref="A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Visualizations — Token Consumption by Modality</t>
        </is>
      </c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2026-04-18T02:19:50Z</dcterms:created>
  <dcterms:modified xsi:type="dcterms:W3CDTF">2026-04-18T02:19:50Z</dcterms:modified>
</cp:coreProperties>
</file>