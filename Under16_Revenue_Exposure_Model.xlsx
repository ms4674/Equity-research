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hodology" sheetId="2" state="visible" r:id="rId2"/>
    <sheet name="Financials" sheetId="3" state="visible" r:id="rId3"/>
    <sheet name="Youth Usage Evidence" sheetId="4" state="visible" r:id="rId4"/>
    <sheet name="Assumptions" sheetId="5" state="visible" r:id="rId5"/>
    <sheet name="Model - Meta" sheetId="6" state="visible" r:id="rId6"/>
    <sheet name="Model - Google" sheetId="7" state="visible" r:id="rId7"/>
    <sheet name="Model - Snap" sheetId="8" state="visible" r:id="rId8"/>
    <sheet name="Model - Pinterest" sheetId="9" state="visible" r:id="rId9"/>
    <sheet name="Aggregate by Region" sheetId="10" state="visible" r:id="rId10"/>
    <sheet name="Regulatory Headwind" sheetId="11" state="visible" r:id="rId11"/>
    <sheet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&quot;x&quot;"/>
    <numFmt numFmtId="166" formatCode="#,##0;(#,##0)"/>
    <numFmt numFmtId="167" formatCode="#,##0.0"/>
    <numFmt numFmtId="168" formatCode="#,##0.0;(#,##0.0)"/>
    <numFmt numFmtId="169" formatCode="#,##0&quot;bp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b val="1"/>
      <color rgb="00FFFFFF"/>
      <sz val="16"/>
    </font>
    <font>
      <i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EAF0FB"/>
      </patternFill>
    </fill>
    <fill>
      <patternFill patternType="solid">
        <fgColor rgb="00C00000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center" vertical="center" wrapText="1"/>
    </xf>
    <xf numFmtId="166" fontId="3" fillId="6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166" fontId="3" fillId="7" borderId="1" applyAlignment="1" pivotButton="0" quotePrefix="0" xfId="0">
      <alignment horizontal="right" vertical="center"/>
    </xf>
    <xf numFmtId="1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/>
    </xf>
    <xf numFmtId="168" fontId="3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0" fontId="3" fillId="6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166" fontId="3" fillId="8" borderId="1" applyAlignment="1" pivotButton="0" quotePrefix="0" xfId="0">
      <alignment horizontal="right" vertical="center"/>
    </xf>
    <xf numFmtId="10" fontId="3" fillId="8" borderId="1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8" fontId="3" fillId="6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center" vertical="center" wrapText="1"/>
    </xf>
    <xf numFmtId="168" fontId="3" fillId="7" borderId="1" applyAlignment="1" pivotButton="0" quotePrefix="0" xfId="0">
      <alignment horizontal="right" vertical="center"/>
    </xf>
    <xf numFmtId="169" fontId="3" fillId="7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3" customWidth="1" min="4" max="4"/>
    <col width="15" customWidth="1" min="5" max="5"/>
    <col width="13" customWidth="1" min="6" max="6"/>
    <col width="13" customWidth="1" min="7" max="7"/>
    <col width="12" customWidth="1" min="8" max="8"/>
  </cols>
  <sheetData>
    <row r="1" ht="30" customHeight="1">
      <c r="A1" s="1" t="inlineStr">
        <is>
          <t>Revenue Exposure to Teens Under 16  —  Meta · Google · Snap · Pinterest</t>
        </is>
      </c>
    </row>
    <row r="2">
      <c r="A2" s="2" t="inlineStr">
        <is>
          <t>Estimation model · FY2025 financials · base case unless ranged · figures in US$ millions</t>
        </is>
      </c>
    </row>
    <row r="4" ht="28" customHeight="1">
      <c r="A4" s="3" t="inlineStr">
        <is>
          <t>Cohort definition: users UNDER AGE 16 — primarily 13–15 year-olds, plus under-13s present despite platforms' 13+ minimum-age rules (Ofcom: 51% of UK under-13s use social media).</t>
        </is>
      </c>
    </row>
    <row r="6" ht="30" customHeight="1">
      <c r="A6" s="4" t="inlineStr">
        <is>
          <t>Company</t>
        </is>
      </c>
      <c r="B6" s="4" t="inlineStr">
        <is>
          <t>FY2025 revenue
base ($M)</t>
        </is>
      </c>
      <c r="C6" s="4" t="inlineStr">
        <is>
          <t>Under-16 share
(blended)</t>
        </is>
      </c>
      <c r="D6" s="4" t="inlineStr">
        <is>
          <t>Under-16 rev
BASE ($M)</t>
        </is>
      </c>
      <c r="E6" s="4" t="inlineStr">
        <is>
          <t>Low ($M)</t>
        </is>
      </c>
      <c r="F6" s="4" t="inlineStr">
        <is>
          <t>High ($M)</t>
        </is>
      </c>
      <c r="G6" s="4" t="inlineStr">
        <is>
          <t>Primary youth
surface</t>
        </is>
      </c>
    </row>
    <row r="7">
      <c r="A7" s="5" t="inlineStr">
        <is>
          <t>Meta Platforms</t>
        </is>
      </c>
      <c r="B7" s="6">
        <f>'Model - Meta'!B12</f>
        <v/>
      </c>
      <c r="C7" s="7">
        <f>'Model - Meta'!C12</f>
        <v/>
      </c>
      <c r="D7" s="8">
        <f>'Model - Meta'!D12</f>
        <v/>
      </c>
      <c r="E7" s="6">
        <f>'Model - Meta'!E12</f>
        <v/>
      </c>
      <c r="F7" s="6">
        <f>'Model - Meta'!F12</f>
        <v/>
      </c>
      <c r="G7" s="9" t="inlineStr">
        <is>
          <t>Instagram</t>
        </is>
      </c>
    </row>
    <row r="8">
      <c r="A8" s="5" t="inlineStr">
        <is>
          <t>Google / Alphabet</t>
        </is>
      </c>
      <c r="B8" s="6">
        <f>'Model - Google'!B30</f>
        <v/>
      </c>
      <c r="C8" s="7">
        <f>'Model - Google'!C30</f>
        <v/>
      </c>
      <c r="D8" s="8">
        <f>'Model - Google'!D30</f>
        <v/>
      </c>
      <c r="E8" s="6">
        <f>'Model - Google'!E30</f>
        <v/>
      </c>
      <c r="F8" s="6">
        <f>'Model - Google'!F30</f>
        <v/>
      </c>
      <c r="G8" s="9" t="inlineStr">
        <is>
          <t>YouTube</t>
        </is>
      </c>
    </row>
    <row r="9">
      <c r="A9" s="5" t="inlineStr">
        <is>
          <t>Snap</t>
        </is>
      </c>
      <c r="B9" s="6">
        <f>'Model - Snap'!B11</f>
        <v/>
      </c>
      <c r="C9" s="7">
        <f>'Model - Snap'!C11</f>
        <v/>
      </c>
      <c r="D9" s="8">
        <f>'Model - Snap'!D11</f>
        <v/>
      </c>
      <c r="E9" s="6">
        <f>'Model - Snap'!E11</f>
        <v/>
      </c>
      <c r="F9" s="6">
        <f>'Model - Snap'!F11</f>
        <v/>
      </c>
      <c r="G9" s="9" t="inlineStr">
        <is>
          <t>Snapchat</t>
        </is>
      </c>
    </row>
    <row r="10">
      <c r="A10" s="5" t="inlineStr">
        <is>
          <t>Pinterest</t>
        </is>
      </c>
      <c r="B10" s="6">
        <f>'Model - Pinterest'!B11</f>
        <v/>
      </c>
      <c r="C10" s="7">
        <f>'Model - Pinterest'!C11</f>
        <v/>
      </c>
      <c r="D10" s="8">
        <f>'Model - Pinterest'!D11</f>
        <v/>
      </c>
      <c r="E10" s="6">
        <f>'Model - Pinterest'!E11</f>
        <v/>
      </c>
      <c r="F10" s="6">
        <f>'Model - Pinterest'!F11</f>
        <v/>
      </c>
      <c r="G10" s="9" t="inlineStr">
        <is>
          <t>Pinterest</t>
        </is>
      </c>
    </row>
    <row r="11">
      <c r="A11" s="10" t="inlineStr">
        <is>
          <t>TOTAL (4 companies)</t>
        </is>
      </c>
      <c r="B11" s="11">
        <f>SUM(B7:B10)</f>
        <v/>
      </c>
      <c r="C11" s="12">
        <f>D11/B11</f>
        <v/>
      </c>
      <c r="D11" s="11">
        <f>SUM(D7:D10)</f>
        <v/>
      </c>
      <c r="E11" s="11">
        <f>SUM(E7:E10)</f>
        <v/>
      </c>
      <c r="F11" s="11">
        <f>SUM(F7:F10)</f>
        <v/>
      </c>
      <c r="G11" s="13" t="inlineStr"/>
    </row>
    <row r="13" ht="22" customHeight="1">
      <c r="A13" s="14" t="inlineStr">
        <is>
          <t>BASE-CASE ESTIMATE: combined under-16 advertising-revenue exposure of roughly US$ (see D11) million per year across the four platforms.</t>
        </is>
      </c>
    </row>
    <row r="15">
      <c r="A15" s="15" t="inlineStr">
        <is>
          <t>How to read this workbook</t>
        </is>
      </c>
    </row>
    <row r="16">
      <c r="A16" s="16" t="inlineStr">
        <is>
          <t>• 'Under-16 revenue' = the slice of each platform's advertising revenue attributable to users aged under 16.</t>
        </is>
      </c>
    </row>
    <row r="17">
      <c r="A17" s="16" t="inlineStr">
        <is>
          <t>• It is an ESTIMATE. No platform discloses age-specific revenue; this is a transparent, source-anchored model.</t>
        </is>
      </c>
    </row>
    <row r="18">
      <c r="A18" s="16" t="inlineStr">
        <is>
          <t>• The driver is each platform's US under-16 ad-revenue SHARE (anchored to the Harvard 2023 study), scaled by</t>
        </is>
      </c>
    </row>
    <row r="19">
      <c r="A19" s="16" t="inlineStr">
        <is>
          <t xml:space="preserve">   region (multipliers) and applied to disclosed FY2025 regional revenue. See 'Assumptions' to flex any input.</t>
        </is>
      </c>
    </row>
    <row r="20">
      <c r="A20" s="16" t="inlineStr">
        <is>
          <t>• Low / Base / High apply scenario scalars (0.65 / 1.00 / 1.35) reflecting Harvard's uncertainty intervals and</t>
        </is>
      </c>
    </row>
    <row r="21">
      <c r="A21" s="16" t="inlineStr">
        <is>
          <t xml:space="preserve">   the well-documented under-reporting of age by younger users (Meta 10-K; Ofcom: 40% of 8–17s give a fake age).</t>
        </is>
      </c>
    </row>
    <row r="22">
      <c r="A22" s="16" t="inlineStr">
        <is>
          <t>• Snap shows the highest exposure (teen-core app); Pinterest the lowest (older, female-skewed, &lt;18 ad limits).</t>
        </is>
      </c>
    </row>
    <row r="23">
      <c r="A23" s="16" t="inlineStr">
        <is>
          <t>• Tabs: Methodology · Financials · Youth Usage Evidence · Assumptions · Model-&lt;Company&gt; · Aggregate · Regulatory Headwind · Sources.</t>
        </is>
      </c>
    </row>
    <row r="25">
      <c r="A25" s="17" t="inlineStr">
        <is>
          <t>Key caveats</t>
        </is>
      </c>
    </row>
    <row r="26">
      <c r="A26" s="16" t="inlineStr">
        <is>
          <t>1. Platforms do not report revenue by age; all age-specific figures are modelled, not disclosed.</t>
        </is>
      </c>
    </row>
    <row r="27">
      <c r="A27" s="16" t="inlineStr">
        <is>
          <t>2. The Harvard anchor is US-only and for 2022; ex-US shares and the 2024 uplift are estimates.</t>
        </is>
      </c>
    </row>
    <row r="28">
      <c r="A28" s="16" t="inlineStr">
        <is>
          <t>3. Meta's regional ad-revenue split and Pinterest's regional split are estimated (see model notes).</t>
        </is>
      </c>
    </row>
    <row r="29">
      <c r="A29" s="16" t="inlineStr">
        <is>
          <t>4. Age data is unreliable — under-age users routinely mis-state age, so true exposure may be higher.</t>
        </is>
      </c>
    </row>
    <row r="30">
      <c r="A30" s="16" t="inlineStr">
        <is>
          <t>5. 'Under 16' is approximated by splitting the 13–17 band (57% base) plus all under-13 revenue.</t>
        </is>
      </c>
    </row>
    <row r="33">
      <c r="A33" s="15" t="inlineStr">
        <is>
          <t>Regulatory headwind — under-16 social-media bans (see 'Regulatory Headwind' tab)</t>
        </is>
      </c>
    </row>
    <row r="34">
      <c r="A34" s="16" t="inlineStr">
        <is>
          <t>Australia's under-16 ban (in force Dec 2025) covers Facebook, Instagram, Snapchat and YouTube; Pinterest, Messenger and WhatsApp are EXCLUDED.</t>
        </is>
      </c>
    </row>
    <row r="35">
      <c r="A35" s="16" t="inlineStr">
        <is>
          <t>Estimated at-risk revenue — Scenario A (Australia, in force today):</t>
        </is>
      </c>
      <c r="G35" s="18">
        <f>'Regulatory Headwind'!F54</f>
        <v/>
      </c>
      <c r="H35" s="19" t="inlineStr">
        <is>
          <t>$M / yr</t>
        </is>
      </c>
    </row>
    <row r="36">
      <c r="A36" s="16" t="inlineStr">
        <is>
          <t>Estimated at-risk revenue — Scenario B (+ UK &amp; EU pipeline, ~2026–27):</t>
        </is>
      </c>
      <c r="G36" s="18">
        <f>'Regulatory Headwind'!F55</f>
        <v/>
      </c>
      <c r="H36" s="19" t="inlineStr">
        <is>
          <t>$M / yr</t>
        </is>
      </c>
    </row>
    <row r="37">
      <c r="A37" s="16" t="inlineStr">
        <is>
          <t>Estimated at-risk revenue — Scenario C (+ US states, broad adoption):</t>
        </is>
      </c>
      <c r="G37" s="18">
        <f>'Regulatory Headwind'!F56</f>
        <v/>
      </c>
      <c r="H37" s="19" t="inlineStr">
        <is>
          <t>$M / yr</t>
        </is>
      </c>
    </row>
    <row r="38">
      <c r="A38" s="19" t="inlineStr">
        <is>
          <t>Most exposed: Snap (teen-core). Least: Pinterest (excluded in AU, older audience). FY2025 growth for context: Meta +22%, Google +15%, Snap +11%, Pinterest +16%.</t>
        </is>
      </c>
    </row>
  </sheetData>
  <mergeCells count="25">
    <mergeCell ref="A30:H30"/>
    <mergeCell ref="A15:H15"/>
    <mergeCell ref="A37:F37"/>
    <mergeCell ref="A1:H1"/>
    <mergeCell ref="A25:H25"/>
    <mergeCell ref="A16:H16"/>
    <mergeCell ref="A35:F35"/>
    <mergeCell ref="A27:H27"/>
    <mergeCell ref="A18:H18"/>
    <mergeCell ref="A26:H26"/>
    <mergeCell ref="A21:H21"/>
    <mergeCell ref="A2:H2"/>
    <mergeCell ref="A33:H33"/>
    <mergeCell ref="A34:F34"/>
    <mergeCell ref="A23:H23"/>
    <mergeCell ref="A22:H22"/>
    <mergeCell ref="A17:H17"/>
    <mergeCell ref="A4:H4"/>
    <mergeCell ref="A29:H29"/>
    <mergeCell ref="A36:F36"/>
    <mergeCell ref="A20:H20"/>
    <mergeCell ref="A38:H38"/>
    <mergeCell ref="A28:H28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1" ht="22" customHeight="1">
      <c r="A1" s="20" t="inlineStr">
        <is>
          <t>METHODOLOGY</t>
        </is>
      </c>
    </row>
    <row r="3">
      <c r="B3" s="21" t="inlineStr">
        <is>
          <t>Objective</t>
        </is>
      </c>
    </row>
    <row r="4" ht="28" customHeight="1">
      <c r="B4" s="22" t="inlineStr">
        <is>
          <t>Estimate the annual advertising-revenue exposure of Meta, Google (Alphabet), Snap and Pinterest to users under age 16, at the most granular level the public data allows (company × surface × region × age band).</t>
        </is>
      </c>
    </row>
    <row r="5">
      <c r="B5" s="21" t="inlineStr">
        <is>
          <t>Core formula (per company, per region)</t>
        </is>
      </c>
    </row>
    <row r="6" ht="14" customHeight="1">
      <c r="B6" s="22" t="inlineStr">
        <is>
          <t>Under-16 revenue  =  Regional revenue  ×  Under-16 revenue share(region)  ×  Scenario scalar</t>
        </is>
      </c>
    </row>
    <row r="7" ht="14" customHeight="1">
      <c r="B7" s="22" t="inlineStr">
        <is>
          <t>Under-16 revenue share(region)  =  US/anchor under-16 share  ×  Regional multiplier</t>
        </is>
      </c>
    </row>
    <row r="8" ht="14" customHeight="1">
      <c r="B8" s="22" t="inlineStr">
        <is>
          <t>US/anchor under-16 share  =  US under-18 share  ×  Under-16 fraction of under-18</t>
        </is>
      </c>
    </row>
    <row r="9" ht="28" customHeight="1">
      <c r="B9" s="22" t="inlineStr">
        <is>
          <t>Under-16 fraction of under-18  =  (0–12 share of under-18 $)  +  (1 − that share) × (13–15 split of 13–17)</t>
        </is>
      </c>
    </row>
    <row r="10">
      <c r="B10" s="21" t="inlineStr">
        <is>
          <t>Step 1 — Anchor: US under-18 ad-revenue shares (Harvard 2023)</t>
        </is>
      </c>
    </row>
    <row r="11" ht="56" customHeight="1">
      <c r="B11" s="22" t="inlineStr">
        <is>
          <t>Raffoul et al. (PLOS ONE, 2023) simulated US 2022 youth ad revenue using Census, Common Sense Media, Pew, eMarketer and Qustodio data. Disclosed US under-18 SHARE of each platform's ad revenue: Instagram 16%, Snapchat 41.4%, YouTube 27%, Facebook 1.9%. These are the model's anchors (Pinterest, Search and Network are not in the study and are estimated).</t>
        </is>
      </c>
    </row>
    <row r="12">
      <c r="B12" s="21" t="inlineStr">
        <is>
          <t>Step 2 — Split under-18 into under-16</t>
        </is>
      </c>
    </row>
    <row r="13" ht="56" customHeight="1">
      <c r="B13" s="22" t="inlineStr">
        <is>
          <t>'Under 16' = ages 0–15. We take all under-13 (0–12) revenue plus the 13–15 portion of the 13–17 band. The 13–15 portion is set at 57% of the 13–17 band (3 of 5 single-year ages, with a mild skew to higher engagement among 16–17s). The 0–12 share of each platform's under-18 dollars comes from the Harvard dollar figures where available (Instagram, YouTube) and is modelled otherwise.</t>
        </is>
      </c>
    </row>
    <row r="14">
      <c r="B14" s="21" t="inlineStr">
        <is>
          <t>Step 3 — Regionalise</t>
        </is>
      </c>
    </row>
    <row r="15" ht="42" customHeight="1">
      <c r="B15" s="22" t="inlineStr">
        <is>
          <t>The US anchor share is scaled by regional multipliers (US/NA 1.00, Europe 0.95, Asia-Pacific 1.05, Rest of World 1.15) reflecting younger populations outside the West versus stronger child-data regulation in the EU. The scaled share is applied to each platform's disclosed FY2025 regional revenue.</t>
        </is>
      </c>
    </row>
    <row r="16">
      <c r="B16" s="21" t="inlineStr">
        <is>
          <t>Step 4 — Surfaces</t>
        </is>
      </c>
    </row>
    <row r="17" ht="42" customHeight="1">
      <c r="B17" s="22" t="inlineStr">
        <is>
          <t>Meta is modelled as a weighted blend of Instagram (50%), Facebook (40%) and Messenger/other (10%) of US ad revenue. Google is split into YouTube ads (the principal youth surface), Google Search &amp; other, and Google Network, each with its own under-16 share. Snap and Pinterest are single-surface.</t>
        </is>
      </c>
    </row>
    <row r="18">
      <c r="B18" s="21" t="inlineStr">
        <is>
          <t>Step 5 — Scenarios</t>
        </is>
      </c>
    </row>
    <row r="19" ht="42" customHeight="1">
      <c r="B19" s="22" t="inlineStr">
        <is>
          <t>Low / Base / High scalars (0.65 / 1.00 / 1.35) bracket the estimate, reflecting the Harvard model's own uncertainty intervals and the systematic under-reporting of age by minors (so the true figure may sit above the base case).</t>
        </is>
      </c>
    </row>
    <row r="20">
      <c r="B20" s="21" t="inlineStr">
        <is>
          <t>Why an estimate?</t>
        </is>
      </c>
    </row>
    <row r="21" ht="56" customHeight="1">
      <c r="B21" s="22" t="inlineStr">
        <is>
          <t>No platform discloses revenue by user age, and they caution that age data is unreliable because under-age users mis-state their age (Meta 10-K: 'a disproportionate number of our younger users register with an inaccurate age'). The workbook is therefore a transparent, fully-sourced model; every input is editable on the Assumptions tab and the results recalculate.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20" t="inlineStr">
        <is>
          <t>HARD FINANCIAL DATA — FY2024 vs FY2025 (as reported)   $M unless noted</t>
        </is>
      </c>
    </row>
    <row r="3">
      <c r="A3" s="23" t="inlineStr">
        <is>
          <t>Meta Platforms</t>
        </is>
      </c>
    </row>
    <row r="4">
      <c r="A4" s="4" t="inlineStr">
        <is>
          <t>Item</t>
        </is>
      </c>
      <c r="B4" s="4" t="inlineStr">
        <is>
          <t>FY2024</t>
        </is>
      </c>
      <c r="C4" s="4" t="inlineStr">
        <is>
          <t>FY2025</t>
        </is>
      </c>
      <c r="D4" s="4" t="inlineStr">
        <is>
          <t>YoY %</t>
        </is>
      </c>
    </row>
    <row r="5">
      <c r="A5" s="5" t="inlineStr">
        <is>
          <t>Total revenue</t>
        </is>
      </c>
      <c r="B5" s="6" t="n">
        <v>164501</v>
      </c>
      <c r="C5" s="6" t="n">
        <v>200966</v>
      </c>
      <c r="D5" s="24">
        <f>C5/B5-1</f>
        <v/>
      </c>
    </row>
    <row r="6">
      <c r="A6" s="5" t="inlineStr">
        <is>
          <t>Family of Apps revenue</t>
        </is>
      </c>
      <c r="B6" s="6" t="n">
        <v>162355</v>
      </c>
      <c r="C6" s="6" t="n">
        <v>198759</v>
      </c>
      <c r="D6" s="24">
        <f>C6/B6-1</f>
        <v/>
      </c>
    </row>
    <row r="7">
      <c r="A7" s="5" t="inlineStr">
        <is>
          <t>Advertising revenue</t>
        </is>
      </c>
      <c r="B7" s="6" t="n">
        <v>160633</v>
      </c>
      <c r="C7" s="6" t="n">
        <v>196175</v>
      </c>
      <c r="D7" s="24">
        <f>C7/B7-1</f>
        <v/>
      </c>
    </row>
    <row r="8">
      <c r="A8" s="5" t="inlineStr">
        <is>
          <t>US &amp; Canada ad rev (est. user-geography)</t>
        </is>
      </c>
      <c r="B8" s="6" t="n">
        <v>70679</v>
      </c>
      <c r="C8" s="6" t="n">
        <v>84355</v>
      </c>
      <c r="D8" s="24">
        <f>C8/B8-1</f>
        <v/>
      </c>
    </row>
    <row r="9">
      <c r="A9" s="5" t="inlineStr">
        <is>
          <t>Europe ad rev (est.)</t>
        </is>
      </c>
      <c r="B9" s="6" t="n">
        <v>36946</v>
      </c>
      <c r="C9" s="6" t="n">
        <v>45120</v>
      </c>
      <c r="D9" s="24">
        <f>C9/B9-1</f>
        <v/>
      </c>
    </row>
    <row r="10">
      <c r="A10" s="5" t="inlineStr">
        <is>
          <t>Asia-Pacific ad rev (est.)</t>
        </is>
      </c>
      <c r="B10" s="6" t="n">
        <v>35339</v>
      </c>
      <c r="C10" s="6" t="n">
        <v>45120</v>
      </c>
      <c r="D10" s="24">
        <f>C10/B10-1</f>
        <v/>
      </c>
    </row>
    <row r="11">
      <c r="A11" s="5" t="inlineStr">
        <is>
          <t>Rest of World ad rev (est.)</t>
        </is>
      </c>
      <c r="B11" s="6" t="n">
        <v>17670</v>
      </c>
      <c r="C11" s="6" t="n">
        <v>21579</v>
      </c>
      <c r="D11" s="24">
        <f>C11/B11-1</f>
        <v/>
      </c>
    </row>
    <row r="12">
      <c r="A12" s="3" t="inlineStr">
        <is>
          <t>Source: Meta FY2024 &amp; FY2025 10-Ks. Regional ad-revenue split is estimated (user geography).</t>
        </is>
      </c>
    </row>
    <row r="14">
      <c r="A14" s="23" t="inlineStr">
        <is>
          <t>Google / Alphabet</t>
        </is>
      </c>
    </row>
    <row r="15">
      <c r="A15" s="4" t="inlineStr">
        <is>
          <t>Item</t>
        </is>
      </c>
      <c r="B15" s="4" t="inlineStr">
        <is>
          <t>FY2024</t>
        </is>
      </c>
      <c r="C15" s="4" t="inlineStr">
        <is>
          <t>FY2025</t>
        </is>
      </c>
      <c r="D15" s="4" t="inlineStr">
        <is>
          <t>YoY %</t>
        </is>
      </c>
    </row>
    <row r="16">
      <c r="A16" s="5" t="inlineStr">
        <is>
          <t>Alphabet total revenue</t>
        </is>
      </c>
      <c r="B16" s="6" t="n">
        <v>350018</v>
      </c>
      <c r="C16" s="6" t="n">
        <v>402836</v>
      </c>
      <c r="D16" s="24">
        <f>C16/B16-1</f>
        <v/>
      </c>
    </row>
    <row r="17">
      <c r="A17" s="5" t="inlineStr">
        <is>
          <t>Google advertising</t>
        </is>
      </c>
      <c r="B17" s="6" t="n">
        <v>264590</v>
      </c>
      <c r="C17" s="6" t="n">
        <v>294691</v>
      </c>
      <c r="D17" s="24">
        <f>C17/B17-1</f>
        <v/>
      </c>
    </row>
    <row r="18">
      <c r="A18" s="5" t="inlineStr">
        <is>
          <t>Google Search &amp; other</t>
        </is>
      </c>
      <c r="B18" s="6" t="n">
        <v>198084</v>
      </c>
      <c r="C18" s="6" t="n">
        <v>224532</v>
      </c>
      <c r="D18" s="24">
        <f>C18/B18-1</f>
        <v/>
      </c>
    </row>
    <row r="19">
      <c r="A19" s="5" t="inlineStr">
        <is>
          <t>YouTube ads</t>
        </is>
      </c>
      <c r="B19" s="6" t="n">
        <v>36147</v>
      </c>
      <c r="C19" s="6" t="n">
        <v>40367</v>
      </c>
      <c r="D19" s="24">
        <f>C19/B19-1</f>
        <v/>
      </c>
    </row>
    <row r="20">
      <c r="A20" s="5" t="inlineStr">
        <is>
          <t>Google Network</t>
        </is>
      </c>
      <c r="B20" s="6" t="n">
        <v>30359</v>
      </c>
      <c r="C20" s="6" t="n">
        <v>29792</v>
      </c>
      <c r="D20" s="24">
        <f>C20/B20-1</f>
        <v/>
      </c>
    </row>
    <row r="21">
      <c r="A21" s="5" t="inlineStr">
        <is>
          <t>Geo: United States</t>
        </is>
      </c>
      <c r="B21" s="6" t="n">
        <v>170459</v>
      </c>
      <c r="C21" s="6" t="n">
        <v>194167</v>
      </c>
      <c r="D21" s="24">
        <f>C21/B21-1</f>
        <v/>
      </c>
    </row>
    <row r="22">
      <c r="A22" s="5" t="inlineStr">
        <is>
          <t>Geo: EMEA</t>
        </is>
      </c>
      <c r="B22" s="6" t="n">
        <v>102205</v>
      </c>
      <c r="C22" s="6" t="n">
        <v>117225</v>
      </c>
      <c r="D22" s="24">
        <f>C22/B22-1</f>
        <v/>
      </c>
    </row>
    <row r="23">
      <c r="A23" s="5" t="inlineStr">
        <is>
          <t>Geo: APAC</t>
        </is>
      </c>
      <c r="B23" s="6" t="n">
        <v>56703</v>
      </c>
      <c r="C23" s="6" t="n">
        <v>67676</v>
      </c>
      <c r="D23" s="24">
        <f>C23/B23-1</f>
        <v/>
      </c>
    </row>
    <row r="24">
      <c r="A24" s="5" t="inlineStr">
        <is>
          <t>Geo: Other Americas</t>
        </is>
      </c>
      <c r="B24" s="6" t="n">
        <v>20301</v>
      </c>
      <c r="C24" s="6" t="n">
        <v>23767</v>
      </c>
      <c r="D24" s="24">
        <f>C24/B24-1</f>
        <v/>
      </c>
    </row>
    <row r="25">
      <c r="A25" s="3" t="inlineStr">
        <is>
          <t>Source: Alphabet FY2024 &amp; FY2025 10-Ks. YouTube regional split estimated; Search/Network use Alphabet geo mix.</t>
        </is>
      </c>
    </row>
    <row r="27">
      <c r="A27" s="23" t="inlineStr">
        <is>
          <t>Snap Inc.</t>
        </is>
      </c>
    </row>
    <row r="28">
      <c r="A28" s="4" t="inlineStr">
        <is>
          <t>Item</t>
        </is>
      </c>
      <c r="B28" s="4" t="inlineStr">
        <is>
          <t>FY2024</t>
        </is>
      </c>
      <c r="C28" s="4" t="inlineStr">
        <is>
          <t>FY2025</t>
        </is>
      </c>
      <c r="D28" s="4" t="inlineStr">
        <is>
          <t>YoY %</t>
        </is>
      </c>
    </row>
    <row r="29">
      <c r="A29" s="5" t="inlineStr">
        <is>
          <t>Total revenue</t>
        </is>
      </c>
      <c r="B29" s="6" t="n">
        <v>5361</v>
      </c>
      <c r="C29" s="6" t="n">
        <v>5931</v>
      </c>
      <c r="D29" s="24">
        <f>C29/B29-1</f>
        <v/>
      </c>
    </row>
    <row r="30">
      <c r="A30" s="5" t="inlineStr">
        <is>
          <t>North America revenue</t>
        </is>
      </c>
      <c r="B30" s="6" t="n">
        <v>3337.3</v>
      </c>
      <c r="C30" s="6" t="n">
        <v>3575.6</v>
      </c>
      <c r="D30" s="24">
        <f>C30/B30-1</f>
        <v/>
      </c>
    </row>
    <row r="31">
      <c r="A31" s="5" t="inlineStr">
        <is>
          <t>Europe revenue</t>
        </is>
      </c>
      <c r="B31" s="6" t="n">
        <v>961.6</v>
      </c>
      <c r="C31" s="6" t="n">
        <v>1128.4</v>
      </c>
      <c r="D31" s="24">
        <f>C31/B31-1</f>
        <v/>
      </c>
    </row>
    <row r="32">
      <c r="A32" s="5" t="inlineStr">
        <is>
          <t>Rest of World revenue</t>
        </is>
      </c>
      <c r="B32" s="6" t="n">
        <v>1062.5</v>
      </c>
      <c r="C32" s="6" t="n">
        <v>1227.4</v>
      </c>
      <c r="D32" s="24">
        <f>C32/B32-1</f>
        <v/>
      </c>
    </row>
    <row r="33">
      <c r="A33" s="5" t="inlineStr">
        <is>
          <t>Global DAU Q4 (m)</t>
        </is>
      </c>
      <c r="B33" s="6" t="n">
        <v>453</v>
      </c>
      <c r="C33" s="6" t="n">
        <v>474</v>
      </c>
      <c r="D33" s="24">
        <f>C33/B33-1</f>
        <v/>
      </c>
    </row>
    <row r="34">
      <c r="A34" s="5" t="inlineStr">
        <is>
          <t>NA / EU / RoW DAU Q4 (m)</t>
        </is>
      </c>
      <c r="B34" s="25" t="inlineStr">
        <is>
          <t>100 / 99 / 254</t>
        </is>
      </c>
      <c r="C34" s="25" t="inlineStr">
        <is>
          <t>94 / 98 / 282</t>
        </is>
      </c>
      <c r="D34" s="9" t="inlineStr"/>
    </row>
    <row r="35">
      <c r="A35" s="3" t="inlineStr">
        <is>
          <t>Source: Snap FY2024 &amp; FY2025 press releases. Regional figures are total revenue by user region.</t>
        </is>
      </c>
    </row>
    <row r="37">
      <c r="A37" s="23" t="inlineStr">
        <is>
          <t>Pinterest, Inc.</t>
        </is>
      </c>
    </row>
    <row r="38">
      <c r="A38" s="4" t="inlineStr">
        <is>
          <t>Item</t>
        </is>
      </c>
      <c r="B38" s="4" t="inlineStr">
        <is>
          <t>FY2024</t>
        </is>
      </c>
      <c r="C38" s="4" t="inlineStr">
        <is>
          <t>FY2025</t>
        </is>
      </c>
      <c r="D38" s="4" t="inlineStr">
        <is>
          <t>YoY %</t>
        </is>
      </c>
    </row>
    <row r="39">
      <c r="A39" s="5" t="inlineStr">
        <is>
          <t>Total revenue</t>
        </is>
      </c>
      <c r="B39" s="6" t="n">
        <v>3646</v>
      </c>
      <c r="C39" s="6" t="n">
        <v>4222</v>
      </c>
      <c r="D39" s="24">
        <f>C39/B39-1</f>
        <v/>
      </c>
    </row>
    <row r="40">
      <c r="A40" s="5" t="inlineStr">
        <is>
          <t>US &amp; Canada revenue</t>
        </is>
      </c>
      <c r="B40" s="6" t="n">
        <v>2884</v>
      </c>
      <c r="C40" s="6" t="n">
        <v>3173</v>
      </c>
      <c r="D40" s="24">
        <f>C40/B40-1</f>
        <v/>
      </c>
    </row>
    <row r="41">
      <c r="A41" s="5" t="inlineStr">
        <is>
          <t>Europe revenue</t>
        </is>
      </c>
      <c r="B41" s="6" t="n">
        <v>593</v>
      </c>
      <c r="C41" s="6" t="n">
        <v>775</v>
      </c>
      <c r="D41" s="24">
        <f>C41/B41-1</f>
        <v/>
      </c>
    </row>
    <row r="42">
      <c r="A42" s="5" t="inlineStr">
        <is>
          <t>Rest of World revenue</t>
        </is>
      </c>
      <c r="B42" s="6" t="n">
        <v>169</v>
      </c>
      <c r="C42" s="6" t="n">
        <v>274</v>
      </c>
      <c r="D42" s="24">
        <f>C42/B42-1</f>
        <v/>
      </c>
    </row>
    <row r="43">
      <c r="A43" s="5" t="inlineStr">
        <is>
          <t>Global MAU Q4 (m)</t>
        </is>
      </c>
      <c r="B43" s="6" t="n">
        <v>553</v>
      </c>
      <c r="C43" s="6" t="n">
        <v>619</v>
      </c>
      <c r="D43" s="24">
        <f>C43/B43-1</f>
        <v/>
      </c>
    </row>
    <row r="44">
      <c r="A44" s="5" t="inlineStr">
        <is>
          <t>UCAN / EU / RoW MAU Q4 (m)</t>
        </is>
      </c>
      <c r="B44" s="25" t="inlineStr">
        <is>
          <t>101 / 145 / 307</t>
        </is>
      </c>
      <c r="C44" s="25" t="inlineStr">
        <is>
          <t>105 / 158 / 356</t>
        </is>
      </c>
      <c r="D44" s="9" t="inlineStr"/>
    </row>
    <row r="45">
      <c r="A45" s="3" t="inlineStr">
        <is>
          <t>Source: Pinterest FY2024 &amp; FY2025 press releases (full-year regional revenue, as reported).</t>
        </is>
      </c>
    </row>
  </sheetData>
  <mergeCells count="9">
    <mergeCell ref="A1:D1"/>
    <mergeCell ref="A37:D37"/>
    <mergeCell ref="A45:D45"/>
    <mergeCell ref="A27:D27"/>
    <mergeCell ref="A12:D12"/>
    <mergeCell ref="A35:D35"/>
    <mergeCell ref="A3:D3"/>
    <mergeCell ref="A25:D25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22" customHeight="1">
      <c r="A1" s="20" t="inlineStr">
        <is>
          <t>YOUTH-USAGE EVIDENCE BASE  (data underpinning the assumptions)</t>
        </is>
      </c>
    </row>
    <row r="3">
      <c r="A3" s="23" t="inlineStr">
        <is>
          <t>A.  Harvard 2023 — estimated US youth USERS by platform, 2022 (millions)</t>
        </is>
      </c>
    </row>
    <row r="4">
      <c r="A4" s="4" t="inlineStr">
        <is>
          <t>Platform</t>
        </is>
      </c>
      <c r="B4" s="4" t="inlineStr">
        <is>
          <t>Ages 0–12</t>
        </is>
      </c>
      <c r="C4" s="4" t="inlineStr">
        <is>
          <t>Ages 13–17</t>
        </is>
      </c>
      <c r="D4" s="4" t="inlineStr">
        <is>
          <t>Ages 0–17</t>
        </is>
      </c>
      <c r="E4" s="4" t="inlineStr"/>
      <c r="F4" s="4" t="inlineStr">
        <is>
          <t>Note</t>
        </is>
      </c>
    </row>
    <row r="5">
      <c r="A5" s="5" t="inlineStr">
        <is>
          <t>Facebook</t>
        </is>
      </c>
      <c r="B5" s="26" t="n">
        <v>2.757</v>
      </c>
      <c r="C5" s="26" t="n">
        <v>7.047</v>
      </c>
      <c r="D5" s="26" t="n">
        <v>9.904</v>
      </c>
      <c r="F5" s="27" t="inlineStr">
        <is>
          <t>Raffoul et al., PLOS ONE 2023, Table 1</t>
        </is>
      </c>
    </row>
    <row r="6">
      <c r="A6" s="5" t="inlineStr">
        <is>
          <t>Instagram</t>
        </is>
      </c>
      <c r="B6" s="26" t="n">
        <v>3.982</v>
      </c>
      <c r="C6" s="26" t="n">
        <v>12.726</v>
      </c>
      <c r="D6" s="26" t="n">
        <v>16.708</v>
      </c>
      <c r="F6" s="27" t="inlineStr">
        <is>
          <t>Raffoul et al., PLOS ONE 2023, Table 1</t>
        </is>
      </c>
    </row>
    <row r="7">
      <c r="A7" s="5" t="inlineStr">
        <is>
          <t>Snapchat</t>
        </is>
      </c>
      <c r="B7" s="26" t="n">
        <v>2.869</v>
      </c>
      <c r="C7" s="26" t="n">
        <v>15.131</v>
      </c>
      <c r="D7" s="26" t="n">
        <v>18</v>
      </c>
      <c r="F7" s="27" t="inlineStr">
        <is>
          <t>Raffoul et al., PLOS ONE 2023, Table 1</t>
        </is>
      </c>
    </row>
    <row r="8">
      <c r="A8" s="5" t="inlineStr">
        <is>
          <t>YouTube</t>
        </is>
      </c>
      <c r="B8" s="26" t="n">
        <v>31.448</v>
      </c>
      <c r="C8" s="26" t="n">
        <v>18.341</v>
      </c>
      <c r="D8" s="26" t="n">
        <v>49.789</v>
      </c>
      <c r="F8" s="27" t="inlineStr">
        <is>
          <t>Raffoul et al., PLOS ONE 2023, Table 1</t>
        </is>
      </c>
    </row>
    <row r="9">
      <c r="A9" s="5" t="inlineStr">
        <is>
          <t>TikTok (ref.)</t>
        </is>
      </c>
      <c r="B9" s="26" t="n">
        <v>3.041</v>
      </c>
      <c r="C9" s="26" t="n">
        <v>15.932</v>
      </c>
      <c r="D9" s="26" t="n">
        <v>18.972</v>
      </c>
      <c r="F9" s="27" t="inlineStr">
        <is>
          <t>Raffoul et al., PLOS ONE 2023, Table 1</t>
        </is>
      </c>
    </row>
    <row r="10">
      <c r="A10" s="5" t="inlineStr">
        <is>
          <t>X/Twitter (ref.)</t>
        </is>
      </c>
      <c r="B10" s="26" t="n">
        <v>2.071</v>
      </c>
      <c r="C10" s="26" t="n">
        <v>4.929</v>
      </c>
      <c r="D10" s="26" t="n">
        <v>7.001</v>
      </c>
      <c r="F10" s="27" t="inlineStr">
        <is>
          <t>Raffoul et al., PLOS ONE 2023, Table 1</t>
        </is>
      </c>
    </row>
    <row r="12">
      <c r="A12" s="23" t="inlineStr">
        <is>
          <t>B.  Harvard 2023 — US under-18 advertising revenue &amp; share, 2022</t>
        </is>
      </c>
    </row>
    <row r="13" ht="28" customHeight="1">
      <c r="A13" s="4" t="inlineStr">
        <is>
          <t>Platform</t>
        </is>
      </c>
      <c r="B13" s="4" t="inlineStr">
        <is>
          <t>0–12 rev ($M)</t>
        </is>
      </c>
      <c r="C13" s="4" t="inlineStr">
        <is>
          <t>13–17 rev ($M)</t>
        </is>
      </c>
      <c r="D13" s="4" t="inlineStr">
        <is>
          <t>Under-18 % of
platform US ad rev</t>
        </is>
      </c>
      <c r="E13" s="4" t="inlineStr"/>
      <c r="F13" s="4" t="inlineStr">
        <is>
          <t>Note</t>
        </is>
      </c>
    </row>
    <row r="14">
      <c r="A14" s="5" t="inlineStr">
        <is>
          <t>Instagram</t>
        </is>
      </c>
      <c r="B14" s="6" t="n">
        <v>801.1</v>
      </c>
      <c r="C14" s="6" t="n">
        <v>4000</v>
      </c>
      <c r="D14" s="28" t="n">
        <v>0.16</v>
      </c>
      <c r="F14" s="27" t="inlineStr">
        <is>
          <t>PLOS ONE 2023, Figs 1–2</t>
        </is>
      </c>
    </row>
    <row r="15">
      <c r="A15" s="5" t="inlineStr">
        <is>
          <t>YouTube</t>
        </is>
      </c>
      <c r="B15" s="6" t="n">
        <v>959.1</v>
      </c>
      <c r="C15" s="6" t="n">
        <v>1200</v>
      </c>
      <c r="D15" s="28" t="n">
        <v>0.27</v>
      </c>
      <c r="F15" s="27" t="inlineStr">
        <is>
          <t>PLOS ONE 2023, Figs 1–2</t>
        </is>
      </c>
    </row>
    <row r="16">
      <c r="A16" s="5" t="inlineStr">
        <is>
          <t>Snapchat</t>
        </is>
      </c>
      <c r="B16" s="25" t="inlineStr">
        <is>
          <t>n/d</t>
        </is>
      </c>
      <c r="C16" s="25" t="inlineStr">
        <is>
          <t>n/d</t>
        </is>
      </c>
      <c r="D16" s="28" t="n">
        <v>0.414</v>
      </c>
      <c r="F16" s="27" t="inlineStr">
        <is>
          <t>PLOS ONE 2023, Figs 1–2</t>
        </is>
      </c>
    </row>
    <row r="17">
      <c r="A17" s="5" t="inlineStr">
        <is>
          <t>Facebook</t>
        </is>
      </c>
      <c r="B17" s="6" t="n">
        <v>137.2</v>
      </c>
      <c r="C17" s="25" t="inlineStr">
        <is>
          <t>n/d</t>
        </is>
      </c>
      <c r="D17" s="28" t="n">
        <v>0.019</v>
      </c>
      <c r="F17" s="27" t="inlineStr">
        <is>
          <t>PLOS ONE 2023, Figs 1–2</t>
        </is>
      </c>
    </row>
    <row r="18">
      <c r="A18" s="5" t="inlineStr">
        <is>
          <t>TikTok (ref.)</t>
        </is>
      </c>
      <c r="B18" s="25" t="inlineStr">
        <is>
          <t>n/d</t>
        </is>
      </c>
      <c r="C18" s="6" t="n">
        <v>2000</v>
      </c>
      <c r="D18" s="28" t="n">
        <v>0.35</v>
      </c>
      <c r="F18" s="27" t="inlineStr">
        <is>
          <t>PLOS ONE 2023, Figs 1–2</t>
        </is>
      </c>
    </row>
    <row r="19">
      <c r="A19" s="19" t="inlineStr">
        <is>
          <t>Aggregate: 6 platforms earned ~$11.0bn US ad revenue from under-18s in 2022 ($2.1bn from ≤12, $8.6bn from 13–17).</t>
        </is>
      </c>
    </row>
    <row r="21">
      <c r="A21" s="23" t="inlineStr">
        <is>
          <t>C.  Ofcom 2024 (UK) — children's platform usage by age</t>
        </is>
      </c>
    </row>
    <row r="22">
      <c r="A22" s="16" t="inlineStr">
        <is>
          <t>• Social-media use rises with age: 34% of 3–7s, 63% of 8–11s, 92% of 12–15s, 95% of 16–17s.</t>
        </is>
      </c>
    </row>
    <row r="23">
      <c r="A23" s="16" t="inlineStr">
        <is>
          <t>• 51% of UK under-13s use social media despite the common 13+ minimum age.</t>
        </is>
      </c>
    </row>
    <row r="24">
      <c r="A24" s="16" t="inlineStr">
        <is>
          <t>• 40% of 8–17s admit giving a fake age to access a site/app (key reason age data is unreliable).</t>
        </is>
      </c>
    </row>
    <row r="25">
      <c r="A25" s="16" t="inlineStr">
        <is>
          <t>• Instagram and Snapchat usage each rise to ~80% among 16–17s (17% even among 3–4s).</t>
        </is>
      </c>
    </row>
    <row r="26">
      <c r="A26" s="16" t="inlineStr">
        <is>
          <t>• YouTube is near-universal across all child age bands (&gt;80% of 3–17s).</t>
        </is>
      </c>
    </row>
    <row r="27">
      <c r="A27" s="16" t="inlineStr">
        <is>
          <t>• 5–7s with own profiles: YouTube/YT Kids 48%, Instagram 9%, WhatsApp 11%.</t>
        </is>
      </c>
    </row>
    <row r="29">
      <c r="A29" s="23" t="inlineStr">
        <is>
          <t>D.  Pinterest age profile</t>
        </is>
      </c>
    </row>
    <row r="30">
      <c r="A30" s="16" t="inlineStr">
        <is>
          <t>• 13–17 year-olds ≈ 4% of Pinterest's audience; bulk of users are 25–34 (the largest cohort).</t>
        </is>
      </c>
    </row>
    <row r="31">
      <c r="A31" s="16" t="inlineStr">
        <is>
          <t>• Gen Z is &gt;40% of global MAU and fastest-growing, but that cohort is predominantly 18+.</t>
        </is>
      </c>
    </row>
    <row r="32">
      <c r="A32" s="16" t="inlineStr">
        <is>
          <t>• Audience skews ~79% female; personalised ads are restricted for users under 18.</t>
        </is>
      </c>
    </row>
  </sheetData>
  <mergeCells count="15">
    <mergeCell ref="A24:F24"/>
    <mergeCell ref="A30:F30"/>
    <mergeCell ref="A19:F19"/>
    <mergeCell ref="A1:F1"/>
    <mergeCell ref="A23:F23"/>
    <mergeCell ref="A32:F32"/>
    <mergeCell ref="A27:F27"/>
    <mergeCell ref="A31:F31"/>
    <mergeCell ref="A26:F26"/>
    <mergeCell ref="A22:F22"/>
    <mergeCell ref="A12:F12"/>
    <mergeCell ref="A3:F3"/>
    <mergeCell ref="A21:F21"/>
    <mergeCell ref="A29:F29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15" customWidth="1" min="5" max="5"/>
    <col width="52" customWidth="1" min="6" max="6"/>
  </cols>
  <sheetData>
    <row r="1" ht="22" customHeight="1">
      <c r="A1" s="20" t="inlineStr">
        <is>
          <t>MODELLING ASSUMPTIONS  (edit blue-shaded inputs — the model recalculates)</t>
        </is>
      </c>
    </row>
    <row r="3">
      <c r="A3" s="23" t="inlineStr">
        <is>
          <t>1.  Age-band split parameter</t>
        </is>
      </c>
    </row>
    <row r="4">
      <c r="A4" s="29" t="inlineStr">
        <is>
          <t>13–15 share of the 13–17 revenue band</t>
        </is>
      </c>
      <c r="B4" s="30" t="n">
        <v>0.57</v>
      </c>
      <c r="F4" s="19" t="inlineStr">
        <is>
          <t>3 of the 5 single-year ages in 13–17 are &lt;16; mild skew to older teens (slightly higher engagement). Low/Base/High = 50% / 57% / 62%.</t>
        </is>
      </c>
    </row>
    <row r="6">
      <c r="A6" s="23" t="inlineStr">
        <is>
          <t>2.  Platform US under-16 ad-revenue share (anchored to Harvard 2023 US 2022 study)</t>
        </is>
      </c>
    </row>
    <row r="7" ht="30" customHeight="1">
      <c r="A7" s="4" t="inlineStr">
        <is>
          <t>Platform / surface</t>
        </is>
      </c>
      <c r="B7" s="4" t="inlineStr">
        <is>
          <t>US under-18
rev share</t>
        </is>
      </c>
      <c r="C7" s="4" t="inlineStr">
        <is>
          <t>0–12 share
of under-18 $</t>
        </is>
      </c>
      <c r="D7" s="4" t="inlineStr">
        <is>
          <t>Under-16 frac.
of under-18</t>
        </is>
      </c>
      <c r="E7" s="4" t="inlineStr">
        <is>
          <t>US under-16
rev share</t>
        </is>
      </c>
      <c r="F7" s="4" t="inlineStr">
        <is>
          <t>Basis / source</t>
        </is>
      </c>
    </row>
    <row r="8">
      <c r="A8" s="5" t="inlineStr">
        <is>
          <t>Instagram</t>
        </is>
      </c>
      <c r="B8" s="30" t="n">
        <v>0.16</v>
      </c>
      <c r="C8" s="30" t="n">
        <v>0.1669</v>
      </c>
      <c r="D8" s="31">
        <f>C8+(1-C8)*$B4</f>
        <v/>
      </c>
      <c r="E8" s="32">
        <f>B8*D8</f>
        <v/>
      </c>
      <c r="F8" s="27" t="inlineStr">
        <is>
          <t>Harvard: U18 share 16%; 0–12 $801.1M of $4,801M</t>
        </is>
      </c>
    </row>
    <row r="9">
      <c r="A9" s="5" t="inlineStr">
        <is>
          <t>Facebook</t>
        </is>
      </c>
      <c r="B9" s="30" t="n">
        <v>0.019</v>
      </c>
      <c r="C9" s="30" t="n">
        <v>0.22</v>
      </c>
      <c r="D9" s="31">
        <f>C9+(1-C9)*$B4</f>
        <v/>
      </c>
      <c r="E9" s="32">
        <f>B9*D9</f>
        <v/>
      </c>
      <c r="F9" s="27" t="inlineStr">
        <is>
          <t>Harvard: U18 share 1.9% (low youth base)</t>
        </is>
      </c>
    </row>
    <row r="10">
      <c r="A10" s="5" t="inlineStr">
        <is>
          <t>Messenger / other (Meta)</t>
        </is>
      </c>
      <c r="B10" s="30" t="n">
        <v>0.03</v>
      </c>
      <c r="C10" s="30" t="n">
        <v>0.3</v>
      </c>
      <c r="D10" s="31">
        <f>C10+(1-C10)*$B4</f>
        <v/>
      </c>
      <c r="E10" s="32">
        <f>B10*D10</f>
        <v/>
      </c>
      <c r="F10" s="27" t="inlineStr">
        <is>
          <t>Estimate (messaging; limited youth ads)</t>
        </is>
      </c>
    </row>
    <row r="11">
      <c r="A11" s="5" t="inlineStr">
        <is>
          <t>YouTube ads</t>
        </is>
      </c>
      <c r="B11" s="30" t="n">
        <v>0.27</v>
      </c>
      <c r="C11" s="30" t="n">
        <v>0.4442</v>
      </c>
      <c r="D11" s="31">
        <f>C11+(1-C11)*$B4</f>
        <v/>
      </c>
      <c r="E11" s="32">
        <f>B11*D11</f>
        <v/>
      </c>
      <c r="F11" s="27" t="inlineStr">
        <is>
          <t>Harvard: U18 share 27%; 0–12 $959.1M of $2,159M</t>
        </is>
      </c>
    </row>
    <row r="12">
      <c r="A12" s="5" t="inlineStr">
        <is>
          <t>Google Search &amp; other</t>
        </is>
      </c>
      <c r="B12" s="30" t="n">
        <v>0.025</v>
      </c>
      <c r="C12" s="30" t="n">
        <v>0.25</v>
      </c>
      <c r="D12" s="31">
        <f>C12+(1-C12)*$B4</f>
        <v/>
      </c>
      <c r="E12" s="32">
        <f>B12*D12</f>
        <v/>
      </c>
      <c r="F12" s="27" t="inlineStr">
        <is>
          <t>Estimate: teens search but low commercial intent/ad value</t>
        </is>
      </c>
    </row>
    <row r="13">
      <c r="A13" s="5" t="inlineStr">
        <is>
          <t>Google Network</t>
        </is>
      </c>
      <c r="B13" s="30" t="n">
        <v>0.03</v>
      </c>
      <c r="C13" s="30" t="n">
        <v>0.25</v>
      </c>
      <c r="D13" s="31">
        <f>C13+(1-C13)*$B4</f>
        <v/>
      </c>
      <c r="E13" s="32">
        <f>B13*D13</f>
        <v/>
      </c>
      <c r="F13" s="27" t="inlineStr">
        <is>
          <t>Estimate: programmatic, broad adult base</t>
        </is>
      </c>
    </row>
    <row r="14">
      <c r="A14" s="5" t="inlineStr">
        <is>
          <t>Snapchat</t>
        </is>
      </c>
      <c r="B14" s="30" t="n">
        <v>0.414</v>
      </c>
      <c r="C14" s="30" t="n">
        <v>0.1</v>
      </c>
      <c r="D14" s="31">
        <f>C14+(1-C14)*$B4</f>
        <v/>
      </c>
      <c r="E14" s="32">
        <f>B14*D14</f>
        <v/>
      </c>
      <c r="F14" s="27" t="inlineStr">
        <is>
          <t>Harvard: U18 share 41.4%; 0–12 $ modelled at 10%</t>
        </is>
      </c>
    </row>
    <row r="15">
      <c r="A15" s="5" t="inlineStr">
        <is>
          <t>Pinterest</t>
        </is>
      </c>
      <c r="B15" s="30" t="n">
        <v>0.04</v>
      </c>
      <c r="C15" s="30" t="n">
        <v>0.15</v>
      </c>
      <c r="D15" s="31">
        <f>C15+(1-C15)*$B4</f>
        <v/>
      </c>
      <c r="E15" s="32">
        <f>B15*D15</f>
        <v/>
      </c>
      <c r="F15" s="27" t="inlineStr">
        <is>
          <t>Estimate: 13–17 ≈4% of users; &lt;18 ad limits</t>
        </is>
      </c>
    </row>
    <row r="17">
      <c r="A17" s="23" t="inlineStr">
        <is>
          <t>3.  Meta surface mix (weights of US ad revenue) — used to blend Meta's under-16 share</t>
        </is>
      </c>
    </row>
    <row r="18">
      <c r="A18" s="4" t="inlineStr">
        <is>
          <t>Surface</t>
        </is>
      </c>
      <c r="B18" s="4" t="inlineStr">
        <is>
          <t>Weight</t>
        </is>
      </c>
      <c r="C18" s="4" t="inlineStr"/>
      <c r="D18" s="4" t="inlineStr"/>
      <c r="E18" s="4" t="inlineStr">
        <is>
          <t>US under-16 share</t>
        </is>
      </c>
      <c r="F18" s="4" t="inlineStr">
        <is>
          <t>Note</t>
        </is>
      </c>
    </row>
    <row r="19">
      <c r="A19" s="5" t="inlineStr">
        <is>
          <t>Instagram</t>
        </is>
      </c>
      <c r="B19" s="30" t="n">
        <v>0.5</v>
      </c>
      <c r="E19" s="33">
        <f>'Assumptions'!$E$8</f>
        <v/>
      </c>
      <c r="F19" s="27" t="inlineStr">
        <is>
          <t>Instagram is the youth driver; Facebook skews older</t>
        </is>
      </c>
    </row>
    <row r="20">
      <c r="A20" s="5" t="inlineStr">
        <is>
          <t>Facebook</t>
        </is>
      </c>
      <c r="B20" s="30" t="n">
        <v>0.4</v>
      </c>
      <c r="E20" s="33">
        <f>'Assumptions'!$E$9</f>
        <v/>
      </c>
      <c r="F20" s="27" t="inlineStr">
        <is>
          <t>Instagram is the youth driver; Facebook skews older</t>
        </is>
      </c>
    </row>
    <row r="21">
      <c r="A21" s="5" t="inlineStr">
        <is>
          <t>Messenger / other (Meta)</t>
        </is>
      </c>
      <c r="B21" s="30" t="n">
        <v>0.1</v>
      </c>
      <c r="E21" s="33">
        <f>'Assumptions'!$E$10</f>
        <v/>
      </c>
      <c r="F21" s="27" t="inlineStr">
        <is>
          <t>Instagram is the youth driver; Facebook skews older</t>
        </is>
      </c>
    </row>
    <row r="22">
      <c r="A22" s="34" t="inlineStr">
        <is>
          <t>Meta blended US under-16 share</t>
        </is>
      </c>
      <c r="B22" s="32">
        <f>SUMPRODUCT(B19:B21,E19:E21)</f>
        <v/>
      </c>
    </row>
    <row r="24">
      <c r="A24" s="23" t="inlineStr">
        <is>
          <t>4.  Regional multipliers (applied to the US/North-America under-16 share)</t>
        </is>
      </c>
    </row>
    <row r="25">
      <c r="A25" s="4" t="inlineStr">
        <is>
          <t>Region</t>
        </is>
      </c>
      <c r="B25" s="4" t="inlineStr">
        <is>
          <t>Multiplier</t>
        </is>
      </c>
      <c r="C25" s="4" t="inlineStr"/>
      <c r="D25" s="4" t="inlineStr"/>
      <c r="E25" s="4" t="inlineStr"/>
      <c r="F25" s="4" t="inlineStr">
        <is>
          <t>Rationale</t>
        </is>
      </c>
    </row>
    <row r="26">
      <c r="A26" s="5" t="inlineStr">
        <is>
          <t>US &amp; Canada / North America</t>
        </is>
      </c>
      <c r="B26" s="35" t="n">
        <v>1</v>
      </c>
      <c r="F26" s="27" t="inlineStr">
        <is>
          <t>Anchor region (Harvard study basis)</t>
        </is>
      </c>
    </row>
    <row r="27">
      <c r="A27" s="5" t="inlineStr">
        <is>
          <t>Europe / EMEA</t>
        </is>
      </c>
      <c r="B27" s="35" t="n">
        <v>0.95</v>
      </c>
      <c r="F27" s="27" t="inlineStr">
        <is>
          <t>High youth usage (Ofcom) offset by GDPR-K / DSA enforcement</t>
        </is>
      </c>
    </row>
    <row r="28">
      <c r="A28" s="5" t="inlineStr">
        <is>
          <t>Asia-Pacific</t>
        </is>
      </c>
      <c r="B28" s="35" t="n">
        <v>1.05</v>
      </c>
      <c r="F28" s="27" t="inlineStr">
        <is>
          <t>Younger populations; higher youth share of users</t>
        </is>
      </c>
    </row>
    <row r="29">
      <c r="A29" s="5" t="inlineStr">
        <is>
          <t>Rest of World</t>
        </is>
      </c>
      <c r="B29" s="35" t="n">
        <v>1.15</v>
      </c>
      <c r="F29" s="27" t="inlineStr">
        <is>
          <t>Youngest populations; youth-heavy adoption, light regulation</t>
        </is>
      </c>
    </row>
    <row r="31">
      <c r="A31" s="23" t="inlineStr">
        <is>
          <t>5.  Scenario scalars (capture model uncertainty: Harvard intervals, age mis-reporting)</t>
        </is>
      </c>
    </row>
    <row r="32">
      <c r="A32" s="4" t="inlineStr">
        <is>
          <t>Scenario</t>
        </is>
      </c>
      <c r="B32" s="4" t="inlineStr">
        <is>
          <t>Scalar</t>
        </is>
      </c>
      <c r="C32" s="4" t="inlineStr"/>
      <c r="D32" s="4" t="inlineStr"/>
      <c r="E32" s="4" t="inlineStr"/>
      <c r="F32" s="4" t="inlineStr">
        <is>
          <t>Note</t>
        </is>
      </c>
    </row>
    <row r="33">
      <c r="A33" s="5" t="inlineStr">
        <is>
          <t>Low</t>
        </is>
      </c>
      <c r="B33" s="35" t="n">
        <v>0.65</v>
      </c>
      <c r="F33" s="27" t="inlineStr">
        <is>
          <t>Applied multiplicatively to base under-16 revenue</t>
        </is>
      </c>
    </row>
    <row r="34">
      <c r="A34" s="5" t="inlineStr">
        <is>
          <t>Base</t>
        </is>
      </c>
      <c r="B34" s="35" t="n">
        <v>1</v>
      </c>
      <c r="F34" s="27" t="inlineStr">
        <is>
          <t>Applied multiplicatively to base under-16 revenue</t>
        </is>
      </c>
    </row>
    <row r="35">
      <c r="A35" s="5" t="inlineStr">
        <is>
          <t>High</t>
        </is>
      </c>
      <c r="B35" s="35" t="n">
        <v>1.35</v>
      </c>
      <c r="F35" s="27" t="inlineStr">
        <is>
          <t>Applied multiplicatively to base under-16 revenue</t>
        </is>
      </c>
    </row>
  </sheetData>
  <mergeCells count="6">
    <mergeCell ref="A24:F24"/>
    <mergeCell ref="A1:F1"/>
    <mergeCell ref="A31:F31"/>
    <mergeCell ref="A6:F6"/>
    <mergeCell ref="A17:F17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7" customWidth="1" min="4" max="4"/>
    <col width="15" customWidth="1" min="5" max="5"/>
    <col width="15" customWidth="1" min="6" max="6"/>
    <col width="46" customWidth="1" min="7" max="7"/>
  </cols>
  <sheetData>
    <row r="1" ht="22" customHeight="1">
      <c r="A1" s="20" t="inlineStr">
        <is>
          <t>UNDER-16 AD-REVENUE EXPOSURE MODEL  —  Meta Platforms (Facebook + Instagram + Messenger)</t>
        </is>
      </c>
    </row>
    <row r="3">
      <c r="A3" s="29" t="inlineStr">
        <is>
          <t>FY2025 total revenue ($M)</t>
        </is>
      </c>
      <c r="B3" s="36" t="n">
        <v>200966</v>
      </c>
    </row>
    <row r="4">
      <c r="A4" s="29" t="inlineStr">
        <is>
          <t>FY2025 advertising revenue ($M)</t>
        </is>
      </c>
      <c r="B4" s="36" t="n">
        <v>196175</v>
      </c>
    </row>
    <row r="5">
      <c r="A5" s="29" t="inlineStr">
        <is>
          <t>Meta blended US under-16 ad-revenue share</t>
        </is>
      </c>
      <c r="B5" s="37">
        <f>'Assumptions'!$B$22</f>
        <v/>
      </c>
    </row>
    <row r="7" ht="30" customHeight="1">
      <c r="A7" s="4" t="inlineStr">
        <is>
          <t>Region</t>
        </is>
      </c>
      <c r="B7" s="4" t="inlineStr">
        <is>
          <t>Regional revenue ($M)</t>
        </is>
      </c>
      <c r="C7" s="4" t="inlineStr">
        <is>
          <t>Under-16 share
(base)</t>
        </is>
      </c>
      <c r="D7" s="4" t="inlineStr">
        <is>
          <t>Under-16 rev
BASE ($M)</t>
        </is>
      </c>
      <c r="E7" s="4" t="inlineStr">
        <is>
          <t>Low ($M)</t>
        </is>
      </c>
      <c r="F7" s="4" t="inlineStr">
        <is>
          <t>High ($M)</t>
        </is>
      </c>
      <c r="G7" s="4" t="inlineStr">
        <is>
          <t>Notes</t>
        </is>
      </c>
    </row>
    <row r="8">
      <c r="A8" s="5" t="inlineStr">
        <is>
          <t>US &amp; Canada</t>
        </is>
      </c>
      <c r="B8" s="38" t="n">
        <v>84355.2</v>
      </c>
      <c r="C8" s="7">
        <f>'Assumptions'!$B$22*'Assumptions'!$B$26</f>
        <v/>
      </c>
      <c r="D8" s="8">
        <f>B8*C8*'Assumptions'!$B$34</f>
        <v/>
      </c>
      <c r="E8" s="6">
        <f>B8*C8*'Assumptions'!$B$33</f>
        <v/>
      </c>
      <c r="F8" s="6">
        <f>B8*C8*'Assumptions'!$B$35</f>
        <v/>
      </c>
      <c r="G8" s="27" t="inlineStr">
        <is>
          <t>Anchor; Instagram youth-heavy, Facebook older</t>
        </is>
      </c>
    </row>
    <row r="9">
      <c r="A9" s="5" t="inlineStr">
        <is>
          <t>Europe</t>
        </is>
      </c>
      <c r="B9" s="38" t="n">
        <v>45120.2</v>
      </c>
      <c r="C9" s="7">
        <f>'Assumptions'!$B$22*'Assumptions'!$B$27</f>
        <v/>
      </c>
      <c r="D9" s="8">
        <f>B9*C9*'Assumptions'!$B$34</f>
        <v/>
      </c>
      <c r="E9" s="6">
        <f>B9*C9*'Assumptions'!$B$33</f>
        <v/>
      </c>
      <c r="F9" s="6">
        <f>B9*C9*'Assumptions'!$B$35</f>
        <v/>
      </c>
      <c r="G9" s="27" t="inlineStr">
        <is>
          <t>Ofcom: ~80% of 16-17s on IG/Snap; DSA minor-risk probe ongoing</t>
        </is>
      </c>
    </row>
    <row r="10">
      <c r="A10" s="5" t="inlineStr">
        <is>
          <t>Asia-Pacific</t>
        </is>
      </c>
      <c r="B10" s="38" t="n">
        <v>45120.2</v>
      </c>
      <c r="C10" s="7">
        <f>'Assumptions'!$B$22*'Assumptions'!$B$28</f>
        <v/>
      </c>
      <c r="D10" s="8">
        <f>B10*C10*'Assumptions'!$B$34</f>
        <v/>
      </c>
      <c r="E10" s="6">
        <f>B10*C10*'Assumptions'!$B$33</f>
        <v/>
      </c>
      <c r="F10" s="6">
        <f>B10*C10*'Assumptions'!$B$35</f>
        <v/>
      </c>
      <c r="G10" s="27" t="inlineStr">
        <is>
          <t>Lower ARPU but younger, youth-heavy user base</t>
        </is>
      </c>
    </row>
    <row r="11">
      <c r="A11" s="5" t="inlineStr">
        <is>
          <t>Rest of World</t>
        </is>
      </c>
      <c r="B11" s="38" t="n">
        <v>21579.2</v>
      </c>
      <c r="C11" s="7">
        <f>'Assumptions'!$B$22*'Assumptions'!$B$29</f>
        <v/>
      </c>
      <c r="D11" s="8">
        <f>B11*C11*'Assumptions'!$B$34</f>
        <v/>
      </c>
      <c r="E11" s="6">
        <f>B11*C11*'Assumptions'!$B$33</f>
        <v/>
      </c>
      <c r="F11" s="6">
        <f>B11*C11*'Assumptions'!$B$35</f>
        <v/>
      </c>
      <c r="G11" s="27" t="inlineStr">
        <is>
          <t>Youngest demographics; lightest regulation</t>
        </is>
      </c>
    </row>
    <row r="12">
      <c r="A12" s="10" t="inlineStr">
        <is>
          <t>TOTAL — Meta</t>
        </is>
      </c>
      <c r="B12" s="11">
        <f>SUM(B8:B11)</f>
        <v/>
      </c>
      <c r="C12" s="12">
        <f>D12/B12</f>
        <v/>
      </c>
      <c r="D12" s="11">
        <f>SUM(D8:D11)</f>
        <v/>
      </c>
      <c r="E12" s="11">
        <f>SUM(E8:E11)</f>
        <v/>
      </c>
      <c r="F12" s="11">
        <f>SUM(F8:F11)</f>
        <v/>
      </c>
      <c r="G12" s="39" t="inlineStr">
        <is>
          <t>Regional ad-revenue split is an estimate (user-geography)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7" customWidth="1" min="4" max="4"/>
    <col width="15" customWidth="1" min="5" max="5"/>
    <col width="15" customWidth="1" min="6" max="6"/>
    <col width="46" customWidth="1" min="7" max="7"/>
  </cols>
  <sheetData>
    <row r="1" ht="22" customHeight="1">
      <c r="A1" s="20" t="inlineStr">
        <is>
          <t>UNDER-16 AD-REVENUE EXPOSURE MODEL  —  Google / Alphabet (YouTube + Search + Network)</t>
        </is>
      </c>
    </row>
    <row r="3">
      <c r="A3" s="29" t="inlineStr">
        <is>
          <t>FY2025 Alphabet total revenue ($M)</t>
        </is>
      </c>
      <c r="B3" s="36" t="n">
        <v>402836</v>
      </c>
    </row>
    <row r="4">
      <c r="A4" s="29" t="inlineStr">
        <is>
          <t>FY2025 Google advertising revenue ($M)</t>
        </is>
      </c>
      <c r="B4" s="36" t="n">
        <v>294691</v>
      </c>
    </row>
    <row r="5">
      <c r="A5" s="29" t="inlineStr">
        <is>
          <t xml:space="preserve">  of which YouTube ads ($M)</t>
        </is>
      </c>
      <c r="B5" s="36" t="n">
        <v>40367</v>
      </c>
    </row>
    <row r="6">
      <c r="A6" s="29" t="inlineStr">
        <is>
          <t xml:space="preserve">  of which Google Search &amp; other ($M)</t>
        </is>
      </c>
      <c r="B6" s="36" t="n">
        <v>224532</v>
      </c>
    </row>
    <row r="7">
      <c r="A7" s="29" t="inlineStr">
        <is>
          <t xml:space="preserve">  of which Google Network ($M)</t>
        </is>
      </c>
      <c r="B7" s="36" t="n">
        <v>29792</v>
      </c>
    </row>
    <row r="8">
      <c r="A8" s="29" t="inlineStr">
        <is>
          <t>YouTube US under-16 ad-revenue share</t>
        </is>
      </c>
      <c r="B8" s="37">
        <f>'Assumptions'!$E$11</f>
        <v/>
      </c>
    </row>
    <row r="10">
      <c r="A10" s="23" t="inlineStr">
        <is>
          <t>YouTube ads — the principal under-16 surface</t>
        </is>
      </c>
    </row>
    <row r="11" ht="30" customHeight="1">
      <c r="A11" s="4" t="inlineStr">
        <is>
          <t>Region</t>
        </is>
      </c>
      <c r="B11" s="4" t="inlineStr">
        <is>
          <t>Regional revenue ($M)</t>
        </is>
      </c>
      <c r="C11" s="4" t="inlineStr">
        <is>
          <t>Under-16 share
(base)</t>
        </is>
      </c>
      <c r="D11" s="4" t="inlineStr">
        <is>
          <t>Under-16 rev
BASE ($M)</t>
        </is>
      </c>
      <c r="E11" s="4" t="inlineStr">
        <is>
          <t>Low ($M)</t>
        </is>
      </c>
      <c r="F11" s="4" t="inlineStr">
        <is>
          <t>High ($M)</t>
        </is>
      </c>
      <c r="G11" s="4" t="inlineStr">
        <is>
          <t>Notes</t>
        </is>
      </c>
    </row>
    <row r="12">
      <c r="A12" s="5" t="inlineStr">
        <is>
          <t>US &amp; Canada</t>
        </is>
      </c>
      <c r="B12" s="38" t="n">
        <v>14128.4</v>
      </c>
      <c r="C12" s="7">
        <f>'Assumptions'!$E$11*'Assumptions'!$B$26</f>
        <v/>
      </c>
      <c r="D12" s="8">
        <f>B12*C12*'Assumptions'!$B$34</f>
        <v/>
      </c>
      <c r="E12" s="6">
        <f>B12*C12*'Assumptions'!$B$33</f>
        <v/>
      </c>
      <c r="F12" s="6">
        <f>B12*C12*'Assumptions'!$B$35</f>
        <v/>
      </c>
      <c r="G12" s="27" t="inlineStr">
        <is>
          <t>YouTube regional split estimated (intl-heavy monetisation)</t>
        </is>
      </c>
    </row>
    <row r="13">
      <c r="A13" s="5" t="inlineStr">
        <is>
          <t>Europe</t>
        </is>
      </c>
      <c r="B13" s="38" t="n">
        <v>12110.1</v>
      </c>
      <c r="C13" s="7">
        <f>'Assumptions'!$E$11*'Assumptions'!$B$27</f>
        <v/>
      </c>
      <c r="D13" s="8">
        <f>B13*C13*'Assumptions'!$B$34</f>
        <v/>
      </c>
      <c r="E13" s="6">
        <f>B13*C13*'Assumptions'!$B$33</f>
        <v/>
      </c>
      <c r="F13" s="6">
        <f>B13*C13*'Assumptions'!$B$35</f>
        <v/>
      </c>
      <c r="G13" s="27" t="inlineStr">
        <is>
          <t>YouTube regional split estimated (intl-heavy monetisation)</t>
        </is>
      </c>
    </row>
    <row r="14">
      <c r="A14" s="5" t="inlineStr">
        <is>
          <t>Asia-Pacific</t>
        </is>
      </c>
      <c r="B14" s="38" t="n">
        <v>9284.4</v>
      </c>
      <c r="C14" s="7">
        <f>'Assumptions'!$E$11*'Assumptions'!$B$28</f>
        <v/>
      </c>
      <c r="D14" s="8">
        <f>B14*C14*'Assumptions'!$B$34</f>
        <v/>
      </c>
      <c r="E14" s="6">
        <f>B14*C14*'Assumptions'!$B$33</f>
        <v/>
      </c>
      <c r="F14" s="6">
        <f>B14*C14*'Assumptions'!$B$35</f>
        <v/>
      </c>
      <c r="G14" s="27" t="inlineStr">
        <is>
          <t>YouTube regional split estimated (intl-heavy monetisation)</t>
        </is>
      </c>
    </row>
    <row r="15">
      <c r="A15" s="5" t="inlineStr">
        <is>
          <t>Rest of World</t>
        </is>
      </c>
      <c r="B15" s="38" t="n">
        <v>4844</v>
      </c>
      <c r="C15" s="7">
        <f>'Assumptions'!$E$11*'Assumptions'!$B$29</f>
        <v/>
      </c>
      <c r="D15" s="8">
        <f>B15*C15*'Assumptions'!$B$34</f>
        <v/>
      </c>
      <c r="E15" s="6">
        <f>B15*C15*'Assumptions'!$B$33</f>
        <v/>
      </c>
      <c r="F15" s="6">
        <f>B15*C15*'Assumptions'!$B$35</f>
        <v/>
      </c>
      <c r="G15" s="27" t="inlineStr">
        <is>
          <t>YouTube regional split estimated (intl-heavy monetisation)</t>
        </is>
      </c>
    </row>
    <row r="16">
      <c r="A16" s="40" t="inlineStr">
        <is>
          <t>Subtotal — YouTube ads</t>
        </is>
      </c>
      <c r="B16" s="41">
        <f>SUM(B12:B15)</f>
        <v/>
      </c>
      <c r="C16" s="42">
        <f>D16/B16</f>
        <v/>
      </c>
      <c r="D16" s="41">
        <f>SUM(D12:D15)</f>
        <v/>
      </c>
      <c r="E16" s="41">
        <f>SUM(E12:E15)</f>
        <v/>
      </c>
      <c r="F16" s="41">
        <f>SUM(F12:F15)</f>
        <v/>
      </c>
    </row>
    <row r="18">
      <c r="A18" s="23" t="inlineStr">
        <is>
          <t>Google Search &amp; other (lower under-16 exposure)</t>
        </is>
      </c>
    </row>
    <row r="19" ht="30" customHeight="1">
      <c r="A19" s="4" t="inlineStr">
        <is>
          <t>Region</t>
        </is>
      </c>
      <c r="B19" s="4" t="inlineStr">
        <is>
          <t>Regional revenue ($M)</t>
        </is>
      </c>
      <c r="C19" s="4" t="inlineStr">
        <is>
          <t>Under-16 share
(base)</t>
        </is>
      </c>
      <c r="D19" s="4" t="inlineStr">
        <is>
          <t>Under-16 rev
BASE ($M)</t>
        </is>
      </c>
      <c r="E19" s="4" t="inlineStr">
        <is>
          <t>Low ($M)</t>
        </is>
      </c>
      <c r="F19" s="4" t="inlineStr">
        <is>
          <t>High ($M)</t>
        </is>
      </c>
      <c r="G19" s="4" t="inlineStr">
        <is>
          <t>Notes</t>
        </is>
      </c>
    </row>
    <row r="20">
      <c r="A20" s="5" t="inlineStr">
        <is>
          <t>US &amp; Canada</t>
        </is>
      </c>
      <c r="B20" s="38" t="n">
        <v>108224.4</v>
      </c>
      <c r="C20" s="7">
        <f>'Assumptions'!$E$12*'Assumptions'!$B$26</f>
        <v/>
      </c>
      <c r="D20" s="8">
        <f>B20*C20*'Assumptions'!$B$34</f>
        <v/>
      </c>
      <c r="E20" s="6">
        <f>B20*C20*'Assumptions'!$B$33</f>
        <v/>
      </c>
      <c r="F20" s="6">
        <f>B20*C20*'Assumptions'!$B$35</f>
        <v/>
      </c>
      <c r="G20" s="27" t="inlineStr">
        <is>
          <t>Search regional split = Alphabet geographic mix</t>
        </is>
      </c>
    </row>
    <row r="21">
      <c r="A21" s="5" t="inlineStr">
        <is>
          <t>Europe</t>
        </is>
      </c>
      <c r="B21" s="38" t="n">
        <v>65338.8</v>
      </c>
      <c r="C21" s="7">
        <f>'Assumptions'!$E$12*'Assumptions'!$B$27</f>
        <v/>
      </c>
      <c r="D21" s="8">
        <f>B21*C21*'Assumptions'!$B$34</f>
        <v/>
      </c>
      <c r="E21" s="6">
        <f>B21*C21*'Assumptions'!$B$33</f>
        <v/>
      </c>
      <c r="F21" s="6">
        <f>B21*C21*'Assumptions'!$B$35</f>
        <v/>
      </c>
      <c r="G21" s="27" t="inlineStr">
        <is>
          <t>Search regional split = Alphabet geographic mix</t>
        </is>
      </c>
    </row>
    <row r="22">
      <c r="A22" s="5" t="inlineStr">
        <is>
          <t>Asia-Pacific</t>
        </is>
      </c>
      <c r="B22" s="38" t="n">
        <v>37721.4</v>
      </c>
      <c r="C22" s="7">
        <f>'Assumptions'!$E$12*'Assumptions'!$B$28</f>
        <v/>
      </c>
      <c r="D22" s="8">
        <f>B22*C22*'Assumptions'!$B$34</f>
        <v/>
      </c>
      <c r="E22" s="6">
        <f>B22*C22*'Assumptions'!$B$33</f>
        <v/>
      </c>
      <c r="F22" s="6">
        <f>B22*C22*'Assumptions'!$B$35</f>
        <v/>
      </c>
      <c r="G22" s="27" t="inlineStr">
        <is>
          <t>Search regional split = Alphabet geographic mix</t>
        </is>
      </c>
    </row>
    <row r="23">
      <c r="A23" s="5" t="inlineStr">
        <is>
          <t>Rest of World</t>
        </is>
      </c>
      <c r="B23" s="38" t="n">
        <v>13247.4</v>
      </c>
      <c r="C23" s="7">
        <f>'Assumptions'!$E$12*'Assumptions'!$B$29</f>
        <v/>
      </c>
      <c r="D23" s="8">
        <f>B23*C23*'Assumptions'!$B$34</f>
        <v/>
      </c>
      <c r="E23" s="6">
        <f>B23*C23*'Assumptions'!$B$33</f>
        <v/>
      </c>
      <c r="F23" s="6">
        <f>B23*C23*'Assumptions'!$B$35</f>
        <v/>
      </c>
      <c r="G23" s="27" t="inlineStr">
        <is>
          <t>Search regional split = Alphabet geographic mix</t>
        </is>
      </c>
    </row>
    <row r="24">
      <c r="A24" s="40" t="inlineStr">
        <is>
          <t>Subtotal — Search &amp; other</t>
        </is>
      </c>
      <c r="B24" s="41">
        <f>SUM(B20:B23)</f>
        <v/>
      </c>
      <c r="C24" s="42">
        <f>D24/B24</f>
        <v/>
      </c>
      <c r="D24" s="41">
        <f>SUM(D20:D23)</f>
        <v/>
      </c>
      <c r="E24" s="41">
        <f>SUM(E20:E23)</f>
        <v/>
      </c>
      <c r="F24" s="41">
        <f>SUM(F20:F23)</f>
        <v/>
      </c>
    </row>
    <row r="26">
      <c r="A26" s="23" t="inlineStr">
        <is>
          <t>Google Network (worldwide, minimal youth exposure)</t>
        </is>
      </c>
    </row>
    <row r="27" ht="30" customHeight="1">
      <c r="A27" s="4" t="inlineStr">
        <is>
          <t>Region</t>
        </is>
      </c>
      <c r="B27" s="4" t="inlineStr">
        <is>
          <t>Regional revenue ($M)</t>
        </is>
      </c>
      <c r="C27" s="4" t="inlineStr">
        <is>
          <t>Under-16 share
(base)</t>
        </is>
      </c>
      <c r="D27" s="4" t="inlineStr">
        <is>
          <t>Under-16 rev
BASE ($M)</t>
        </is>
      </c>
      <c r="E27" s="4" t="inlineStr">
        <is>
          <t>Low ($M)</t>
        </is>
      </c>
      <c r="F27" s="4" t="inlineStr">
        <is>
          <t>High ($M)</t>
        </is>
      </c>
      <c r="G27" s="4" t="inlineStr">
        <is>
          <t>Notes</t>
        </is>
      </c>
    </row>
    <row r="28">
      <c r="A28" s="5" t="inlineStr">
        <is>
          <t>Worldwide</t>
        </is>
      </c>
      <c r="B28" s="38" t="n">
        <v>29792</v>
      </c>
      <c r="C28" s="7">
        <f>'Assumptions'!$E$13</f>
        <v/>
      </c>
      <c r="D28" s="8">
        <f>B28*C28*'Assumptions'!$B$34</f>
        <v/>
      </c>
      <c r="E28" s="6">
        <f>B28*C28*'Assumptions'!$B$33</f>
        <v/>
      </c>
      <c r="F28" s="6">
        <f>B28*C28*'Assumptions'!$B$35</f>
        <v/>
      </c>
      <c r="G28" s="27" t="inlineStr">
        <is>
          <t>Programmatic third-party inventory; broad adult base</t>
        </is>
      </c>
    </row>
    <row r="30">
      <c r="A30" s="10" t="inlineStr">
        <is>
          <t>TOTAL — Google (YouTube + Search + Network)</t>
        </is>
      </c>
      <c r="B30" s="11">
        <f>B16+B24+B28</f>
        <v/>
      </c>
      <c r="C30" s="12">
        <f>D30/B30</f>
        <v/>
      </c>
      <c r="D30" s="11">
        <f>D16+D24+D28</f>
        <v/>
      </c>
      <c r="E30" s="11">
        <f>E16+E24+E28</f>
        <v/>
      </c>
      <c r="F30" s="11">
        <f>F16+F24+F28</f>
        <v/>
      </c>
      <c r="G30" s="39" t="inlineStr">
        <is>
          <t>YouTube is ~90%+ of Google's under-16 exposure</t>
        </is>
      </c>
    </row>
  </sheetData>
  <mergeCells count="4">
    <mergeCell ref="A26:G26"/>
    <mergeCell ref="A1:G1"/>
    <mergeCell ref="A10:G10"/>
    <mergeCell ref="A18:G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7" customWidth="1" min="4" max="4"/>
    <col width="15" customWidth="1" min="5" max="5"/>
    <col width="15" customWidth="1" min="6" max="6"/>
    <col width="46" customWidth="1" min="7" max="7"/>
  </cols>
  <sheetData>
    <row r="1" ht="22" customHeight="1">
      <c r="A1" s="20" t="inlineStr">
        <is>
          <t>UNDER-16 AD-REVENUE EXPOSURE MODEL  —  Snap Inc. (Snapchat)</t>
        </is>
      </c>
    </row>
    <row r="3">
      <c r="A3" s="29" t="inlineStr">
        <is>
          <t>FY2025 total revenue ($M)</t>
        </is>
      </c>
      <c r="B3" s="36" t="n">
        <v>5931</v>
      </c>
    </row>
    <row r="4">
      <c r="A4" s="29" t="inlineStr">
        <is>
          <t>Q4-2025 global DAU (millions)</t>
        </is>
      </c>
      <c r="B4" s="43" t="n">
        <v>474</v>
      </c>
    </row>
    <row r="5">
      <c r="A5" s="29" t="inlineStr">
        <is>
          <t>Snapchat US under-16 ad-revenue share</t>
        </is>
      </c>
      <c r="B5" s="37">
        <f>'Assumptions'!$E$14</f>
        <v/>
      </c>
    </row>
    <row r="6">
      <c r="D6" s="19" t="inlineStr">
        <is>
          <t>Highest under-16 exposure of the four (Harvard: 41% of Snap US ad rev from &lt;18)</t>
        </is>
      </c>
    </row>
    <row r="7" ht="30" customHeight="1">
      <c r="A7" s="4" t="inlineStr">
        <is>
          <t>Region</t>
        </is>
      </c>
      <c r="B7" s="4" t="inlineStr">
        <is>
          <t>Regional revenue ($M)
[total revenue]</t>
        </is>
      </c>
      <c r="C7" s="4" t="inlineStr">
        <is>
          <t>Under-16 share
(base)</t>
        </is>
      </c>
      <c r="D7" s="4" t="inlineStr">
        <is>
          <t>Under-16 rev
BASE ($M)</t>
        </is>
      </c>
      <c r="E7" s="4" t="inlineStr">
        <is>
          <t>Low ($M)</t>
        </is>
      </c>
      <c r="F7" s="4" t="inlineStr">
        <is>
          <t>High ($M)</t>
        </is>
      </c>
      <c r="G7" s="4" t="inlineStr">
        <is>
          <t>Notes</t>
        </is>
      </c>
    </row>
    <row r="8">
      <c r="A8" s="5" t="inlineStr">
        <is>
          <t>North America</t>
        </is>
      </c>
      <c r="B8" s="38" t="n">
        <v>3575.6</v>
      </c>
      <c r="C8" s="7">
        <f>'Assumptions'!$E$14*'Assumptions'!$B$26</f>
        <v/>
      </c>
      <c r="D8" s="8">
        <f>B8*C8*'Assumptions'!$B$34</f>
        <v/>
      </c>
      <c r="E8" s="6">
        <f>B8*C8*'Assumptions'!$B$33</f>
        <v/>
      </c>
      <c r="F8" s="6">
        <f>B8*C8*'Assumptions'!$B$35</f>
        <v/>
      </c>
      <c r="G8" s="27" t="inlineStr">
        <is>
          <t>Anchor; Snapchat skews very young (teens core)</t>
        </is>
      </c>
    </row>
    <row r="9">
      <c r="A9" s="5" t="inlineStr">
        <is>
          <t>Europe</t>
        </is>
      </c>
      <c r="B9" s="38" t="n">
        <v>1128.4</v>
      </c>
      <c r="C9" s="7">
        <f>'Assumptions'!$E$14*'Assumptions'!$B$27</f>
        <v/>
      </c>
      <c r="D9" s="8">
        <f>B9*C9*'Assumptions'!$B$34</f>
        <v/>
      </c>
      <c r="E9" s="6">
        <f>B9*C9*'Assumptions'!$B$33</f>
        <v/>
      </c>
      <c r="F9" s="6">
        <f>B9*C9*'Assumptions'!$B$35</f>
        <v/>
      </c>
      <c r="G9" s="27" t="inlineStr">
        <is>
          <t>High teen penetration; ~99M DAU</t>
        </is>
      </c>
    </row>
    <row r="10">
      <c r="A10" s="5" t="inlineStr">
        <is>
          <t>Rest of World</t>
        </is>
      </c>
      <c r="B10" s="38" t="n">
        <v>1227.4</v>
      </c>
      <c r="C10" s="7">
        <f>'Assumptions'!$E$14*'Assumptions'!$B$29</f>
        <v/>
      </c>
      <c r="D10" s="8">
        <f>B10*C10*'Assumptions'!$B$34</f>
        <v/>
      </c>
      <c r="E10" s="6">
        <f>B10*C10*'Assumptions'!$B$33</f>
        <v/>
      </c>
      <c r="F10" s="6">
        <f>B10*C10*'Assumptions'!$B$35</f>
        <v/>
      </c>
      <c r="G10" s="27" t="inlineStr">
        <is>
          <t>Includes Asia-Pacific; fast-growing, youngest base (254M DAU)</t>
        </is>
      </c>
    </row>
    <row r="11">
      <c r="A11" s="10" t="inlineStr">
        <is>
          <t>TOTAL — Snap</t>
        </is>
      </c>
      <c r="B11" s="11">
        <f>SUM(B8:B10)</f>
        <v/>
      </c>
      <c r="C11" s="12">
        <f>D11/B11</f>
        <v/>
      </c>
      <c r="D11" s="11">
        <f>SUM(D8:D10)</f>
        <v/>
      </c>
      <c r="E11" s="11">
        <f>SUM(E8:E10)</f>
        <v/>
      </c>
      <c r="F11" s="11">
        <f>SUM(F8:F10)</f>
        <v/>
      </c>
      <c r="G11" s="39" t="inlineStr">
        <is>
          <t>Applied to total revenue (incl. ~$0.4B Snapchat+ subs)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7" customWidth="1" min="4" max="4"/>
    <col width="15" customWidth="1" min="5" max="5"/>
    <col width="15" customWidth="1" min="6" max="6"/>
    <col width="46" customWidth="1" min="7" max="7"/>
  </cols>
  <sheetData>
    <row r="1" ht="22" customHeight="1">
      <c r="A1" s="20" t="inlineStr">
        <is>
          <t>UNDER-16 AD-REVENUE EXPOSURE MODEL  —  Pinterest, Inc.</t>
        </is>
      </c>
    </row>
    <row r="3">
      <c r="A3" s="29" t="inlineStr">
        <is>
          <t>FY2025 total revenue ($M)</t>
        </is>
      </c>
      <c r="B3" s="36" t="n">
        <v>4222</v>
      </c>
    </row>
    <row r="4">
      <c r="A4" s="29" t="inlineStr">
        <is>
          <t>Q4-2025 global MAU (millions)</t>
        </is>
      </c>
      <c r="B4" s="43" t="n">
        <v>619</v>
      </c>
    </row>
    <row r="5">
      <c r="A5" s="29" t="inlineStr">
        <is>
          <t>Pinterest US under-16 ad-revenue share</t>
        </is>
      </c>
      <c r="B5" s="37">
        <f>'Assumptions'!$E$15</f>
        <v/>
      </c>
    </row>
    <row r="6">
      <c r="D6" s="19" t="inlineStr">
        <is>
          <t>Lowest exposure: 13–17 ≈ 4% of users; personalised ads restricted for under-18s</t>
        </is>
      </c>
    </row>
    <row r="7" ht="30" customHeight="1">
      <c r="A7" s="4" t="inlineStr">
        <is>
          <t>Region</t>
        </is>
      </c>
      <c r="B7" s="4" t="inlineStr">
        <is>
          <t>Regional revenue ($M)
[estimated]</t>
        </is>
      </c>
      <c r="C7" s="4" t="inlineStr">
        <is>
          <t>Under-16 share
(base)</t>
        </is>
      </c>
      <c r="D7" s="4" t="inlineStr">
        <is>
          <t>Under-16 rev
BASE ($M)</t>
        </is>
      </c>
      <c r="E7" s="4" t="inlineStr">
        <is>
          <t>Low ($M)</t>
        </is>
      </c>
      <c r="F7" s="4" t="inlineStr">
        <is>
          <t>High ($M)</t>
        </is>
      </c>
      <c r="G7" s="4" t="inlineStr">
        <is>
          <t>Notes</t>
        </is>
      </c>
    </row>
    <row r="8">
      <c r="A8" s="5" t="inlineStr">
        <is>
          <t>US &amp; Canada</t>
        </is>
      </c>
      <c r="B8" s="38" t="n">
        <v>3173</v>
      </c>
      <c r="C8" s="7">
        <f>'Assumptions'!$E$15*'Assumptions'!$B$26</f>
        <v/>
      </c>
      <c r="D8" s="8">
        <f>B8*C8*'Assumptions'!$B$34</f>
        <v/>
      </c>
      <c r="E8" s="6">
        <f>B8*C8*'Assumptions'!$B$33</f>
        <v/>
      </c>
      <c r="F8" s="6">
        <f>B8*C8*'Assumptions'!$B$35</f>
        <v/>
      </c>
      <c r="G8" s="27" t="inlineStr">
        <is>
          <t>Anchor; 79% female skew, Gen Z fastest-growing cohort</t>
        </is>
      </c>
    </row>
    <row r="9">
      <c r="A9" s="5" t="inlineStr">
        <is>
          <t>Europe</t>
        </is>
      </c>
      <c r="B9" s="38" t="n">
        <v>775</v>
      </c>
      <c r="C9" s="7">
        <f>'Assumptions'!$E$15*'Assumptions'!$B$27</f>
        <v/>
      </c>
      <c r="D9" s="8">
        <f>B9*C9*'Assumptions'!$B$34</f>
        <v/>
      </c>
      <c r="E9" s="6">
        <f>B9*C9*'Assumptions'!$B$33</f>
        <v/>
      </c>
      <c r="F9" s="6">
        <f>B9*C9*'Assumptions'!$B$35</f>
        <v/>
      </c>
      <c r="G9" s="27" t="inlineStr">
        <is>
          <t>Larger MAU (145M) but lower ARPU</t>
        </is>
      </c>
    </row>
    <row r="10">
      <c r="A10" s="5" t="inlineStr">
        <is>
          <t>Rest of World</t>
        </is>
      </c>
      <c r="B10" s="38" t="n">
        <v>274</v>
      </c>
      <c r="C10" s="7">
        <f>'Assumptions'!$E$15*'Assumptions'!$B$29</f>
        <v/>
      </c>
      <c r="D10" s="8">
        <f>B10*C10*'Assumptions'!$B$34</f>
        <v/>
      </c>
      <c r="E10" s="6">
        <f>B10*C10*'Assumptions'!$B$33</f>
        <v/>
      </c>
      <c r="F10" s="6">
        <f>B10*C10*'Assumptions'!$B$35</f>
        <v/>
      </c>
      <c r="G10" s="27" t="inlineStr">
        <is>
          <t>Includes Asia-Pacific; very low ARPU ($0.19 Q4)</t>
        </is>
      </c>
    </row>
    <row r="11">
      <c r="A11" s="10" t="inlineStr">
        <is>
          <t>TOTAL — Pinterest</t>
        </is>
      </c>
      <c r="B11" s="11">
        <f>SUM(B8:B10)</f>
        <v/>
      </c>
      <c r="C11" s="12">
        <f>D11/B11</f>
        <v/>
      </c>
      <c r="D11" s="11">
        <f>SUM(D8:D10)</f>
        <v/>
      </c>
      <c r="E11" s="11">
        <f>SUM(E8:E10)</f>
        <v/>
      </c>
      <c r="F11" s="11">
        <f>SUM(F8:F10)</f>
        <v/>
      </c>
      <c r="G11" s="39" t="inlineStr">
        <is>
          <t>Regional split estimated from disclosed Q4 mix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20" t="inlineStr">
        <is>
          <t>AGGREGATE UNDER-16 AD-REVENUE EXPOSURE BY REGION  (BASE case, $M)</t>
        </is>
      </c>
    </row>
    <row r="2">
      <c r="A2" s="19" t="inlineStr">
        <is>
          <t>Cross-company view. Snap &amp; Pinterest do not split Asia-Pacific, so their APAC users sit inside 'Rest of World'.</t>
        </is>
      </c>
    </row>
    <row r="4" ht="18" customHeight="1">
      <c r="A4" s="4" t="inlineStr">
        <is>
          <t>Region</t>
        </is>
      </c>
      <c r="B4" s="4" t="inlineStr">
        <is>
          <t>Meta</t>
        </is>
      </c>
      <c r="C4" s="4" t="inlineStr">
        <is>
          <t>Google</t>
        </is>
      </c>
      <c r="D4" s="4" t="inlineStr">
        <is>
          <t>Snap</t>
        </is>
      </c>
      <c r="E4" s="4" t="inlineStr">
        <is>
          <t>Pinterest</t>
        </is>
      </c>
      <c r="F4" s="4" t="inlineStr">
        <is>
          <t>TOTAL ($M)</t>
        </is>
      </c>
    </row>
    <row r="5">
      <c r="A5" s="5" t="inlineStr">
        <is>
          <t>North America</t>
        </is>
      </c>
      <c r="B5" s="6">
        <f>'Model - Meta'!D8</f>
        <v/>
      </c>
      <c r="C5" s="6">
        <f>'Model - Google'!D12+'Model - Google'!D20+'Model - Google'!D28*0.487</f>
        <v/>
      </c>
      <c r="D5" s="6">
        <f>'Model - Snap'!D8</f>
        <v/>
      </c>
      <c r="E5" s="6">
        <f>'Model - Pinterest'!D8</f>
        <v/>
      </c>
      <c r="F5" s="8">
        <f>SUM(B5:E5)</f>
        <v/>
      </c>
    </row>
    <row r="6">
      <c r="A6" s="5" t="inlineStr">
        <is>
          <t>Europe</t>
        </is>
      </c>
      <c r="B6" s="6">
        <f>'Model - Meta'!D9</f>
        <v/>
      </c>
      <c r="C6" s="6">
        <f>'Model - Google'!D13+'Model - Google'!D21+'Model - Google'!D28*0.292</f>
        <v/>
      </c>
      <c r="D6" s="6">
        <f>'Model - Snap'!D9</f>
        <v/>
      </c>
      <c r="E6" s="6">
        <f>'Model - Pinterest'!D9</f>
        <v/>
      </c>
      <c r="F6" s="8">
        <f>SUM(B6:E6)</f>
        <v/>
      </c>
    </row>
    <row r="7">
      <c r="A7" s="5" t="inlineStr">
        <is>
          <t>Asia-Pacific</t>
        </is>
      </c>
      <c r="B7" s="6">
        <f>'Model - Meta'!D10</f>
        <v/>
      </c>
      <c r="C7" s="6">
        <f>'Model - Google'!D14+'Model - Google'!D22+'Model - Google'!D28*0.162</f>
        <v/>
      </c>
      <c r="D7" s="6" t="n">
        <v>0</v>
      </c>
      <c r="E7" s="6" t="n">
        <v>0</v>
      </c>
      <c r="F7" s="8">
        <f>SUM(B7:E7)</f>
        <v/>
      </c>
    </row>
    <row r="8">
      <c r="A8" s="5" t="inlineStr">
        <is>
          <t>Rest of World</t>
        </is>
      </c>
      <c r="B8" s="6">
        <f>'Model - Meta'!D11</f>
        <v/>
      </c>
      <c r="C8" s="6">
        <f>'Model - Google'!D15+'Model - Google'!D23+'Model - Google'!D28*0.058</f>
        <v/>
      </c>
      <c r="D8" s="6">
        <f>'Model - Snap'!D10</f>
        <v/>
      </c>
      <c r="E8" s="6">
        <f>'Model - Pinterest'!D10</f>
        <v/>
      </c>
      <c r="F8" s="8">
        <f>SUM(B8:E8)</f>
        <v/>
      </c>
    </row>
    <row r="9">
      <c r="A9" s="10" t="inlineStr">
        <is>
          <t>TOTAL — all regions</t>
        </is>
      </c>
      <c r="B9" s="11">
        <f>SUM(B5:B8)</f>
        <v/>
      </c>
      <c r="C9" s="11">
        <f>SUM(C5:C8)</f>
        <v/>
      </c>
      <c r="D9" s="11">
        <f>SUM(D5:D8)</f>
        <v/>
      </c>
      <c r="E9" s="11">
        <f>SUM(E5:E8)</f>
        <v/>
      </c>
      <c r="F9" s="11">
        <f>SUM(F5:F8)</f>
        <v/>
      </c>
    </row>
    <row r="11">
      <c r="A11" s="21" t="inlineStr">
        <is>
          <t>Region as % of total under-16 exposure</t>
        </is>
      </c>
    </row>
    <row r="12">
      <c r="A12" s="44" t="inlineStr">
        <is>
          <t>North America</t>
        </is>
      </c>
      <c r="B12" s="45">
        <f>F5/F9</f>
        <v/>
      </c>
    </row>
    <row r="13">
      <c r="A13" s="44" t="inlineStr">
        <is>
          <t>Europe</t>
        </is>
      </c>
      <c r="B13" s="45">
        <f>F6/F9</f>
        <v/>
      </c>
    </row>
    <row r="14">
      <c r="A14" s="44" t="inlineStr">
        <is>
          <t>Asia-Pacific</t>
        </is>
      </c>
      <c r="B14" s="45">
        <f>F7/F9</f>
        <v/>
      </c>
    </row>
    <row r="15">
      <c r="A15" s="44" t="inlineStr">
        <is>
          <t>Rest of World</t>
        </is>
      </c>
      <c r="B15" s="45">
        <f>F8/F9</f>
        <v/>
      </c>
    </row>
  </sheetData>
  <mergeCells count="3">
    <mergeCell ref="A11:F11"/>
    <mergeCell ref="A2:H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</cols>
  <sheetData>
    <row r="1" ht="22" customHeight="1">
      <c r="A1" s="20" t="inlineStr">
        <is>
          <t>REGULATORY HEADWIND — UNDER-16 SOCIAL-MEDIA AGE BANS</t>
        </is>
      </c>
    </row>
    <row r="2" ht="26" customHeight="1">
      <c r="A2" s="19" t="inlineStr">
        <is>
          <t>Quantifies the revenue / growth headwind from under-16 bans. 'At-risk' revenue = the slice of under-16 revenue a ban is estimated to remove. All inputs (blue) are editable.</t>
        </is>
      </c>
    </row>
    <row r="4">
      <c r="A4" s="23" t="inlineStr">
        <is>
          <t>1.  Australia — Social Media Minimum Age Act (in force 10 Dec 2025; minimum age 16; fines up to A$49.5m)</t>
        </is>
      </c>
    </row>
    <row r="5">
      <c r="A5" s="4" t="inlineStr">
        <is>
          <t>Issuer</t>
        </is>
      </c>
      <c r="B5" s="4" t="inlineStr">
        <is>
          <t>In scope?</t>
        </is>
      </c>
      <c r="C5" s="4" t="inlineStr">
        <is>
          <t>Covered surface(s)</t>
        </is>
      </c>
      <c r="D5" s="4" t="inlineStr">
        <is>
          <t>Excluded / note</t>
        </is>
      </c>
      <c r="E5" s="46" t="n"/>
      <c r="F5" s="46" t="n"/>
      <c r="G5" s="46" t="n"/>
      <c r="H5" s="47" t="n"/>
    </row>
    <row r="6">
      <c r="A6" s="5" t="inlineStr">
        <is>
          <t>Meta</t>
        </is>
      </c>
      <c r="B6" s="48" t="inlineStr">
        <is>
          <t>YES</t>
        </is>
      </c>
      <c r="C6" s="44" t="inlineStr">
        <is>
          <t>Facebook, Instagram, Threads</t>
        </is>
      </c>
      <c r="D6" s="27" t="inlineStr">
        <is>
          <t>Messenger &amp; WhatsApp are excluded (messaging)</t>
        </is>
      </c>
      <c r="E6" s="46" t="n"/>
      <c r="F6" s="46" t="n"/>
      <c r="G6" s="46" t="n"/>
      <c r="H6" s="47" t="n"/>
    </row>
    <row r="7">
      <c r="A7" s="5" t="inlineStr">
        <is>
          <t>Google</t>
        </is>
      </c>
      <c r="B7" s="48" t="inlineStr">
        <is>
          <t>YES</t>
        </is>
      </c>
      <c r="C7" s="44" t="inlineStr">
        <is>
          <t>YouTube</t>
        </is>
      </c>
      <c r="D7" s="27" t="inlineStr">
        <is>
          <t>YouTube Kids, Search and Network are out of scope</t>
        </is>
      </c>
      <c r="E7" s="46" t="n"/>
      <c r="F7" s="46" t="n"/>
      <c r="G7" s="46" t="n"/>
      <c r="H7" s="47" t="n"/>
    </row>
    <row r="8">
      <c r="A8" s="5" t="inlineStr">
        <is>
          <t>Snap</t>
        </is>
      </c>
      <c r="B8" s="48" t="inlineStr">
        <is>
          <t>YES</t>
        </is>
      </c>
      <c r="C8" s="44" t="inlineStr">
        <is>
          <t>Snapchat</t>
        </is>
      </c>
      <c r="D8" s="27" t="inlineStr">
        <is>
          <t>Entire app in scope — most exposed</t>
        </is>
      </c>
      <c r="E8" s="46" t="n"/>
      <c r="F8" s="46" t="n"/>
      <c r="G8" s="46" t="n"/>
      <c r="H8" s="47" t="n"/>
    </row>
    <row r="9">
      <c r="A9" s="5" t="inlineStr">
        <is>
          <t>Pinterest</t>
        </is>
      </c>
      <c r="B9" s="49" t="inlineStr">
        <is>
          <t>NO</t>
        </is>
      </c>
      <c r="C9" s="44" t="inlineStr">
        <is>
          <t>— (excluded)</t>
        </is>
      </c>
      <c r="D9" s="27" t="inlineStr">
        <is>
          <t>eSafety: not an 'age-restricted social media platform'</t>
        </is>
      </c>
      <c r="E9" s="46" t="n"/>
      <c r="F9" s="46" t="n"/>
      <c r="G9" s="46" t="n"/>
      <c r="H9" s="47" t="n"/>
    </row>
    <row r="11">
      <c r="A11" s="23" t="inlineStr">
        <is>
          <t>2.  Headwind model inputs (editable)</t>
        </is>
      </c>
    </row>
    <row r="12">
      <c r="A12" s="5" t="inlineStr">
        <is>
          <t>Developed-market under-16 multiplier (vs US anchor)</t>
        </is>
      </c>
      <c r="B12" s="47" t="n"/>
      <c r="C12" s="35" t="n">
        <v>0.97</v>
      </c>
      <c r="D12" s="27" t="inlineStr">
        <is>
          <t>Ban markets (AU/UK/EU/US) skew developed</t>
        </is>
      </c>
      <c r="E12" s="46" t="n"/>
      <c r="F12" s="46" t="n"/>
      <c r="G12" s="46" t="n"/>
      <c r="H12" s="47" t="n"/>
    </row>
    <row r="13">
      <c r="A13" s="5" t="inlineStr">
        <is>
          <t>Cohort factor — under-16 regime (AU, UK, ES, PT)</t>
        </is>
      </c>
      <c r="B13" s="47" t="n"/>
      <c r="C13" s="35" t="n">
        <v>1</v>
      </c>
      <c r="D13" s="27" t="inlineStr">
        <is>
          <t>Full under-16 cohort</t>
        </is>
      </c>
      <c r="E13" s="46" t="n"/>
      <c r="F13" s="46" t="n"/>
      <c r="G13" s="46" t="n"/>
      <c r="H13" s="47" t="n"/>
    </row>
    <row r="14">
      <c r="A14" s="5" t="inlineStr">
        <is>
          <t>Cohort factor — under-15 regime (DK, FR, GR, NL...)</t>
        </is>
      </c>
      <c r="B14" s="47" t="n"/>
      <c r="C14" s="35" t="n">
        <v>0.82</v>
      </c>
      <c r="D14" s="27" t="inlineStr">
        <is>
          <t>Removes only 0–14 (keeps 15s)</t>
        </is>
      </c>
      <c r="E14" s="46" t="n"/>
      <c r="F14" s="46" t="n"/>
      <c r="G14" s="46" t="n"/>
      <c r="H14" s="47" t="n"/>
    </row>
    <row r="15">
      <c r="A15" s="5" t="inlineStr">
        <is>
          <t>Cohort factor — US (under-14 / parental-consent)</t>
        </is>
      </c>
      <c r="B15" s="47" t="n"/>
      <c r="C15" s="35" t="n">
        <v>0.55</v>
      </c>
      <c r="D15" s="27" t="inlineStr">
        <is>
          <t>Narrower cohort, consent not a full ban</t>
        </is>
      </c>
      <c r="E15" s="46" t="n"/>
      <c r="F15" s="46" t="n"/>
      <c r="G15" s="46" t="n"/>
      <c r="H15" s="47" t="n"/>
    </row>
    <row r="16">
      <c r="A16" s="5" t="inlineStr">
        <is>
          <t>Enforcement effectiveness — Australia (in force)</t>
        </is>
      </c>
      <c r="B16" s="47" t="n"/>
      <c r="C16" s="35" t="n">
        <v>0.6</v>
      </c>
      <c r="D16" s="27" t="inlineStr">
        <is>
          <t>Age assurance imperfect; VPN/evasion leakage</t>
        </is>
      </c>
      <c r="E16" s="46" t="n"/>
      <c r="F16" s="46" t="n"/>
      <c r="G16" s="46" t="n"/>
      <c r="H16" s="47" t="n"/>
    </row>
    <row r="17">
      <c r="A17" s="5" t="inlineStr">
        <is>
          <t>Enforcement effectiveness — EU/UK pipeline</t>
        </is>
      </c>
      <c r="B17" s="47" t="n"/>
      <c r="C17" s="35" t="n">
        <v>0.55</v>
      </c>
      <c r="D17" s="27" t="inlineStr">
        <is>
          <t>Similar assurance regime once enacted</t>
        </is>
      </c>
      <c r="E17" s="46" t="n"/>
      <c r="F17" s="46" t="n"/>
      <c r="G17" s="46" t="n"/>
      <c r="H17" s="47" t="n"/>
    </row>
    <row r="18">
      <c r="A18" s="5" t="inlineStr">
        <is>
          <t>Enforcement effectiveness — US (incl. litigation discount)</t>
        </is>
      </c>
      <c r="B18" s="47" t="n"/>
      <c r="C18" s="35" t="n">
        <v>0.25</v>
      </c>
      <c r="D18" s="27" t="inlineStr">
        <is>
          <t>Many state laws enjoined on 1st-Amendment grounds</t>
        </is>
      </c>
      <c r="E18" s="46" t="n"/>
      <c r="F18" s="46" t="n"/>
      <c r="G18" s="46" t="n"/>
      <c r="H18" s="47" t="n"/>
    </row>
    <row r="20">
      <c r="A20" s="23" t="inlineStr">
        <is>
          <t>3.  Meta — exposure base = ad revenue (FB+IG+Messenger); FY2025 total revenue $200,966m</t>
        </is>
      </c>
    </row>
    <row r="21" ht="26" customHeight="1">
      <c r="A21" s="4" t="inlineStr">
        <is>
          <t>Jurisdiction basket</t>
        </is>
      </c>
      <c r="B21" s="4" t="inlineStr">
        <is>
          <t>Status</t>
        </is>
      </c>
      <c r="C21" s="4" t="inlineStr">
        <is>
          <t>Rev share</t>
        </is>
      </c>
      <c r="D21" s="4" t="inlineStr">
        <is>
          <t>Cohort</t>
        </is>
      </c>
      <c r="E21" s="4" t="inlineStr">
        <is>
          <t>Enforce</t>
        </is>
      </c>
      <c r="F21" s="4" t="inlineStr">
        <is>
          <t>Covered</t>
        </is>
      </c>
      <c r="G21" s="4" t="inlineStr">
        <is>
          <t>At-risk ($M)</t>
        </is>
      </c>
      <c r="H21" s="4" t="inlineStr">
        <is>
          <t>bps of rev</t>
        </is>
      </c>
    </row>
    <row r="22">
      <c r="A22" s="5" t="inlineStr">
        <is>
          <t>Australia</t>
        </is>
      </c>
      <c r="B22" s="27" t="inlineStr">
        <is>
          <t>In force (10 Dec 2025)</t>
        </is>
      </c>
      <c r="C22" s="30" t="n">
        <v>0.018</v>
      </c>
      <c r="D22" s="50">
        <f>$C$13</f>
        <v/>
      </c>
      <c r="E22" s="50">
        <f>$C$16</f>
        <v/>
      </c>
      <c r="F22" s="51" t="n">
        <v>1</v>
      </c>
      <c r="G22" s="52">
        <f>'Model - Meta'!B12*C22*'Assumptions'!$B$22*$C$12*D22*E22*F22</f>
        <v/>
      </c>
      <c r="H22" s="53">
        <f>G22/200966.0*10000</f>
        <v/>
      </c>
    </row>
    <row r="23">
      <c r="A23" s="5" t="inlineStr">
        <is>
          <t>United Kingdom</t>
        </is>
      </c>
      <c r="B23" s="27" t="inlineStr">
        <is>
          <t>Consulting; target ~2027</t>
        </is>
      </c>
      <c r="C23" s="30" t="n">
        <v>0.055</v>
      </c>
      <c r="D23" s="50">
        <f>$C$13</f>
        <v/>
      </c>
      <c r="E23" s="50">
        <f>$C$17</f>
        <v/>
      </c>
      <c r="F23" s="51" t="n">
        <v>1</v>
      </c>
      <c r="G23" s="52">
        <f>'Model - Meta'!B12*C23*'Assumptions'!$B$22*$C$12*D23*E23*F23</f>
        <v/>
      </c>
      <c r="H23" s="53">
        <f>G23/200966.0*10000</f>
        <v/>
      </c>
    </row>
    <row r="24">
      <c r="A24" s="5" t="inlineStr">
        <is>
          <t>EU pipeline</t>
        </is>
      </c>
      <c r="B24" s="27" t="inlineStr">
        <is>
          <t>DK/FR/GR/PT passed; ES/NO/NL/IT advancing</t>
        </is>
      </c>
      <c r="C24" s="30" t="n">
        <v>0.06</v>
      </c>
      <c r="D24" s="50">
        <f>$C$14</f>
        <v/>
      </c>
      <c r="E24" s="50">
        <f>$C$17</f>
        <v/>
      </c>
      <c r="F24" s="51" t="n">
        <v>1</v>
      </c>
      <c r="G24" s="52">
        <f>'Model - Meta'!B12*C24*'Assumptions'!$B$22*$C$12*D24*E24*F24</f>
        <v/>
      </c>
      <c r="H24" s="53">
        <f>G24/200966.0*10000</f>
        <v/>
      </c>
    </row>
    <row r="25">
      <c r="A25" s="5" t="inlineStr">
        <is>
          <t>US states</t>
        </is>
      </c>
      <c r="B25" s="27" t="inlineStr">
        <is>
          <t>FL/UT/TN enforceable; many enjoined</t>
        </is>
      </c>
      <c r="C25" s="30" t="n">
        <v>0.04</v>
      </c>
      <c r="D25" s="50">
        <f>$C$15</f>
        <v/>
      </c>
      <c r="E25" s="50">
        <f>$C$18</f>
        <v/>
      </c>
      <c r="F25" s="51" t="n">
        <v>1</v>
      </c>
      <c r="G25" s="52">
        <f>'Model - Meta'!B12*C25*'Assumptions'!$B$22*$C$12*D25*E25*F25</f>
        <v/>
      </c>
      <c r="H25" s="53">
        <f>G25/200966.0*10000</f>
        <v/>
      </c>
    </row>
    <row r="26">
      <c r="A26" s="10" t="inlineStr">
        <is>
          <t>All baskets (broad-adoption scenario)</t>
        </is>
      </c>
      <c r="B26" s="46" t="n"/>
      <c r="C26" s="46" t="n"/>
      <c r="D26" s="46" t="n"/>
      <c r="E26" s="46" t="n"/>
      <c r="F26" s="47" t="n"/>
      <c r="G26" s="54">
        <f>SUM(G22:G25)</f>
        <v/>
      </c>
      <c r="H26" s="55">
        <f>G26/200966.0*10000</f>
        <v/>
      </c>
    </row>
    <row r="28">
      <c r="A28" s="23" t="inlineStr">
        <is>
          <t>3.  Google — exposure base = YouTube ads (only covered surface); FY2025 total revenue $402,836m</t>
        </is>
      </c>
    </row>
    <row r="29" ht="26" customHeight="1">
      <c r="A29" s="4" t="inlineStr">
        <is>
          <t>Jurisdiction basket</t>
        </is>
      </c>
      <c r="B29" s="4" t="inlineStr">
        <is>
          <t>Status</t>
        </is>
      </c>
      <c r="C29" s="4" t="inlineStr">
        <is>
          <t>Rev share</t>
        </is>
      </c>
      <c r="D29" s="4" t="inlineStr">
        <is>
          <t>Cohort</t>
        </is>
      </c>
      <c r="E29" s="4" t="inlineStr">
        <is>
          <t>Enforce</t>
        </is>
      </c>
      <c r="F29" s="4" t="inlineStr">
        <is>
          <t>Covered</t>
        </is>
      </c>
      <c r="G29" s="4" t="inlineStr">
        <is>
          <t>At-risk ($M)</t>
        </is>
      </c>
      <c r="H29" s="4" t="inlineStr">
        <is>
          <t>bps of rev</t>
        </is>
      </c>
    </row>
    <row r="30">
      <c r="A30" s="5" t="inlineStr">
        <is>
          <t>Australia</t>
        </is>
      </c>
      <c r="B30" s="27" t="inlineStr">
        <is>
          <t>In force (10 Dec 2025)</t>
        </is>
      </c>
      <c r="C30" s="30" t="n">
        <v>0.02</v>
      </c>
      <c r="D30" s="50">
        <f>$C$13</f>
        <v/>
      </c>
      <c r="E30" s="50">
        <f>$C$16</f>
        <v/>
      </c>
      <c r="F30" s="51" t="n">
        <v>1</v>
      </c>
      <c r="G30" s="52">
        <f>'Model - Google'!B16*C30*'Assumptions'!$E$11*$C$12*D30*E30*F30</f>
        <v/>
      </c>
      <c r="H30" s="53">
        <f>G30/402836.0*10000</f>
        <v/>
      </c>
    </row>
    <row r="31">
      <c r="A31" s="5" t="inlineStr">
        <is>
          <t>United Kingdom</t>
        </is>
      </c>
      <c r="B31" s="27" t="inlineStr">
        <is>
          <t>Consulting; target ~2027</t>
        </is>
      </c>
      <c r="C31" s="30" t="n">
        <v>0.06</v>
      </c>
      <c r="D31" s="50">
        <f>$C$13</f>
        <v/>
      </c>
      <c r="E31" s="50">
        <f>$C$17</f>
        <v/>
      </c>
      <c r="F31" s="51" t="n">
        <v>1</v>
      </c>
      <c r="G31" s="52">
        <f>'Model - Google'!B16*C31*'Assumptions'!$E$11*$C$12*D31*E31*F31</f>
        <v/>
      </c>
      <c r="H31" s="53">
        <f>G31/402836.0*10000</f>
        <v/>
      </c>
    </row>
    <row r="32">
      <c r="A32" s="5" t="inlineStr">
        <is>
          <t>EU pipeline</t>
        </is>
      </c>
      <c r="B32" s="27" t="inlineStr">
        <is>
          <t>DK/FR/GR/PT passed; ES/NO/NL/IT advancing</t>
        </is>
      </c>
      <c r="C32" s="30" t="n">
        <v>0.06</v>
      </c>
      <c r="D32" s="50">
        <f>$C$14</f>
        <v/>
      </c>
      <c r="E32" s="50">
        <f>$C$17</f>
        <v/>
      </c>
      <c r="F32" s="51" t="n">
        <v>1</v>
      </c>
      <c r="G32" s="52">
        <f>'Model - Google'!B16*C32*'Assumptions'!$E$11*$C$12*D32*E32*F32</f>
        <v/>
      </c>
      <c r="H32" s="53">
        <f>G32/402836.0*10000</f>
        <v/>
      </c>
    </row>
    <row r="33">
      <c r="A33" s="5" t="inlineStr">
        <is>
          <t>US states</t>
        </is>
      </c>
      <c r="B33" s="27" t="inlineStr">
        <is>
          <t>FL/UT/TN enforceable; many enjoined</t>
        </is>
      </c>
      <c r="C33" s="30" t="n">
        <v>0.04</v>
      </c>
      <c r="D33" s="50">
        <f>$C$15</f>
        <v/>
      </c>
      <c r="E33" s="50">
        <f>$C$18</f>
        <v/>
      </c>
      <c r="F33" s="51" t="n">
        <v>1</v>
      </c>
      <c r="G33" s="52">
        <f>'Model - Google'!B16*C33*'Assumptions'!$E$11*$C$12*D33*E33*F33</f>
        <v/>
      </c>
      <c r="H33" s="53">
        <f>G33/402836.0*10000</f>
        <v/>
      </c>
    </row>
    <row r="34">
      <c r="A34" s="10" t="inlineStr">
        <is>
          <t>All baskets (broad-adoption scenario)</t>
        </is>
      </c>
      <c r="B34" s="46" t="n"/>
      <c r="C34" s="46" t="n"/>
      <c r="D34" s="46" t="n"/>
      <c r="E34" s="46" t="n"/>
      <c r="F34" s="47" t="n"/>
      <c r="G34" s="54">
        <f>SUM(G30:G33)</f>
        <v/>
      </c>
      <c r="H34" s="55">
        <f>G34/402836.0*10000</f>
        <v/>
      </c>
    </row>
    <row r="36">
      <c r="A36" s="23" t="inlineStr">
        <is>
          <t>3.  Snap — exposure base = total revenue; FY2025 total revenue $5,931m</t>
        </is>
      </c>
    </row>
    <row r="37" ht="26" customHeight="1">
      <c r="A37" s="4" t="inlineStr">
        <is>
          <t>Jurisdiction basket</t>
        </is>
      </c>
      <c r="B37" s="4" t="inlineStr">
        <is>
          <t>Status</t>
        </is>
      </c>
      <c r="C37" s="4" t="inlineStr">
        <is>
          <t>Rev share</t>
        </is>
      </c>
      <c r="D37" s="4" t="inlineStr">
        <is>
          <t>Cohort</t>
        </is>
      </c>
      <c r="E37" s="4" t="inlineStr">
        <is>
          <t>Enforce</t>
        </is>
      </c>
      <c r="F37" s="4" t="inlineStr">
        <is>
          <t>Covered</t>
        </is>
      </c>
      <c r="G37" s="4" t="inlineStr">
        <is>
          <t>At-risk ($M)</t>
        </is>
      </c>
      <c r="H37" s="4" t="inlineStr">
        <is>
          <t>bps of rev</t>
        </is>
      </c>
    </row>
    <row r="38">
      <c r="A38" s="5" t="inlineStr">
        <is>
          <t>Australia</t>
        </is>
      </c>
      <c r="B38" s="27" t="inlineStr">
        <is>
          <t>In force (10 Dec 2025)</t>
        </is>
      </c>
      <c r="C38" s="30" t="n">
        <v>0.025</v>
      </c>
      <c r="D38" s="50">
        <f>$C$13</f>
        <v/>
      </c>
      <c r="E38" s="50">
        <f>$C$16</f>
        <v/>
      </c>
      <c r="F38" s="51" t="n">
        <v>1</v>
      </c>
      <c r="G38" s="52">
        <f>'Model - Snap'!B11*C38*'Assumptions'!$E$14*$C$12*D38*E38*F38</f>
        <v/>
      </c>
      <c r="H38" s="53">
        <f>G38/5931.0*10000</f>
        <v/>
      </c>
    </row>
    <row r="39">
      <c r="A39" s="5" t="inlineStr">
        <is>
          <t>United Kingdom</t>
        </is>
      </c>
      <c r="B39" s="27" t="inlineStr">
        <is>
          <t>Consulting; target ~2027</t>
        </is>
      </c>
      <c r="C39" s="30" t="n">
        <v>0.04</v>
      </c>
      <c r="D39" s="50">
        <f>$C$13</f>
        <v/>
      </c>
      <c r="E39" s="50">
        <f>$C$17</f>
        <v/>
      </c>
      <c r="F39" s="51" t="n">
        <v>1</v>
      </c>
      <c r="G39" s="52">
        <f>'Model - Snap'!B11*C39*'Assumptions'!$E$14*$C$12*D39*E39*F39</f>
        <v/>
      </c>
      <c r="H39" s="53">
        <f>G39/5931.0*10000</f>
        <v/>
      </c>
    </row>
    <row r="40">
      <c r="A40" s="5" t="inlineStr">
        <is>
          <t>EU pipeline</t>
        </is>
      </c>
      <c r="B40" s="27" t="inlineStr">
        <is>
          <t>DK/FR/GR/PT passed; ES/NO/NL/IT advancing</t>
        </is>
      </c>
      <c r="C40" s="30" t="n">
        <v>0.05</v>
      </c>
      <c r="D40" s="50">
        <f>$C$14</f>
        <v/>
      </c>
      <c r="E40" s="50">
        <f>$C$17</f>
        <v/>
      </c>
      <c r="F40" s="51" t="n">
        <v>1</v>
      </c>
      <c r="G40" s="52">
        <f>'Model - Snap'!B11*C40*'Assumptions'!$E$14*$C$12*D40*E40*F40</f>
        <v/>
      </c>
      <c r="H40" s="53">
        <f>G40/5931.0*10000</f>
        <v/>
      </c>
    </row>
    <row r="41">
      <c r="A41" s="5" t="inlineStr">
        <is>
          <t>US states</t>
        </is>
      </c>
      <c r="B41" s="27" t="inlineStr">
        <is>
          <t>FL/UT/TN enforceable; many enjoined</t>
        </is>
      </c>
      <c r="C41" s="30" t="n">
        <v>0.05</v>
      </c>
      <c r="D41" s="50">
        <f>$C$15</f>
        <v/>
      </c>
      <c r="E41" s="50">
        <f>$C$18</f>
        <v/>
      </c>
      <c r="F41" s="51" t="n">
        <v>1</v>
      </c>
      <c r="G41" s="52">
        <f>'Model - Snap'!B11*C41*'Assumptions'!$E$14*$C$12*D41*E41*F41</f>
        <v/>
      </c>
      <c r="H41" s="53">
        <f>G41/5931.0*10000</f>
        <v/>
      </c>
    </row>
    <row r="42">
      <c r="A42" s="10" t="inlineStr">
        <is>
          <t>All baskets (broad-adoption scenario)</t>
        </is>
      </c>
      <c r="B42" s="46" t="n"/>
      <c r="C42" s="46" t="n"/>
      <c r="D42" s="46" t="n"/>
      <c r="E42" s="46" t="n"/>
      <c r="F42" s="47" t="n"/>
      <c r="G42" s="54">
        <f>SUM(G38:G41)</f>
        <v/>
      </c>
      <c r="H42" s="55">
        <f>G42/5931.0*10000</f>
        <v/>
      </c>
    </row>
    <row r="44">
      <c r="A44" s="23" t="inlineStr">
        <is>
          <t>3.  Pinterest — exposure base = total revenue; FY2025 total revenue $4,222m</t>
        </is>
      </c>
    </row>
    <row r="45" ht="26" customHeight="1">
      <c r="A45" s="4" t="inlineStr">
        <is>
          <t>Jurisdiction basket</t>
        </is>
      </c>
      <c r="B45" s="4" t="inlineStr">
        <is>
          <t>Status</t>
        </is>
      </c>
      <c r="C45" s="4" t="inlineStr">
        <is>
          <t>Rev share</t>
        </is>
      </c>
      <c r="D45" s="4" t="inlineStr">
        <is>
          <t>Cohort</t>
        </is>
      </c>
      <c r="E45" s="4" t="inlineStr">
        <is>
          <t>Enforce</t>
        </is>
      </c>
      <c r="F45" s="4" t="inlineStr">
        <is>
          <t>Covered</t>
        </is>
      </c>
      <c r="G45" s="4" t="inlineStr">
        <is>
          <t>At-risk ($M)</t>
        </is>
      </c>
      <c r="H45" s="4" t="inlineStr">
        <is>
          <t>bps of rev</t>
        </is>
      </c>
    </row>
    <row r="46">
      <c r="A46" s="5" t="inlineStr">
        <is>
          <t>Australia</t>
        </is>
      </c>
      <c r="B46" s="27" t="inlineStr">
        <is>
          <t>In force (10 Dec 2025)</t>
        </is>
      </c>
      <c r="C46" s="30" t="n">
        <v>0.02</v>
      </c>
      <c r="D46" s="50">
        <f>$C$13</f>
        <v/>
      </c>
      <c r="E46" s="50">
        <f>$C$16</f>
        <v/>
      </c>
      <c r="F46" s="56" t="n">
        <v>0</v>
      </c>
      <c r="G46" s="52">
        <f>'Model - Pinterest'!B11*C46*'Assumptions'!$E$15*$C$12*D46*E46*F46</f>
        <v/>
      </c>
      <c r="H46" s="53">
        <f>G46/4222.0*10000</f>
        <v/>
      </c>
    </row>
    <row r="47">
      <c r="A47" s="5" t="inlineStr">
        <is>
          <t>United Kingdom</t>
        </is>
      </c>
      <c r="B47" s="27" t="inlineStr">
        <is>
          <t>Consulting; target ~2027</t>
        </is>
      </c>
      <c r="C47" s="30" t="n">
        <v>0.04</v>
      </c>
      <c r="D47" s="50">
        <f>$C$13</f>
        <v/>
      </c>
      <c r="E47" s="50">
        <f>$C$17</f>
        <v/>
      </c>
      <c r="F47" s="51" t="n">
        <v>1</v>
      </c>
      <c r="G47" s="52">
        <f>'Model - Pinterest'!B11*C47*'Assumptions'!$E$15*$C$12*D47*E47*F47</f>
        <v/>
      </c>
      <c r="H47" s="53">
        <f>G47/4222.0*10000</f>
        <v/>
      </c>
    </row>
    <row r="48">
      <c r="A48" s="5" t="inlineStr">
        <is>
          <t>EU pipeline</t>
        </is>
      </c>
      <c r="B48" s="27" t="inlineStr">
        <is>
          <t>DK/FR/GR/PT passed; ES/NO/NL/IT advancing</t>
        </is>
      </c>
      <c r="C48" s="30" t="n">
        <v>0.05</v>
      </c>
      <c r="D48" s="50">
        <f>$C$14</f>
        <v/>
      </c>
      <c r="E48" s="50">
        <f>$C$17</f>
        <v/>
      </c>
      <c r="F48" s="51" t="n">
        <v>1</v>
      </c>
      <c r="G48" s="52">
        <f>'Model - Pinterest'!B11*C48*'Assumptions'!$E$15*$C$12*D48*E48*F48</f>
        <v/>
      </c>
      <c r="H48" s="53">
        <f>G48/4222.0*10000</f>
        <v/>
      </c>
    </row>
    <row r="49">
      <c r="A49" s="5" t="inlineStr">
        <is>
          <t>US states</t>
        </is>
      </c>
      <c r="B49" s="27" t="inlineStr">
        <is>
          <t>FL/UT/TN enforceable; many enjoined</t>
        </is>
      </c>
      <c r="C49" s="30" t="n">
        <v>0.03</v>
      </c>
      <c r="D49" s="50">
        <f>$C$15</f>
        <v/>
      </c>
      <c r="E49" s="50">
        <f>$C$18</f>
        <v/>
      </c>
      <c r="F49" s="51" t="n">
        <v>1</v>
      </c>
      <c r="G49" s="52">
        <f>'Model - Pinterest'!B11*C49*'Assumptions'!$E$15*$C$12*D49*E49*F49</f>
        <v/>
      </c>
      <c r="H49" s="53">
        <f>G49/4222.0*10000</f>
        <v/>
      </c>
    </row>
    <row r="50">
      <c r="A50" s="10" t="inlineStr">
        <is>
          <t>All baskets (broad-adoption scenario)</t>
        </is>
      </c>
      <c r="B50" s="46" t="n"/>
      <c r="C50" s="46" t="n"/>
      <c r="D50" s="46" t="n"/>
      <c r="E50" s="46" t="n"/>
      <c r="F50" s="47" t="n"/>
      <c r="G50" s="54">
        <f>SUM(G46:G49)</f>
        <v/>
      </c>
      <c r="H50" s="55">
        <f>G50/4222.0*10000</f>
        <v/>
      </c>
    </row>
    <row r="52">
      <c r="A52" s="20" t="inlineStr">
        <is>
          <t>4.  Scenario summary — under-16-ban headwind by company (At-risk $M  /  bps of FY2025 revenue)</t>
        </is>
      </c>
    </row>
    <row r="53">
      <c r="A53" s="4" t="inlineStr">
        <is>
          <t>Scenario</t>
        </is>
      </c>
      <c r="B53" s="4" t="inlineStr">
        <is>
          <t>Meta</t>
        </is>
      </c>
      <c r="C53" s="4" t="inlineStr">
        <is>
          <t>Google</t>
        </is>
      </c>
      <c r="D53" s="4" t="inlineStr">
        <is>
          <t>Snap</t>
        </is>
      </c>
      <c r="E53" s="4" t="inlineStr">
        <is>
          <t>Pinterest</t>
        </is>
      </c>
      <c r="F53" s="4" t="inlineStr">
        <is>
          <t>TOTAL $M</t>
        </is>
      </c>
      <c r="G53" s="4" t="inlineStr"/>
      <c r="H53" s="4" t="inlineStr">
        <is>
          <t>Note</t>
        </is>
      </c>
    </row>
    <row r="54">
      <c r="A54" s="5" t="inlineStr">
        <is>
          <t>A. In force today</t>
        </is>
      </c>
      <c r="B54" s="57">
        <f>G22</f>
        <v/>
      </c>
      <c r="C54" s="57">
        <f>G30</f>
        <v/>
      </c>
      <c r="D54" s="57">
        <f>G38</f>
        <v/>
      </c>
      <c r="E54" s="57">
        <f>G46</f>
        <v/>
      </c>
      <c r="F54" s="52">
        <f>SUM(B54:E54)</f>
        <v/>
      </c>
      <c r="H54" s="27" t="inlineStr">
        <is>
          <t>Australia ban only</t>
        </is>
      </c>
    </row>
    <row r="55">
      <c r="A55" s="5" t="inlineStr">
        <is>
          <t>B. Legislated + advancing</t>
        </is>
      </c>
      <c r="B55" s="57">
        <f>G22+G23+G24</f>
        <v/>
      </c>
      <c r="C55" s="57">
        <f>G30+G31+G32</f>
        <v/>
      </c>
      <c r="D55" s="57">
        <f>G38+G39+G40</f>
        <v/>
      </c>
      <c r="E55" s="57">
        <f>G46+G47+G48</f>
        <v/>
      </c>
      <c r="F55" s="52">
        <f>SUM(B55:E55)</f>
        <v/>
      </c>
      <c r="H55" s="27" t="inlineStr">
        <is>
          <t>+ UK &amp; EU pipeline (~2026–27)</t>
        </is>
      </c>
    </row>
    <row r="56">
      <c r="A56" s="5" t="inlineStr">
        <is>
          <t>C. Broad global adoption</t>
        </is>
      </c>
      <c r="B56" s="57">
        <f>G22+G23+G24+G25</f>
        <v/>
      </c>
      <c r="C56" s="57">
        <f>G30+G31+G32+G33</f>
        <v/>
      </c>
      <c r="D56" s="57">
        <f>G38+G39+G40+G41</f>
        <v/>
      </c>
      <c r="E56" s="57">
        <f>G46+G47+G48+G49</f>
        <v/>
      </c>
      <c r="F56" s="52">
        <f>SUM(B56:E56)</f>
        <v/>
      </c>
      <c r="H56" s="27" t="inlineStr">
        <is>
          <t>+ US states</t>
        </is>
      </c>
    </row>
    <row r="57">
      <c r="A57" s="21" t="inlineStr">
        <is>
          <t>Headwind in bps of FY2025 revenue</t>
        </is>
      </c>
    </row>
    <row r="58">
      <c r="A58" s="44" t="inlineStr">
        <is>
          <t>A. In force today</t>
        </is>
      </c>
      <c r="B58" s="53">
        <f>B54/200966.0*10000</f>
        <v/>
      </c>
      <c r="C58" s="53">
        <f>C54/402836.0*10000</f>
        <v/>
      </c>
      <c r="D58" s="53">
        <f>D54/5931.0*10000</f>
        <v/>
      </c>
      <c r="E58" s="53">
        <f>E54/4222.0*10000</f>
        <v/>
      </c>
      <c r="H58" s="27" t="inlineStr">
        <is>
          <t>Google bps vs Alphabet total; YouTube-only exposure</t>
        </is>
      </c>
    </row>
    <row r="59">
      <c r="A59" s="44" t="inlineStr">
        <is>
          <t>B. Legislated + advancing</t>
        </is>
      </c>
      <c r="B59" s="53">
        <f>B55/200966.0*10000</f>
        <v/>
      </c>
      <c r="C59" s="53">
        <f>C55/402836.0*10000</f>
        <v/>
      </c>
      <c r="D59" s="53">
        <f>D55/5931.0*10000</f>
        <v/>
      </c>
      <c r="E59" s="53">
        <f>E55/4222.0*10000</f>
        <v/>
      </c>
      <c r="H59" s="27" t="inlineStr">
        <is>
          <t>Google bps vs Alphabet total; YouTube-only exposure</t>
        </is>
      </c>
    </row>
    <row r="60">
      <c r="A60" s="44" t="inlineStr">
        <is>
          <t>C. Broad global adoption</t>
        </is>
      </c>
      <c r="B60" s="53">
        <f>B56/200966.0*10000</f>
        <v/>
      </c>
      <c r="C60" s="53">
        <f>C56/402836.0*10000</f>
        <v/>
      </c>
      <c r="D60" s="53">
        <f>D56/5931.0*10000</f>
        <v/>
      </c>
      <c r="E60" s="53">
        <f>E56/4222.0*10000</f>
        <v/>
      </c>
      <c r="H60" s="27" t="inlineStr">
        <is>
          <t>Google bps vs Alphabet total; YouTube-only exposure</t>
        </is>
      </c>
    </row>
    <row r="62">
      <c r="A62" s="23" t="inlineStr">
        <is>
          <t>5.  Interpretation</t>
        </is>
      </c>
    </row>
    <row r="63">
      <c r="A63" s="16" t="inlineStr">
        <is>
          <t>• Direct Australia impact is small for the giants (Meta low-single-digit bps; Google ~2–3bps of Alphabet) and</t>
        </is>
      </c>
    </row>
    <row r="64">
      <c r="A64" s="16" t="inlineStr">
        <is>
          <t xml:space="preserve">   ZERO for Pinterest (excluded). It is most material for Snap (~30–40bps of revenue), whose user base is teen-core.</t>
        </is>
      </c>
    </row>
    <row r="65">
      <c r="A65" s="16" t="inlineStr">
        <is>
          <t>• Even under broad global adoption (Australia + UK + EU + US states), the headwind is ~tens of bps for Meta/Google</t>
        </is>
      </c>
    </row>
    <row r="66">
      <c r="A66" s="16" t="inlineStr">
        <is>
          <t xml:space="preserve">   but can reach ~150bps+ for Snap — set against FY2025 revenue growth of Meta +22%, Google +15%, Snap +11%, Pins +16%.</t>
        </is>
      </c>
    </row>
    <row r="67">
      <c r="A67" s="16" t="inlineStr">
        <is>
          <t>• The larger risk is not the immediate revenue line but (a) regulatory CONTAGION (40+ countries now active) and</t>
        </is>
      </c>
    </row>
    <row r="68">
      <c r="A68" s="16" t="inlineStr">
        <is>
          <t xml:space="preserve">   (b) erosion of the youth USER FUNNEL: losing under-16s removes the top of the future-ARPU pipeline, a multi-year drag.</t>
        </is>
      </c>
    </row>
    <row r="69">
      <c r="A69" s="16" t="inlineStr">
        <is>
          <t>• Mitigants: bans target accounts, not viewing (logged-out YouTube continues); ad budgets/engagement partly redistribute</t>
        </is>
      </c>
    </row>
    <row r="70">
      <c r="A70" s="16" t="inlineStr">
        <is>
          <t xml:space="preserve">   to older users; messaging surfaces (WhatsApp/Messenger) and Pinterest are largely carved out.</t>
        </is>
      </c>
    </row>
  </sheetData>
  <mergeCells count="45">
    <mergeCell ref="A67:H67"/>
    <mergeCell ref="A15:B15"/>
    <mergeCell ref="A64:H64"/>
    <mergeCell ref="A36:H36"/>
    <mergeCell ref="A11:H11"/>
    <mergeCell ref="A50:F50"/>
    <mergeCell ref="A1:H1"/>
    <mergeCell ref="A26:F26"/>
    <mergeCell ref="A70:H70"/>
    <mergeCell ref="A16:B16"/>
    <mergeCell ref="D6:H6"/>
    <mergeCell ref="A42:F42"/>
    <mergeCell ref="A69:H69"/>
    <mergeCell ref="A65:H65"/>
    <mergeCell ref="D13:H13"/>
    <mergeCell ref="A66:H66"/>
    <mergeCell ref="A18:B18"/>
    <mergeCell ref="H54"/>
    <mergeCell ref="H55"/>
    <mergeCell ref="D17:H17"/>
    <mergeCell ref="A12:B12"/>
    <mergeCell ref="D7:H7"/>
    <mergeCell ref="D16:H16"/>
    <mergeCell ref="A57:H57"/>
    <mergeCell ref="A2:H2"/>
    <mergeCell ref="H56"/>
    <mergeCell ref="A14:B14"/>
    <mergeCell ref="A34:F34"/>
    <mergeCell ref="A17:B17"/>
    <mergeCell ref="D18:H18"/>
    <mergeCell ref="D9:H9"/>
    <mergeCell ref="A4:H4"/>
    <mergeCell ref="D12:H12"/>
    <mergeCell ref="A62:H62"/>
    <mergeCell ref="D8:H8"/>
    <mergeCell ref="D15:H15"/>
    <mergeCell ref="A20:H20"/>
    <mergeCell ref="A63:H63"/>
    <mergeCell ref="A52:H52"/>
    <mergeCell ref="A28:H28"/>
    <mergeCell ref="D5:H5"/>
    <mergeCell ref="A13:B13"/>
    <mergeCell ref="A68:H68"/>
    <mergeCell ref="A44:H44"/>
    <mergeCell ref="D14:H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70" customWidth="1" min="3" max="3"/>
  </cols>
  <sheetData>
    <row r="1" ht="22" customHeight="1">
      <c r="A1" s="20" t="inlineStr">
        <is>
          <t>SOURCES</t>
        </is>
      </c>
    </row>
    <row r="2">
      <c r="A2" s="4" t="inlineStr">
        <is>
          <t>#</t>
        </is>
      </c>
      <c r="B2" s="4" t="inlineStr">
        <is>
          <t>Source</t>
        </is>
      </c>
      <c r="C2" s="4" t="inlineStr">
        <is>
          <t>URL / reference</t>
        </is>
      </c>
    </row>
    <row r="3" ht="28" customHeight="1">
      <c r="A3" s="9" t="n">
        <v>1</v>
      </c>
      <c r="B3" s="58" t="inlineStr">
        <is>
          <t>Meta FY2025 results (10-K / Q4-25 press release, Jan 2026)</t>
        </is>
      </c>
      <c r="C3" s="59" t="inlineStr">
        <is>
          <t>sec.gov/Archives/edgar/data/1326801/000162828026003832/meta-12312025xexhibit991.htm</t>
        </is>
      </c>
    </row>
    <row r="4" ht="28" customHeight="1">
      <c r="A4" s="9" t="n">
        <v>2</v>
      </c>
      <c r="B4" s="58" t="inlineStr">
        <is>
          <t>Meta FY2024 results (prior-year comparison)</t>
        </is>
      </c>
      <c r="C4" s="59" t="inlineStr">
        <is>
          <t>sec.gov/Archives/edgar/data/1326801/000132680125000014/meta-12312024xexhibit991.htm</t>
        </is>
      </c>
    </row>
    <row r="5" ht="28" customHeight="1">
      <c r="A5" s="9" t="n">
        <v>3</v>
      </c>
      <c r="B5" s="58" t="inlineStr">
        <is>
          <t>Alphabet FY2025 results (segment &amp; geography, Feb 2026)</t>
        </is>
      </c>
      <c r="C5" s="59" t="inlineStr">
        <is>
          <t>sec.gov/Archives/edgar/data/1652044/000165204426000018/</t>
        </is>
      </c>
    </row>
    <row r="6" ht="28" customHeight="1">
      <c r="A6" s="9" t="n">
        <v>4</v>
      </c>
      <c r="B6" s="58" t="inlineStr">
        <is>
          <t>Snap FY2025 results (regional rev, DAU, ARPU, Feb 2026)</t>
        </is>
      </c>
      <c r="C6" s="59" t="inlineStr">
        <is>
          <t>investor.snap.com — Q4 &amp; FY2025 press release</t>
        </is>
      </c>
    </row>
    <row r="7" ht="28" customHeight="1">
      <c r="A7" s="9" t="n">
        <v>5</v>
      </c>
      <c r="B7" s="58" t="inlineStr">
        <is>
          <t>Pinterest FY2025 results (full-year regional revenue, MAU, Feb 2026)</t>
        </is>
      </c>
      <c r="C7" s="59" t="inlineStr">
        <is>
          <t>investor.pinterestinc.com — Q4 &amp; FY2025 press release</t>
        </is>
      </c>
    </row>
    <row r="8" ht="28" customHeight="1">
      <c r="A8" s="9" t="n">
        <v>6</v>
      </c>
      <c r="B8" s="58" t="inlineStr">
        <is>
          <t>Raffoul, Ward, Santoso, Kavanaugh, Austin (2023). Social media platforms generate billions from US youth. PLOS ONE 18(12): e0295337.</t>
        </is>
      </c>
      <c r="C8" s="59" t="inlineStr">
        <is>
          <t>journals.plos.org/plosone/article?id=10.1371/journal.pone.0295337</t>
        </is>
      </c>
    </row>
    <row r="9" ht="28" customHeight="1">
      <c r="A9" s="9" t="n">
        <v>7</v>
      </c>
      <c r="B9" s="58" t="inlineStr">
        <is>
          <t>Harvard T.H. Chan School news release on the above study</t>
        </is>
      </c>
      <c r="C9" s="59" t="inlineStr">
        <is>
          <t>hsph.harvard.edu/news/social-media-platforms-generate-billions-in-annual-ad-revenue-from-u-s-youth/</t>
        </is>
      </c>
    </row>
    <row r="10" ht="28" customHeight="1">
      <c r="A10" s="9" t="n">
        <v>8</v>
      </c>
      <c r="B10" s="58" t="inlineStr">
        <is>
          <t>Ofcom — Children and parents: media use and attitudes 2024</t>
        </is>
      </c>
      <c r="C10" s="59" t="inlineStr">
        <is>
          <t>ofcom.org.uk — Children's Media Literacy Report 2024</t>
        </is>
      </c>
    </row>
    <row r="11" ht="28" customHeight="1">
      <c r="A11" s="9" t="n">
        <v>9</v>
      </c>
      <c r="B11" s="58" t="inlineStr">
        <is>
          <t>eSafety Commissioner (AU) — Social Media Minimum Age: which platforms are age-restricted</t>
        </is>
      </c>
      <c r="C11" s="59" t="inlineStr">
        <is>
          <t>esafety.gov.au/.../social-media-age-restrictions/which-platforms-are-age-restricted</t>
        </is>
      </c>
    </row>
    <row r="12" ht="28" customHeight="1">
      <c r="A12" s="9" t="n">
        <v>10</v>
      </c>
      <c r="B12" s="58" t="inlineStr">
        <is>
          <t>eSafety Commissioner (AU) — Social Media Minimum Age FAQ (penalties, excluded services)</t>
        </is>
      </c>
      <c r="C12" s="59" t="inlineStr">
        <is>
          <t>esafety.gov.au/.../social-media-age-restrictions/faqs</t>
        </is>
      </c>
    </row>
    <row r="13" ht="28" customHeight="1">
      <c r="A13" s="9" t="n">
        <v>11</v>
      </c>
      <c r="B13" s="58" t="inlineStr">
        <is>
          <t>AVPA — EU countries / US state age-assurance trackers (2026)</t>
        </is>
      </c>
      <c r="C13" s="59" t="inlineStr">
        <is>
          <t>avpassociation.com — EU &amp; US state age-assurance laws</t>
        </is>
      </c>
    </row>
    <row r="14" ht="28" customHeight="1">
      <c r="A14" s="9" t="n">
        <v>12</v>
      </c>
      <c r="B14" s="58" t="inlineStr">
        <is>
          <t>TechCrunch / Wired-Parents — global under-16 social-media ban trackers (2026)</t>
        </is>
      </c>
      <c r="C14" s="59" t="inlineStr">
        <is>
          <t>techcrunch.com/2026/04/23/social-media-ban-children-countries-list/</t>
        </is>
      </c>
    </row>
    <row r="15" ht="28" customHeight="1">
      <c r="A15" s="9" t="n">
        <v>13</v>
      </c>
      <c r="B15" s="58" t="inlineStr">
        <is>
          <t>DataReportal / Pinterest ad-audience age profile</t>
        </is>
      </c>
      <c r="C15" s="59" t="inlineStr">
        <is>
          <t>datareportal.com/essential-pinterest-stats</t>
        </is>
      </c>
    </row>
    <row r="17">
      <c r="B17" s="3" t="inlineStr">
        <is>
          <t>All financial figures are as-reported FY2024/FY2025. All age-specific revenue and ban-headwind figures are MODELLED estimates (no issuer discloses revenue by user age or by jurisdiction at this granularity).</t>
        </is>
      </c>
    </row>
  </sheetData>
  <mergeCells count="2">
    <mergeCell ref="A1:C1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2026-06-15T15:52:39Z</dcterms:created>
  <dcterms:modified xsi:type="dcterms:W3CDTF">2026-06-15T15:52:39Z</dcterms:modified>
</cp:coreProperties>
</file>