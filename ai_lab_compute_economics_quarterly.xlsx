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 (Q2 2026)" sheetId="2" state="visible" r:id="rId2"/>
    <sheet name="GW Capacity" sheetId="3" state="visible" r:id="rId3"/>
    <sheet name="Revenue (Quarterly)" sheetId="4" state="visible" r:id="rId4"/>
    <sheet name="Revenue Run Rate" sheetId="5" state="visible" r:id="rId5"/>
    <sheet name="Compute Cost" sheetId="6" state="visible" r:id="rId6"/>
    <sheet name="Rev &amp; Cost per GW" sheetId="7" state="visible" r:id="rId7"/>
    <sheet name="Token Volume" sheetId="8" state="visible" r:id="rId8"/>
    <sheet name="Sources &amp; 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$#,##0.00"/>
    <numFmt numFmtId="167" formatCode="$0.0"/>
    <numFmt numFmtId="168" formatCode="$#,##0.0"/>
  </numFmts>
  <fonts count="12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0"/>
    </font>
    <font>
      <b val="1"/>
      <color rgb="001F3864"/>
    </font>
    <font>
      <b val="1"/>
      <color rgb="001F3864"/>
      <sz val="14"/>
    </font>
    <font>
      <b val="1"/>
      <color rgb="00FFFFFF"/>
      <sz val="11"/>
    </font>
    <font>
      <b val="1"/>
    </font>
    <font>
      <b val="1"/>
      <color rgb="00C00000"/>
    </font>
    <font>
      <i val="1"/>
      <color rgb="00808080"/>
    </font>
    <font>
      <b val="1"/>
      <color rgb="001F3864"/>
      <sz val="12"/>
    </font>
    <font>
      <color rgb="000563C1"/>
      <u val="single"/>
    </font>
    <font>
      <b val="1"/>
      <color rgb="001F3864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8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6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8" fillId="4" borderId="1" pivotButton="0" quotePrefix="0" xfId="0"/>
    <xf numFmtId="166" fontId="0" fillId="4" borderId="1" pivotButton="0" quotePrefix="0" xfId="0"/>
    <xf numFmtId="168" fontId="0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6" fillId="5" borderId="1" pivotButton="0" quotePrefix="0" xfId="0"/>
    <xf numFmtId="164" fontId="6" fillId="5" borderId="1" pivotButton="0" quotePrefix="0" xfId="0"/>
    <xf numFmtId="166" fontId="6" fillId="5" borderId="1" pivotButton="0" quotePrefix="0" xfId="0"/>
    <xf numFmtId="168" fontId="6" fillId="5" borderId="1" pivotButton="0" quotePrefix="0" xfId="0"/>
    <xf numFmtId="3" fontId="6" fillId="5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  <xf numFmtId="166" fontId="7" fillId="3" borderId="1" pivotButton="0" quotePrefix="0" xfId="0"/>
    <xf numFmtId="0" fontId="8" fillId="4" borderId="1" applyAlignment="1" pivotButton="0" quotePrefix="0" xfId="0">
      <alignment horizontal="center"/>
    </xf>
    <xf numFmtId="166" fontId="7" fillId="4" borderId="1" pivotButton="0" quotePrefix="0" xfId="0"/>
    <xf numFmtId="0" fontId="6" fillId="0" borderId="0" pivotButton="0" quotePrefix="0" xfId="0"/>
    <xf numFmtId="167" fontId="7" fillId="0" borderId="0" pivotButton="0" quotePrefix="0" xfId="0"/>
    <xf numFmtId="168" fontId="0" fillId="6" borderId="1" pivotButton="0" quotePrefix="0" xfId="0"/>
    <xf numFmtId="0" fontId="9" fillId="0" borderId="0" pivotButton="0" quotePrefix="0" xfId="0"/>
    <xf numFmtId="0" fontId="0" fillId="0" borderId="0" applyAlignment="1" pivotButton="0" quotePrefix="0" xfId="0">
      <alignment/>
    </xf>
    <xf numFmtId="0" fontId="0" fillId="0" borderId="0" applyAlignment="1" pivotButton="0" quotePrefix="0" xfId="0">
      <alignment wrapText="1"/>
    </xf>
    <xf numFmtId="3" fontId="0" fillId="6" borderId="1" pivotButton="0" quotePrefix="0" xfId="0"/>
    <xf numFmtId="9" fontId="0" fillId="6" borderId="1" pivotButton="0" quotePrefix="0" xfId="0"/>
    <xf numFmtId="0" fontId="5" fillId="2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0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per GW vs break-even (~$31B/GW/yr), Q2 2026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 (Q2 2026)'!$A$5:$A$12</f>
            </numRef>
          </cat>
          <val>
            <numRef>
              <f>'Summary (Q2 2026)'!$E$5:$E$12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US$B ARR per operational GW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Operational GW capacity by lab</a:t>
            </a:r>
          </a:p>
        </rich>
      </tx>
    </title>
    <plotArea>
      <lineChart>
        <grouping val="standard"/>
        <ser>
          <idx val="0"/>
          <order val="0"/>
          <tx>
            <v>OpenAI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Capacity'!$C$5:$M$5</f>
            </numRef>
          </val>
        </ser>
        <ser>
          <idx val="1"/>
          <order val="1"/>
          <tx>
            <v>Anthropic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Capacity'!$C$6:$M$6</f>
            </numRef>
          </val>
        </ser>
        <ser>
          <idx val="2"/>
          <order val="2"/>
          <tx>
            <v>Google DeepMind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Capacity'!$C$7:$M$7</f>
            </numRef>
          </val>
        </ser>
        <ser>
          <idx val="3"/>
          <order val="3"/>
          <tx>
            <v>xAI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Capacity'!$C$8:$M$8</f>
            </numRef>
          </val>
        </ser>
        <ser>
          <idx val="4"/>
          <order val="4"/>
          <tx>
            <v>Meta (Llama)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Capacity'!$C$9:$M$9</f>
            </numRef>
          </val>
        </ser>
        <ser>
          <idx val="5"/>
          <order val="5"/>
          <tx>
            <v>DeepSeek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Capacity'!$C$10:$M$10</f>
            </numRef>
          </val>
        </ser>
        <ser>
          <idx val="6"/>
          <order val="6"/>
          <tx>
            <v>Alibaba (Qwen)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Capacity'!$C$11:$M$11</f>
            </numRef>
          </val>
        </ser>
        <ser>
          <idx val="7"/>
          <order val="7"/>
          <tx>
            <v>Mistral 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'GW Capacity'!$C$4:$M$4</f>
            </numRef>
          </cat>
          <val>
            <numRef>
              <f>'GW Capacity'!$C$12:$M$12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Annualized revenue run rate by lab</a:t>
            </a:r>
          </a:p>
        </rich>
      </tx>
    </title>
    <plotArea>
      <lineChart>
        <grouping val="standard"/>
        <ser>
          <idx val="0"/>
          <order val="0"/>
          <tx>
            <v>OpenAI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Rate'!$C$5:$M$5</f>
            </numRef>
          </val>
        </ser>
        <ser>
          <idx val="1"/>
          <order val="1"/>
          <tx>
            <v>Anthropic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Rate'!$C$6:$M$6</f>
            </numRef>
          </val>
        </ser>
        <ser>
          <idx val="2"/>
          <order val="2"/>
          <tx>
            <v>Google DeepMind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Rate'!$C$7:$M$7</f>
            </numRef>
          </val>
        </ser>
        <ser>
          <idx val="3"/>
          <order val="3"/>
          <tx>
            <v>xAI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Rate'!$C$8:$M$8</f>
            </numRef>
          </val>
        </ser>
        <ser>
          <idx val="4"/>
          <order val="4"/>
          <tx>
            <v>Meta (Llama)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Rate'!$C$9:$M$9</f>
            </numRef>
          </val>
        </ser>
        <ser>
          <idx val="5"/>
          <order val="5"/>
          <tx>
            <v>DeepSeek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Rate'!$C$10:$M$10</f>
            </numRef>
          </val>
        </ser>
        <ser>
          <idx val="6"/>
          <order val="6"/>
          <tx>
            <v>Alibaba (Qwen)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Rate'!$C$11:$M$11</f>
            </numRef>
          </val>
        </ser>
        <ser>
          <idx val="7"/>
          <order val="7"/>
          <tx>
            <v>Mistral 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Run Rate'!$C$4:$M$4</f>
            </numRef>
          </cat>
          <val>
            <numRef>
              <f>'Revenue Run Rate'!$C$12:$M$12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US$B / 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Tokens processed per quarter by lab (trillions)</a:t>
            </a:r>
          </a:p>
        </rich>
      </tx>
    </title>
    <plotArea>
      <lineChart>
        <grouping val="standard"/>
        <ser>
          <idx val="0"/>
          <order val="0"/>
          <tx>
            <v>OpenAI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Volume'!$C$5:$M$5</f>
            </numRef>
          </val>
        </ser>
        <ser>
          <idx val="1"/>
          <order val="1"/>
          <tx>
            <v>Anthropic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Volume'!$C$6:$M$6</f>
            </numRef>
          </val>
        </ser>
        <ser>
          <idx val="2"/>
          <order val="2"/>
          <tx>
            <v>Google DeepMind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Volume'!$C$7:$M$7</f>
            </numRef>
          </val>
        </ser>
        <ser>
          <idx val="3"/>
          <order val="3"/>
          <tx>
            <v>xAI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Volume'!$C$8:$M$8</f>
            </numRef>
          </val>
        </ser>
        <ser>
          <idx val="4"/>
          <order val="4"/>
          <tx>
            <v>Meta (Llama)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Volume'!$C$9:$M$9</f>
            </numRef>
          </val>
        </ser>
        <ser>
          <idx val="5"/>
          <order val="5"/>
          <tx>
            <v>DeepSeek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Volume'!$C$10:$M$10</f>
            </numRef>
          </val>
        </ser>
        <ser>
          <idx val="6"/>
          <order val="6"/>
          <tx>
            <v>Alibaba (Qwen)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Volume'!$C$11:$M$11</f>
            </numRef>
          </val>
        </ser>
        <ser>
          <idx val="7"/>
          <order val="7"/>
          <tx>
            <v>Mistral AI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'Token Volume'!$C$4:$M$4</f>
            </numRef>
          </cat>
          <val>
            <numRef>
              <f>'Token Volume'!$C$12:$M$12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 tokens / quarter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nbc.com/2026/08/17/anthropic-says-annualized-revenue-climbed-to-65-billion-in-july.html" TargetMode="External" Id="rId1" /><Relationship Type="http://schemas.openxmlformats.org/officeDocument/2006/relationships/hyperlink" Target="https://finance.yahoo.com/technology/ai/articles/anthropic-revenue-run-rate-surpasses-193745178.html" TargetMode="External" Id="rId2" /><Relationship Type="http://schemas.openxmlformats.org/officeDocument/2006/relationships/hyperlink" Target="https://www.bloomberg.com/news/articles/2026-08-13/openai-s-revenue-run-rate-tops-40-billion-ahead-of-ipo" TargetMode="External" Id="rId3" /><Relationship Type="http://schemas.openxmlformats.org/officeDocument/2006/relationships/hyperlink" Target="https://valueaddvc.com/blog/openai-revenue-2026-20b-arr-4b-month-path-to-profitability" TargetMode="External" Id="rId4" /><Relationship Type="http://schemas.openxmlformats.org/officeDocument/2006/relationships/hyperlink" Target="https://presenc.ai/research/ai-lab-revenue-and-valuation-2026" TargetMode="External" Id="rId5" /><Relationship Type="http://schemas.openxmlformats.org/officeDocument/2006/relationships/hyperlink" Target="https://valueaddvc.com/blog/xai-revenue-how-grok-and-the-api-actually-make-money" TargetMode="External" Id="rId6" /><Relationship Type="http://schemas.openxmlformats.org/officeDocument/2006/relationships/hyperlink" Target="https://aiweekly.co/alerts/deepseek-nears-500m-annualized-revenue-plans-2027-ipo" TargetMode="External" Id="rId7" /><Relationship Type="http://schemas.openxmlformats.org/officeDocument/2006/relationships/hyperlink" Target="https://www.sec.gov/Archives/edgar/data/1577552/000110465926099220/tm2623667d1_ex99-1.htm" TargetMode="External" Id="rId8" /><Relationship Type="http://schemas.openxmlformats.org/officeDocument/2006/relationships/hyperlink" Target="https://sacra.com/c/mistral/" TargetMode="External" Id="rId9" /><Relationship Type="http://schemas.openxmlformats.org/officeDocument/2006/relationships/hyperlink" Target="https://presenc.ai/research/ai-lab-revenue-and-valuation-2026" TargetMode="External" Id="rId10" /><Relationship Type="http://schemas.openxmlformats.org/officeDocument/2006/relationships/hyperlink" Target="https://fos.kentlangley.com/b/ai-lab-compute/" TargetMode="External" Id="rId11" /><Relationship Type="http://schemas.openxmlformats.org/officeDocument/2006/relationships/hyperlink" Target="https://momoview.com/blog/en/posts/ai-compute-landscape-2026-operational-vs-under-construction-hyperscalers-ai-labs-neoclouds-gigawatt-map/" TargetMode="External" Id="rId12" /><Relationship Type="http://schemas.openxmlformats.org/officeDocument/2006/relationships/hyperlink" Target="https://www.tcdev.de/blog/where-are-claudes-data-centers/" TargetMode="External" Id="rId13" /><Relationship Type="http://schemas.openxmlformats.org/officeDocument/2006/relationships/hyperlink" Target="https://www.reuters.com/world/asia-pacific/meta-put-ai-chip-into-production-september-it-looks-double-computing-capacity-2026-07-09/" TargetMode="External" Id="rId14" /><Relationship Type="http://schemas.openxmlformats.org/officeDocument/2006/relationships/hyperlink" Target="https://www.cnbc.com/2026/07/29/zuckerberg-metas-ai-capacity-dilemma-what-to-sell-vs-what-to-keep.html" TargetMode="External" Id="rId15" /><Relationship Type="http://schemas.openxmlformats.org/officeDocument/2006/relationships/hyperlink" Target="https://xenospectrum.com/en/deepseek-forced-price-hike-demand-overwhelms-20000-gpu-fleet/" TargetMode="External" Id="rId16" /><Relationship Type="http://schemas.openxmlformats.org/officeDocument/2006/relationships/hyperlink" Target="https://www.alibabagroup.com/en-US/document-2027233133950140416" TargetMode="External" Id="rId17" /><Relationship Type="http://schemas.openxmlformats.org/officeDocument/2006/relationships/hyperlink" Target="https://jasperbernaers.com/ai-gigawatts/" TargetMode="External" Id="rId18" /><Relationship Type="http://schemas.openxmlformats.org/officeDocument/2006/relationships/hyperlink" Target="https://epoch.ai/data-insights/ai-datacenter-cost-breakdown" TargetMode="External" Id="rId19" /><Relationship Type="http://schemas.openxmlformats.org/officeDocument/2006/relationships/hyperlink" Target="https://geotechnexus.com/the-47-billion-gigawatt-what-vera-rubins-price-tag-tells-us-about-the-ai-build-out/" TargetMode="External" Id="rId20" /><Relationship Type="http://schemas.openxmlformats.org/officeDocument/2006/relationships/hyperlink" Target="https://investments.chiayong.com/ai-buildout/economics-2026-06-18/" TargetMode="External" Id="rId21" /><Relationship Type="http://schemas.openxmlformats.org/officeDocument/2006/relationships/hyperlink" Target="https://happycapyguide.com/blog/openai-15-billion-tokens-per-minute-25-billion-revenue-ai-scale-2026" TargetMode="External" Id="rId22" /><Relationship Type="http://schemas.openxmlformats.org/officeDocument/2006/relationships/hyperlink" Target="https://valueaddvc.com/blog/xai-revenue-how-grok-and-the-api-actually-make-money" TargetMode="External" Id="rId23" /><Relationship Type="http://schemas.openxmlformats.org/officeDocument/2006/relationships/hyperlink" Target="https://insideai.news/news/ai-hardware-infrastructure/meta-raises-2026-capex-floor-to-130-billion-for-ai-data-centers/6493/" TargetMode="External" Id="rId24" /><Relationship Type="http://schemas.openxmlformats.org/officeDocument/2006/relationships/hyperlink" Target="https://www.tcdev.de/blog/where-are-claudes-data-centers/" TargetMode="External" Id="rId25" /><Relationship Type="http://schemas.openxmlformats.org/officeDocument/2006/relationships/hyperlink" Target="https://blog.google/innovation-and-ai/sundar-pichai-io-2026/" TargetMode="External" Id="rId26" /><Relationship Type="http://schemas.openxmlformats.org/officeDocument/2006/relationships/hyperlink" Target="https://shuaiguan.io/blog/openai-statistics" TargetMode="External" Id="rId27" /><Relationship Type="http://schemas.openxmlformats.org/officeDocument/2006/relationships/hyperlink" Target="https://ort.fabryka.ai/research.html" TargetMode="External" Id="rId28" /><Relationship Type="http://schemas.openxmlformats.org/officeDocument/2006/relationships/hyperlink" Target="https://capitalandcompute.net/blog/open-source-llms-overtake-2026/" TargetMode="External" Id="rId29" /><Relationship Type="http://schemas.openxmlformats.org/officeDocument/2006/relationships/hyperlink" Target="https://dirac.run/labs-market-share" TargetMode="External" Id="rId30" /><Relationship Type="http://schemas.openxmlformats.org/officeDocument/2006/relationships/hyperlink" Target="https://tokensperday.com/" TargetMode="External" Id="rId31" /><Relationship Type="http://schemas.openxmlformats.org/officeDocument/2006/relationships/hyperlink" Target="https://presenc.ai/research/ai-lab-revenue-and-valuation-2026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0" customWidth="1" min="3" max="3"/>
  </cols>
  <sheetData>
    <row r="2">
      <c r="B2" s="1" t="inlineStr">
        <is>
          <t>AI Lab Compute Economics - Quarterly Time Series</t>
        </is>
      </c>
    </row>
    <row r="3">
      <c r="B3" s="2" t="inlineStr">
        <is>
          <t>GW capacity, revenue, cost, and token volume for frontier and open-weight AI labs | Q1 2024 - Q3 2026 | Compiled Aug 23, 2026</t>
        </is>
      </c>
    </row>
    <row r="4">
      <c r="B4" s="3" t="inlineStr"/>
    </row>
    <row r="5">
      <c r="B5" s="3" t="inlineStr">
        <is>
          <t>What's inside</t>
        </is>
      </c>
    </row>
    <row r="6">
      <c r="B6" s="3" t="inlineStr">
        <is>
          <t>1. Summary (Q2 2026)</t>
        </is>
      </c>
      <c r="C6" s="4" t="inlineStr">
        <is>
          <t>Latest-full-quarter snapshot: GW, ARR, revenue/GW, est. compute cost, cost/GW, tokens - with frontier vs open-weight subtotals.</t>
        </is>
      </c>
    </row>
    <row r="7">
      <c r="B7" s="3" t="inlineStr">
        <is>
          <t>2. GW Capacity</t>
        </is>
      </c>
      <c r="C7" s="4" t="inlineStr">
        <is>
          <t>Estimated operational AI compute capacity (owned + leased IT power, GW, end of quarter) per lab, with subtotals and chart.</t>
        </is>
      </c>
    </row>
    <row r="8">
      <c r="B8" s="3" t="inlineStr">
        <is>
          <t>3. Revenue (Quarterly)</t>
        </is>
      </c>
      <c r="C8" s="4" t="inlineStr">
        <is>
          <t>Booked revenue per calendar quarter, $B.</t>
        </is>
      </c>
    </row>
    <row r="9">
      <c r="B9" s="3" t="inlineStr">
        <is>
          <t>4. Revenue Run Rate</t>
        </is>
      </c>
      <c r="C9" s="4" t="inlineStr">
        <is>
          <t>Annualized run-rate revenue at quarter end, $B (the metric labs quote publicly).</t>
        </is>
      </c>
    </row>
    <row r="10">
      <c r="B10" s="3" t="inlineStr">
        <is>
          <t>5. Compute Cost</t>
        </is>
      </c>
      <c r="C10" s="4" t="inlineStr">
        <is>
          <t>Estimated quarterly compute cost per lab (GW x $8.5B/GW/yr TCO), industry build-capex-per-GW benchmark, and reported cost datapoints.</t>
        </is>
      </c>
    </row>
    <row r="11">
      <c r="B11" s="3" t="inlineStr">
        <is>
          <t>6. Rev &amp; Cost per GW</t>
        </is>
      </c>
      <c r="C11" s="4" t="inlineStr">
        <is>
          <t>Derived: annualized revenue per operational GW vs annualized cost per GW, by lab and quarter.</t>
        </is>
      </c>
    </row>
    <row r="12">
      <c r="B12" s="3" t="inlineStr">
        <is>
          <t>7. Token Volume</t>
        </is>
      </c>
      <c r="C12" s="4" t="inlineStr">
        <is>
          <t>Estimated tokens processed per quarter (trillions), all surfaces, with global market anchors and chart.</t>
        </is>
      </c>
    </row>
    <row r="13">
      <c r="B13" s="3" t="inlineStr">
        <is>
          <t>8. Sources &amp; Methodology</t>
        </is>
      </c>
      <c r="C13" s="4" t="inlineStr">
        <is>
          <t>Every disclosed anchor with source + URL, and metric-by-metric methodology and caveats.</t>
        </is>
      </c>
    </row>
    <row r="14">
      <c r="B14" s="3" t="inlineStr"/>
    </row>
    <row r="15">
      <c r="B15" s="3" t="inlineStr">
        <is>
          <t>Lab coverage</t>
        </is>
      </c>
    </row>
    <row r="16">
      <c r="B16" s="3" t="inlineStr">
        <is>
          <t>Frontier (closed)</t>
        </is>
      </c>
      <c r="C16" s="4" t="inlineStr">
        <is>
          <t>OpenAI, Anthropic, Google DeepMind, xAI</t>
        </is>
      </c>
    </row>
    <row r="17">
      <c r="B17" s="3" t="inlineStr">
        <is>
          <t>Open-weight</t>
        </is>
      </c>
      <c r="C17" s="4" t="inlineStr">
        <is>
          <t>Meta (Llama), DeepSeek, Alibaba (Qwen), Mistral AI</t>
        </is>
      </c>
    </row>
    <row r="18">
      <c r="B18" s="3" t="inlineStr"/>
    </row>
    <row r="19">
      <c r="B19" s="3" t="inlineStr">
        <is>
          <t>How to read it</t>
        </is>
      </c>
    </row>
    <row r="20">
      <c r="B20" s="3" t="inlineStr">
        <is>
          <t>Red bold cells</t>
        </is>
      </c>
      <c r="C20" s="4" t="inlineStr">
        <is>
          <t>Directly disclosed figures (company statements, filings, earnings). Everything else is estimated/interpolated - see Sources &amp; Methodology.</t>
        </is>
      </c>
    </row>
    <row r="21">
      <c r="B21" s="3" t="inlineStr">
        <is>
          <t>'Q3 2026 (part.)'</t>
        </is>
      </c>
      <c r="C21" s="4" t="inlineStr">
        <is>
          <t>Partial quarter: quarter-to-date run rates as of Aug 23, 2026, extrapolated.</t>
        </is>
      </c>
    </row>
    <row r="22">
      <c r="B22" s="3" t="inlineStr">
        <is>
          <t>'n/a' (Meta revenue)</t>
        </is>
      </c>
      <c r="C22" s="4" t="inlineStr">
        <is>
          <t>Meta gives Llama away and monetizes via ads - it has no separable model revenue, so revenue-per-GW is not meaningful for it.</t>
        </is>
      </c>
    </row>
    <row r="23">
      <c r="B23" s="3" t="inlineStr">
        <is>
          <t>Error bars</t>
        </is>
      </c>
      <c r="C23" s="4" t="inlineStr">
        <is>
          <t>Capacity and token estimates for private companies carry +/-30% or wider uncertainty. Treat as order-of-magnitude, directionally reliable.</t>
        </is>
      </c>
    </row>
    <row r="24">
      <c r="B24" s="3" t="inlineStr"/>
    </row>
    <row r="25">
      <c r="B25" s="3" t="inlineStr">
        <is>
          <t>Headline takeaways (Q2-Q3 2026)</t>
        </is>
      </c>
    </row>
    <row r="26">
      <c r="B26" s="3" t="inlineStr">
        <is>
          <t>Revenue</t>
        </is>
      </c>
      <c r="C26" s="4" t="inlineStr">
        <is>
          <t>Anthropic leads on run rate ($65B Jul 2026) vs OpenAI ($40B Aug 2026); Google AI ~$30B+; everyone else is &lt;$10B. Anthropic turned adjusted-operating-income positive in Q2 2026.</t>
        </is>
      </c>
    </row>
    <row r="27">
      <c r="B27" s="3" t="inlineStr">
        <is>
          <t>Capacity</t>
        </is>
      </c>
      <c r="C27" s="4" t="inlineStr">
        <is>
          <t>The 8 labs run ~12 GW operational vs 40+ GW contracted. Meta has the largest fleet (~3.6 GW incl. recsys); Google ~2.8 GW; Anthropic ~1.8 GW; announced pipelines (Stargate 9+ GW, Meta 14 GW) dwarf what is energized.</t>
        </is>
      </c>
    </row>
    <row r="28">
      <c r="B28" s="3" t="inlineStr">
        <is>
          <t>Tokens</t>
        </is>
      </c>
      <c r="C28" s="4" t="inlineStr">
        <is>
          <t>Google processes the most tokens (3.2 quadrillion/month May 2026). On neutral routing (OpenRouter), open-weight models flipped to a 60/40 majority by Jun 2026, led by DeepSeek (~23%).</t>
        </is>
      </c>
    </row>
    <row r="29">
      <c r="B29" s="3" t="inlineStr">
        <is>
          <t>Economics</t>
        </is>
      </c>
      <c r="C29" s="4" t="inlineStr">
        <is>
          <t>~$31B/yr revenue per GW is the break-even benchmark; Anthropic (~$26B/GW) and OpenAI (~$22B/GW) are approaching it, Google sits lower on paid revenue per GW (heavy un-monetized internal usage), and open-weight labs monetize a small fraction of their token footprint.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9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5" t="inlineStr">
        <is>
          <t>Summary - Q2 2026 (last full quarter)</t>
        </is>
      </c>
    </row>
    <row r="2">
      <c r="A2" s="2" t="inlineStr">
        <is>
          <t>Formula-linked snapshot. ARR = end-of-quarter annualized run rate. Break-even revenue/GW benchmark ~$31B/yr (YK Research).</t>
        </is>
      </c>
    </row>
    <row r="4">
      <c r="A4" s="6" t="inlineStr">
        <is>
          <t>Lab</t>
        </is>
      </c>
      <c r="B4" s="6" t="inlineStr">
        <is>
          <t>Category</t>
        </is>
      </c>
      <c r="C4" s="6" t="inlineStr">
        <is>
          <t>Operational GW</t>
        </is>
      </c>
      <c r="D4" s="6" t="inlineStr">
        <is>
          <t>ARR ($B/yr)</t>
        </is>
      </c>
      <c r="E4" s="6" t="inlineStr">
        <is>
          <t>Revenue / GW ($B/yr per GW)</t>
        </is>
      </c>
      <c r="F4" s="6" t="inlineStr">
        <is>
          <t>Est. compute cost ($B/yr)</t>
        </is>
      </c>
      <c r="G4" s="6" t="inlineStr">
        <is>
          <t>Cost / GW ($B/yr per GW)</t>
        </is>
      </c>
      <c r="H4" s="6" t="inlineStr">
        <is>
          <t>Tokens Q2'26 (T)</t>
        </is>
      </c>
      <c r="I4" s="6" t="inlineStr">
        <is>
          <t>Notes</t>
        </is>
      </c>
    </row>
    <row r="5">
      <c r="A5" s="7" t="inlineStr">
        <is>
          <t>OpenAI</t>
        </is>
      </c>
      <c r="B5" s="8" t="inlineStr">
        <is>
          <t>Frontier (closed)</t>
        </is>
      </c>
      <c r="C5" s="9">
        <f>'GW Capacity'!L5</f>
        <v/>
      </c>
      <c r="D5" s="10">
        <f>'Revenue Run Rate'!L5</f>
        <v/>
      </c>
      <c r="E5" s="11">
        <f>D5/C5</f>
        <v/>
      </c>
      <c r="F5" s="10">
        <f>C5*'Compute Cost'!$C$3</f>
        <v/>
      </c>
      <c r="G5" s="11">
        <f>'Compute Cost'!$C$3</f>
        <v/>
      </c>
      <c r="H5" s="12">
        <f>'Token Volume'!L5</f>
        <v/>
      </c>
      <c r="I5" s="13" t="inlineStr">
        <is>
          <t>Compute mostly leased (Microsoft Azure, Oracle, Stargate JV). Abilene ~0.3 GW live mid-2026; 9+ GW contracted through 2029.</t>
        </is>
      </c>
    </row>
    <row r="6">
      <c r="A6" s="7" t="inlineStr">
        <is>
          <t>Anthropic</t>
        </is>
      </c>
      <c r="B6" s="8" t="inlineStr">
        <is>
          <t>Frontier (closed)</t>
        </is>
      </c>
      <c r="C6" s="9">
        <f>'GW Capacity'!L6</f>
        <v/>
      </c>
      <c r="D6" s="10">
        <f>'Revenue Run Rate'!L6</f>
        <v/>
      </c>
      <c r="E6" s="11">
        <f>D6/C6</f>
        <v/>
      </c>
      <c r="F6" s="10">
        <f>C6*'Compute Cost'!$C$3</f>
        <v/>
      </c>
      <c r="G6" s="11">
        <f>'Compute Cost'!$C$3</f>
        <v/>
      </c>
      <c r="H6" s="12">
        <f>'Token Volume'!L6</f>
        <v/>
      </c>
      <c r="I6" s="13" t="inlineStr">
        <is>
          <t>Compute leased from AWS (Project Rainier / New Carlisle ~1 GW live Mar 2026), Google TPU (1 GW+ landing 2026), SpaceX (300 MW). Best-documented revenue ramp.</t>
        </is>
      </c>
    </row>
    <row r="7">
      <c r="A7" s="7" t="inlineStr">
        <is>
          <t>Google DeepMind</t>
        </is>
      </c>
      <c r="B7" s="8" t="inlineStr">
        <is>
          <t>Frontier (closed)</t>
        </is>
      </c>
      <c r="C7" s="9">
        <f>'GW Capacity'!L7</f>
        <v/>
      </c>
      <c r="D7" s="10">
        <f>'Revenue Run Rate'!L7</f>
        <v/>
      </c>
      <c r="E7" s="11">
        <f>D7/C7</f>
        <v/>
      </c>
      <c r="F7" s="10">
        <f>C7*'Compute Cost'!$C$3</f>
        <v/>
      </c>
      <c r="G7" s="11">
        <f>'Compute Cost'!$C$3</f>
        <v/>
      </c>
      <c r="H7" s="12">
        <f>'Token Volume'!L7</f>
        <v/>
      </c>
      <c r="I7" s="13" t="inlineStr">
        <is>
          <t>TPU fleet allocated to Gemini training + inference (subset of Alphabet's total fleet). Revenue = Gemini/Vertex/Workspace-AI attributable estimate, not an Alphabet segment.</t>
        </is>
      </c>
    </row>
    <row r="8">
      <c r="A8" s="7" t="inlineStr">
        <is>
          <t>xAI</t>
        </is>
      </c>
      <c r="B8" s="8" t="inlineStr">
        <is>
          <t>Frontier (closed)</t>
        </is>
      </c>
      <c r="C8" s="9">
        <f>'GW Capacity'!L8</f>
        <v/>
      </c>
      <c r="D8" s="10">
        <f>'Revenue Run Rate'!L8</f>
        <v/>
      </c>
      <c r="E8" s="11">
        <f>D8/C8</f>
        <v/>
      </c>
      <c r="F8" s="10">
        <f>C8*'Compute Cost'!$C$3</f>
        <v/>
      </c>
      <c r="G8" s="11">
        <f>'Compute Cost'!$C$3</f>
        <v/>
      </c>
      <c r="H8" s="12">
        <f>'Token Volume'!L8</f>
        <v/>
      </c>
      <c r="I8" s="13" t="inlineStr">
        <is>
          <t>Self-built Colossus 1 (~0.3 GW, Memphis) + Colossus 2 ramping toward 2 GW. Standalone AI revenue only (excludes X ads/subscriptions).</t>
        </is>
      </c>
    </row>
    <row r="9">
      <c r="A9" s="14" t="inlineStr">
        <is>
          <t>Meta (Llama)</t>
        </is>
      </c>
      <c r="B9" s="15" t="inlineStr">
        <is>
          <t>Open-weight</t>
        </is>
      </c>
      <c r="C9" s="16">
        <f>'GW Capacity'!L9</f>
        <v/>
      </c>
      <c r="D9" s="17" t="inlineStr">
        <is>
          <t>n/a</t>
        </is>
      </c>
      <c r="E9" s="17" t="inlineStr">
        <is>
          <t>n/a</t>
        </is>
      </c>
      <c r="F9" s="18">
        <f>C9*'Compute Cost'!$C$3</f>
        <v/>
      </c>
      <c r="G9" s="19">
        <f>'Compute Cost'!$C$3</f>
        <v/>
      </c>
      <c r="H9" s="20">
        <f>'Token Volume'!L9</f>
        <v/>
      </c>
      <c r="I9" s="21" t="inlineStr">
        <is>
          <t>AI accelerator fleet across all workloads (GenAI + ranking/recsys). No direct model revenue - monetized via ads; Llama licensed free. Plans 7 GW deployed during 2026, 14 GW by 2027.</t>
        </is>
      </c>
    </row>
    <row r="10">
      <c r="A10" s="14" t="inlineStr">
        <is>
          <t>DeepSeek</t>
        </is>
      </c>
      <c r="B10" s="15" t="inlineStr">
        <is>
          <t>Open-weight</t>
        </is>
      </c>
      <c r="C10" s="16">
        <f>'GW Capacity'!L10</f>
        <v/>
      </c>
      <c r="D10" s="18">
        <f>'Revenue Run Rate'!L10</f>
        <v/>
      </c>
      <c r="E10" s="19">
        <f>D10/C10</f>
        <v/>
      </c>
      <c r="F10" s="18">
        <f>C10*'Compute Cost'!$C$3</f>
        <v/>
      </c>
      <c r="G10" s="19">
        <f>'Compute Cost'!$C$3</f>
        <v/>
      </c>
      <c r="H10" s="20">
        <f>'Token Volume'!L10</f>
        <v/>
      </c>
      <c r="I10" s="21" t="inlineStr">
        <is>
          <t>~20k H100-equivalent fleet (mid-2026 disclosure); extreme efficiency focus; 1 GW Ulanqab site planned for late 2027/28. Revenue = API hosting only; open weights are free.</t>
        </is>
      </c>
    </row>
    <row r="11">
      <c r="A11" s="14" t="inlineStr">
        <is>
          <t>Alibaba (Qwen)</t>
        </is>
      </c>
      <c r="B11" s="15" t="inlineStr">
        <is>
          <t>Open-weight</t>
        </is>
      </c>
      <c r="C11" s="16">
        <f>'GW Capacity'!L11</f>
        <v/>
      </c>
      <c r="D11" s="18">
        <f>'Revenue Run Rate'!L11</f>
        <v/>
      </c>
      <c r="E11" s="19">
        <f>D11/C11</f>
        <v/>
      </c>
      <c r="F11" s="18">
        <f>C11*'Compute Cost'!$C$3</f>
        <v/>
      </c>
      <c r="G11" s="19">
        <f>'Compute Cost'!$C$3</f>
        <v/>
      </c>
      <c r="H11" s="20">
        <f>'Token Volume'!L11</f>
        <v/>
      </c>
      <c r="I11" s="21" t="inlineStr">
        <is>
          <t>Revenue = Alibaba's disclosed 'AI-related product revenue' (calendar-quarter mapped). GW = estimated AI portion of Alibaba Cloud fleet. Qwen weights free (3B+ downloads).</t>
        </is>
      </c>
    </row>
    <row r="12">
      <c r="A12" s="14" t="inlineStr">
        <is>
          <t>Mistral AI</t>
        </is>
      </c>
      <c r="B12" s="15" t="inlineStr">
        <is>
          <t>Open-weight</t>
        </is>
      </c>
      <c r="C12" s="16">
        <f>'GW Capacity'!L12</f>
        <v/>
      </c>
      <c r="D12" s="18">
        <f>'Revenue Run Rate'!L12</f>
        <v/>
      </c>
      <c r="E12" s="19">
        <f>D12/C12</f>
        <v/>
      </c>
      <c r="F12" s="18">
        <f>C12*'Compute Cost'!$C$3</f>
        <v/>
      </c>
      <c r="G12" s="19">
        <f>'Compute Cost'!$C$3</f>
        <v/>
      </c>
      <c r="H12" s="20">
        <f>'Token Volume'!L12</f>
        <v/>
      </c>
      <c r="I12" s="21" t="inlineStr">
        <is>
          <t>European open-weight lab. Small self + leased footprint (Eclairion France DC, Sweden DC committed). ARR $312M Dec 2025 -&gt; ~$1B May 2026.</t>
        </is>
      </c>
    </row>
    <row r="13">
      <c r="A13" s="22" t="inlineStr">
        <is>
          <t>Frontier subtotal</t>
        </is>
      </c>
      <c r="B13" s="22" t="n"/>
      <c r="C13" s="23">
        <f>C5+C6+C7+C8</f>
        <v/>
      </c>
      <c r="D13" s="24">
        <f>D5+D6+D7+D8</f>
        <v/>
      </c>
      <c r="E13" s="25">
        <f>D13/C13</f>
        <v/>
      </c>
      <c r="F13" s="24">
        <f>F5+F6+F7+F8</f>
        <v/>
      </c>
      <c r="G13" s="25">
        <f>'Compute Cost'!$C$3</f>
        <v/>
      </c>
      <c r="H13" s="26">
        <f>H5+H6+H7+H8</f>
        <v/>
      </c>
      <c r="I13" s="22" t="n"/>
    </row>
    <row r="14">
      <c r="A14" s="22" t="inlineStr">
        <is>
          <t>Open-weight subtotal</t>
        </is>
      </c>
      <c r="B14" s="22" t="n"/>
      <c r="C14" s="23">
        <f>C9+C10+C11+C12</f>
        <v/>
      </c>
      <c r="D14" s="24">
        <f>D10+D11+D12</f>
        <v/>
      </c>
      <c r="E14" s="25">
        <f>D14/C14</f>
        <v/>
      </c>
      <c r="F14" s="24">
        <f>F9+F10+F11+F12</f>
        <v/>
      </c>
      <c r="G14" s="25">
        <f>'Compute Cost'!$C$3</f>
        <v/>
      </c>
      <c r="H14" s="26">
        <f>H9+H10+H11+H12</f>
        <v/>
      </c>
      <c r="I14" s="22" t="n"/>
    </row>
    <row r="15">
      <c r="A15" s="22" t="inlineStr">
        <is>
          <t>TOTAL (all 8 labs)</t>
        </is>
      </c>
      <c r="B15" s="22" t="n"/>
      <c r="C15" s="23">
        <f>C5+C6+C7+C8+C9+C10+C11+C12</f>
        <v/>
      </c>
      <c r="D15" s="24">
        <f>D5+D6+D7+D8+D10+D11+D12</f>
        <v/>
      </c>
      <c r="E15" s="25">
        <f>D15/C15</f>
        <v/>
      </c>
      <c r="F15" s="24">
        <f>F5+F6+F7+F8+F9+F10+F11+F12</f>
        <v/>
      </c>
      <c r="G15" s="25">
        <f>'Compute Cost'!$C$3</f>
        <v/>
      </c>
      <c r="H15" s="26">
        <f>H5+H6+H7+H8+H9+H10+H11+H12</f>
        <v/>
      </c>
      <c r="I15" s="22" t="n"/>
    </row>
    <row r="17">
      <c r="A17" s="2" t="inlineStr">
        <is>
          <t>Current as of Aug 23, 2026: Anthropic ARR $65B (Jul), OpenAI $40B (Aug) - see Revenue Run Rate sheet, Q3 2026 column.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GW Capacity</t>
        </is>
      </c>
    </row>
    <row r="2">
      <c r="A2" s="2" t="inlineStr">
        <is>
          <t>Estimated operational AI compute capacity serving each lab (owned + leased IT power, gigawatts, end of quarter). Red bold = disclosed. Contracted/announced capacity is far larger - see Sources.</t>
        </is>
      </c>
    </row>
    <row r="4">
      <c r="A4" s="6" t="inlineStr">
        <is>
          <t>Lab</t>
        </is>
      </c>
      <c r="B4" s="6" t="inlineStr">
        <is>
          <t>Category</t>
        </is>
      </c>
      <c r="C4" s="27" t="inlineStr">
        <is>
          <t>Q1 2024</t>
        </is>
      </c>
      <c r="D4" s="27" t="inlineStr">
        <is>
          <t>Q2 2024</t>
        </is>
      </c>
      <c r="E4" s="27" t="inlineStr">
        <is>
          <t>Q3 2024</t>
        </is>
      </c>
      <c r="F4" s="27" t="inlineStr">
        <is>
          <t>Q4 2024</t>
        </is>
      </c>
      <c r="G4" s="27" t="inlineStr">
        <is>
          <t>Q1 2025</t>
        </is>
      </c>
      <c r="H4" s="27" t="inlineStr">
        <is>
          <t>Q2 2025</t>
        </is>
      </c>
      <c r="I4" s="27" t="inlineStr">
        <is>
          <t>Q3 2025</t>
        </is>
      </c>
      <c r="J4" s="27" t="inlineStr">
        <is>
          <t>Q4 2025</t>
        </is>
      </c>
      <c r="K4" s="27" t="inlineStr">
        <is>
          <t>Q1 2026</t>
        </is>
      </c>
      <c r="L4" s="27" t="inlineStr">
        <is>
          <t>Q2 2026</t>
        </is>
      </c>
      <c r="M4" s="27" t="inlineStr">
        <is>
          <t>Q3 2026 (part.)</t>
        </is>
      </c>
    </row>
    <row r="5">
      <c r="A5" s="7" t="inlineStr">
        <is>
          <t>OpenAI</t>
        </is>
      </c>
      <c r="B5" s="8" t="inlineStr">
        <is>
          <t>Frontier (closed)</t>
        </is>
      </c>
      <c r="C5" s="9" t="n">
        <v>0.25</v>
      </c>
      <c r="D5" s="9" t="n">
        <v>0.3</v>
      </c>
      <c r="E5" s="9" t="n">
        <v>0.35</v>
      </c>
      <c r="F5" s="9" t="n">
        <v>0.45</v>
      </c>
      <c r="G5" s="9" t="n">
        <v>0.55</v>
      </c>
      <c r="H5" s="9" t="n">
        <v>0.65</v>
      </c>
      <c r="I5" s="9" t="n">
        <v>0.8</v>
      </c>
      <c r="J5" s="9" t="n">
        <v>1</v>
      </c>
      <c r="K5" s="9" t="n">
        <v>1.2</v>
      </c>
      <c r="L5" s="9" t="n">
        <v>1.4</v>
      </c>
      <c r="M5" s="9" t="n">
        <v>1.7</v>
      </c>
    </row>
    <row r="6">
      <c r="A6" s="7" t="inlineStr">
        <is>
          <t>Anthropic</t>
        </is>
      </c>
      <c r="B6" s="8" t="inlineStr">
        <is>
          <t>Frontier (closed)</t>
        </is>
      </c>
      <c r="C6" s="9" t="n">
        <v>0.08</v>
      </c>
      <c r="D6" s="9" t="n">
        <v>0.1</v>
      </c>
      <c r="E6" s="9" t="n">
        <v>0.12</v>
      </c>
      <c r="F6" s="9" t="n">
        <v>0.15</v>
      </c>
      <c r="G6" s="9" t="n">
        <v>0.2</v>
      </c>
      <c r="H6" s="9" t="n">
        <v>0.3</v>
      </c>
      <c r="I6" s="9" t="n">
        <v>0.45</v>
      </c>
      <c r="J6" s="9" t="n">
        <v>0.7</v>
      </c>
      <c r="K6" s="9" t="n">
        <v>1.2</v>
      </c>
      <c r="L6" s="9" t="n">
        <v>1.8</v>
      </c>
      <c r="M6" s="9" t="n">
        <v>2.2</v>
      </c>
    </row>
    <row r="7">
      <c r="A7" s="7" t="inlineStr">
        <is>
          <t>Google DeepMind</t>
        </is>
      </c>
      <c r="B7" s="8" t="inlineStr">
        <is>
          <t>Frontier (closed)</t>
        </is>
      </c>
      <c r="C7" s="9" t="n">
        <v>0.8</v>
      </c>
      <c r="D7" s="9" t="n">
        <v>0.9</v>
      </c>
      <c r="E7" s="9" t="n">
        <v>1</v>
      </c>
      <c r="F7" s="9" t="n">
        <v>1.2</v>
      </c>
      <c r="G7" s="9" t="n">
        <v>1.4</v>
      </c>
      <c r="H7" s="9" t="n">
        <v>1.6</v>
      </c>
      <c r="I7" s="9" t="n">
        <v>1.9</v>
      </c>
      <c r="J7" s="9" t="n">
        <v>2.2</v>
      </c>
      <c r="K7" s="9" t="n">
        <v>2.5</v>
      </c>
      <c r="L7" s="9" t="n">
        <v>2.8</v>
      </c>
      <c r="M7" s="9" t="n">
        <v>3.2</v>
      </c>
    </row>
    <row r="8">
      <c r="A8" s="7" t="inlineStr">
        <is>
          <t>xAI</t>
        </is>
      </c>
      <c r="B8" s="8" t="inlineStr">
        <is>
          <t>Frontier (closed)</t>
        </is>
      </c>
      <c r="C8" s="9" t="n">
        <v>0.02</v>
      </c>
      <c r="D8" s="9" t="n">
        <v>0.05</v>
      </c>
      <c r="E8" s="9" t="n">
        <v>0.15</v>
      </c>
      <c r="F8" s="9" t="n">
        <v>0.2</v>
      </c>
      <c r="G8" s="9" t="n">
        <v>0.25</v>
      </c>
      <c r="H8" s="9" t="n">
        <v>0.3</v>
      </c>
      <c r="I8" s="9" t="n">
        <v>0.4</v>
      </c>
      <c r="J8" s="9" t="n">
        <v>0.6</v>
      </c>
      <c r="K8" s="9" t="n">
        <v>0.9</v>
      </c>
      <c r="L8" s="9" t="n">
        <v>1.2</v>
      </c>
      <c r="M8" s="9" t="n">
        <v>1.4</v>
      </c>
    </row>
    <row r="9">
      <c r="A9" s="14" t="inlineStr">
        <is>
          <t>Meta (Llama)</t>
        </is>
      </c>
      <c r="B9" s="15" t="inlineStr">
        <is>
          <t>Open-weight</t>
        </is>
      </c>
      <c r="C9" s="16" t="n">
        <v>1</v>
      </c>
      <c r="D9" s="16" t="n">
        <v>1.15</v>
      </c>
      <c r="E9" s="16" t="n">
        <v>1.3</v>
      </c>
      <c r="F9" s="16" t="n">
        <v>1.5</v>
      </c>
      <c r="G9" s="16" t="n">
        <v>1.7</v>
      </c>
      <c r="H9" s="16" t="n">
        <v>1.95</v>
      </c>
      <c r="I9" s="16" t="n">
        <v>2.2</v>
      </c>
      <c r="J9" s="16" t="n">
        <v>2.5</v>
      </c>
      <c r="K9" s="16" t="n">
        <v>3</v>
      </c>
      <c r="L9" s="16" t="n">
        <v>3.6</v>
      </c>
      <c r="M9" s="16" t="n">
        <v>4.2</v>
      </c>
    </row>
    <row r="10">
      <c r="A10" s="14" t="inlineStr">
        <is>
          <t>DeepSeek</t>
        </is>
      </c>
      <c r="B10" s="15" t="inlineStr">
        <is>
          <t>Open-weight</t>
        </is>
      </c>
      <c r="C10" s="16" t="n">
        <v>0.01</v>
      </c>
      <c r="D10" s="16" t="n">
        <v>0.012</v>
      </c>
      <c r="E10" s="16" t="n">
        <v>0.014</v>
      </c>
      <c r="F10" s="16" t="n">
        <v>0.016</v>
      </c>
      <c r="G10" s="16" t="n">
        <v>0.018</v>
      </c>
      <c r="H10" s="16" t="n">
        <v>0.02</v>
      </c>
      <c r="I10" s="16" t="n">
        <v>0.022</v>
      </c>
      <c r="J10" s="16" t="n">
        <v>0.024</v>
      </c>
      <c r="K10" s="16" t="n">
        <v>0.026</v>
      </c>
      <c r="L10" s="16" t="n">
        <v>0.03</v>
      </c>
      <c r="M10" s="16" t="n">
        <v>0.035</v>
      </c>
    </row>
    <row r="11">
      <c r="A11" s="14" t="inlineStr">
        <is>
          <t>Alibaba (Qwen)</t>
        </is>
      </c>
      <c r="B11" s="15" t="inlineStr">
        <is>
          <t>Open-weight</t>
        </is>
      </c>
      <c r="C11" s="16" t="n">
        <v>0.25</v>
      </c>
      <c r="D11" s="16" t="n">
        <v>0.3</v>
      </c>
      <c r="E11" s="16" t="n">
        <v>0.35</v>
      </c>
      <c r="F11" s="16" t="n">
        <v>0.4</v>
      </c>
      <c r="G11" s="16" t="n">
        <v>0.5</v>
      </c>
      <c r="H11" s="16" t="n">
        <v>0.6</v>
      </c>
      <c r="I11" s="16" t="n">
        <v>0.7</v>
      </c>
      <c r="J11" s="16" t="n">
        <v>0.85</v>
      </c>
      <c r="K11" s="16" t="n">
        <v>1</v>
      </c>
      <c r="L11" s="16" t="n">
        <v>1.2</v>
      </c>
      <c r="M11" s="16" t="n">
        <v>1.4</v>
      </c>
    </row>
    <row r="12">
      <c r="A12" s="14" t="inlineStr">
        <is>
          <t>Mistral AI</t>
        </is>
      </c>
      <c r="B12" s="15" t="inlineStr">
        <is>
          <t>Open-weight</t>
        </is>
      </c>
      <c r="C12" s="16" t="n">
        <v>0.005</v>
      </c>
      <c r="D12" s="16" t="n">
        <v>0.006</v>
      </c>
      <c r="E12" s="16" t="n">
        <v>0.008</v>
      </c>
      <c r="F12" s="16" t="n">
        <v>0.01</v>
      </c>
      <c r="G12" s="16" t="n">
        <v>0.012</v>
      </c>
      <c r="H12" s="16" t="n">
        <v>0.015</v>
      </c>
      <c r="I12" s="16" t="n">
        <v>0.018</v>
      </c>
      <c r="J12" s="16" t="n">
        <v>0.025</v>
      </c>
      <c r="K12" s="16" t="n">
        <v>0.032</v>
      </c>
      <c r="L12" s="16" t="n">
        <v>0.04</v>
      </c>
      <c r="M12" s="16" t="n">
        <v>0.05</v>
      </c>
    </row>
    <row r="13">
      <c r="A13" s="22" t="inlineStr">
        <is>
          <t>Frontier subtotal</t>
        </is>
      </c>
      <c r="B13" s="28" t="n"/>
      <c r="C13" s="23">
        <f>C5+C6+C7+C8</f>
        <v/>
      </c>
      <c r="D13" s="23">
        <f>D5+D6+D7+D8</f>
        <v/>
      </c>
      <c r="E13" s="23">
        <f>E5+E6+E7+E8</f>
        <v/>
      </c>
      <c r="F13" s="23">
        <f>F5+F6+F7+F8</f>
        <v/>
      </c>
      <c r="G13" s="23">
        <f>G5+G6+G7+G8</f>
        <v/>
      </c>
      <c r="H13" s="23">
        <f>H5+H6+H7+H8</f>
        <v/>
      </c>
      <c r="I13" s="23">
        <f>I5+I6+I7+I8</f>
        <v/>
      </c>
      <c r="J13" s="23">
        <f>J5+J6+J7+J8</f>
        <v/>
      </c>
      <c r="K13" s="23">
        <f>K5+K6+K7+K8</f>
        <v/>
      </c>
      <c r="L13" s="23">
        <f>L5+L6+L7+L8</f>
        <v/>
      </c>
      <c r="M13" s="23">
        <f>M5+M6+M7+M8</f>
        <v/>
      </c>
    </row>
    <row r="14">
      <c r="A14" s="22" t="inlineStr">
        <is>
          <t>Open-weight subtotal</t>
        </is>
      </c>
      <c r="B14" s="28" t="n"/>
      <c r="C14" s="23">
        <f>C9+C10+C11+C12</f>
        <v/>
      </c>
      <c r="D14" s="23">
        <f>D9+D10+D11+D12</f>
        <v/>
      </c>
      <c r="E14" s="23">
        <f>E9+E10+E11+E12</f>
        <v/>
      </c>
      <c r="F14" s="23">
        <f>F9+F10+F11+F12</f>
        <v/>
      </c>
      <c r="G14" s="23">
        <f>G9+G10+G11+G12</f>
        <v/>
      </c>
      <c r="H14" s="23">
        <f>H9+H10+H11+H12</f>
        <v/>
      </c>
      <c r="I14" s="23">
        <f>I9+I10+I11+I12</f>
        <v/>
      </c>
      <c r="J14" s="23">
        <f>J9+J10+J11+J12</f>
        <v/>
      </c>
      <c r="K14" s="23">
        <f>K9+K10+K11+K12</f>
        <v/>
      </c>
      <c r="L14" s="23">
        <f>L9+L10+L11+L12</f>
        <v/>
      </c>
      <c r="M14" s="23">
        <f>M9+M10+M11+M12</f>
        <v/>
      </c>
    </row>
    <row r="15">
      <c r="A15" s="22" t="inlineStr">
        <is>
          <t>TOTAL (all 8 labs)</t>
        </is>
      </c>
      <c r="B15" s="28" t="n"/>
      <c r="C15" s="23">
        <f>C5+C6+C7+C8+C9+C10+C11+C12</f>
        <v/>
      </c>
      <c r="D15" s="23">
        <f>D5+D6+D7+D8+D9+D10+D11+D12</f>
        <v/>
      </c>
      <c r="E15" s="23">
        <f>E5+E6+E7+E8+E9+E10+E11+E12</f>
        <v/>
      </c>
      <c r="F15" s="23">
        <f>F5+F6+F7+F8+F9+F10+F11+F12</f>
        <v/>
      </c>
      <c r="G15" s="23">
        <f>G5+G6+G7+G8+G9+G10+G11+G12</f>
        <v/>
      </c>
      <c r="H15" s="23">
        <f>H5+H6+H7+H8+H9+H10+H11+H12</f>
        <v/>
      </c>
      <c r="I15" s="23">
        <f>I5+I6+I7+I8+I9+I10+I11+I12</f>
        <v/>
      </c>
      <c r="J15" s="23">
        <f>J5+J6+J7+J8+J9+J10+J11+J12</f>
        <v/>
      </c>
      <c r="K15" s="23">
        <f>K5+K6+K7+K8+K9+K10+K11+K12</f>
        <v/>
      </c>
      <c r="L15" s="23">
        <f>L5+L6+L7+L8+L9+L10+L11+L12</f>
        <v/>
      </c>
      <c r="M15" s="23">
        <f>M5+M6+M7+M8+M9+M10+M11+M12</f>
        <v/>
      </c>
    </row>
    <row r="17">
      <c r="A17" s="29" t="inlineStr">
        <is>
          <t>Memo: top-10 models operational GW (jasperbernaers, 2026)</t>
        </is>
      </c>
      <c r="B17" s="30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>
        <v>7.8</v>
      </c>
      <c r="M17" s="31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Revenue (Quarterly)</t>
        </is>
      </c>
    </row>
    <row r="2">
      <c r="A2" s="2" t="inlineStr">
        <is>
          <t>Booked revenue per calendar quarter, US$B. Red bold = disclosed (Anthropic Q2'25/Q2'26; Alibaba Q2'26 AI-related product revenue; xAI Q1'26 reported). Meta: no separable model revenue. OpenAI reports net of cloud-partner costs; Anthropic gross - not perfectly comparable.</t>
        </is>
      </c>
    </row>
    <row r="4">
      <c r="A4" s="6" t="inlineStr">
        <is>
          <t>Lab</t>
        </is>
      </c>
      <c r="B4" s="6" t="inlineStr">
        <is>
          <t>Category</t>
        </is>
      </c>
      <c r="C4" s="27" t="inlineStr">
        <is>
          <t>Q1 2024</t>
        </is>
      </c>
      <c r="D4" s="27" t="inlineStr">
        <is>
          <t>Q2 2024</t>
        </is>
      </c>
      <c r="E4" s="27" t="inlineStr">
        <is>
          <t>Q3 2024</t>
        </is>
      </c>
      <c r="F4" s="27" t="inlineStr">
        <is>
          <t>Q4 2024</t>
        </is>
      </c>
      <c r="G4" s="27" t="inlineStr">
        <is>
          <t>Q1 2025</t>
        </is>
      </c>
      <c r="H4" s="27" t="inlineStr">
        <is>
          <t>Q2 2025</t>
        </is>
      </c>
      <c r="I4" s="27" t="inlineStr">
        <is>
          <t>Q3 2025</t>
        </is>
      </c>
      <c r="J4" s="27" t="inlineStr">
        <is>
          <t>Q4 2025</t>
        </is>
      </c>
      <c r="K4" s="27" t="inlineStr">
        <is>
          <t>Q1 2026</t>
        </is>
      </c>
      <c r="L4" s="27" t="inlineStr">
        <is>
          <t>Q2 2026</t>
        </is>
      </c>
      <c r="M4" s="27" t="inlineStr">
        <is>
          <t>Q3 2026 (part.)</t>
        </is>
      </c>
    </row>
    <row r="5">
      <c r="A5" s="7" t="inlineStr">
        <is>
          <t>OpenAI</t>
        </is>
      </c>
      <c r="B5" s="8" t="inlineStr">
        <is>
          <t>Frontier (closed)</t>
        </is>
      </c>
      <c r="C5" s="10" t="n">
        <v>0.6</v>
      </c>
      <c r="D5" s="10" t="n">
        <v>0.8</v>
      </c>
      <c r="E5" s="10" t="n">
        <v>1</v>
      </c>
      <c r="F5" s="10" t="n">
        <v>1.3</v>
      </c>
      <c r="G5" s="10" t="n">
        <v>2.2</v>
      </c>
      <c r="H5" s="10" t="n">
        <v>2.9</v>
      </c>
      <c r="I5" s="10" t="n">
        <v>3.6</v>
      </c>
      <c r="J5" s="10" t="n">
        <v>4.4</v>
      </c>
      <c r="K5" s="10" t="n">
        <v>5.9</v>
      </c>
      <c r="L5" s="10" t="n">
        <v>7.2</v>
      </c>
      <c r="M5" s="10" t="n">
        <v>9.5</v>
      </c>
    </row>
    <row r="6">
      <c r="A6" s="7" t="inlineStr">
        <is>
          <t>Anthropic</t>
        </is>
      </c>
      <c r="B6" s="8" t="inlineStr">
        <is>
          <t>Frontier (closed)</t>
        </is>
      </c>
      <c r="C6" s="10" t="n">
        <v>0.15</v>
      </c>
      <c r="D6" s="10" t="n">
        <v>0.2</v>
      </c>
      <c r="E6" s="10" t="n">
        <v>0.28</v>
      </c>
      <c r="F6" s="10" t="n">
        <v>0.37</v>
      </c>
      <c r="G6" s="10" t="n">
        <v>0.45</v>
      </c>
      <c r="H6" s="32" t="n">
        <v>0.79</v>
      </c>
      <c r="I6" s="10" t="n">
        <v>1.3</v>
      </c>
      <c r="J6" s="10" t="n">
        <v>2</v>
      </c>
      <c r="K6" s="10" t="n">
        <v>4.8</v>
      </c>
      <c r="L6" s="32" t="n">
        <v>11.5</v>
      </c>
      <c r="M6" s="10" t="n">
        <v>16</v>
      </c>
    </row>
    <row r="7">
      <c r="A7" s="7" t="inlineStr">
        <is>
          <t>Google DeepMind</t>
        </is>
      </c>
      <c r="B7" s="8" t="inlineStr">
        <is>
          <t>Frontier (closed)</t>
        </is>
      </c>
      <c r="C7" s="10" t="n">
        <v>0.9</v>
      </c>
      <c r="D7" s="10" t="n">
        <v>1.1</v>
      </c>
      <c r="E7" s="10" t="n">
        <v>1.4</v>
      </c>
      <c r="F7" s="10" t="n">
        <v>1.6</v>
      </c>
      <c r="G7" s="10" t="n">
        <v>2.6</v>
      </c>
      <c r="H7" s="10" t="n">
        <v>3.3</v>
      </c>
      <c r="I7" s="10" t="n">
        <v>4.1</v>
      </c>
      <c r="J7" s="10" t="n">
        <v>5</v>
      </c>
      <c r="K7" s="10" t="n">
        <v>6.2</v>
      </c>
      <c r="L7" s="10" t="n">
        <v>7.5</v>
      </c>
      <c r="M7" s="10" t="n">
        <v>8.800000000000001</v>
      </c>
    </row>
    <row r="8">
      <c r="A8" s="7" t="inlineStr">
        <is>
          <t>xAI</t>
        </is>
      </c>
      <c r="B8" s="8" t="inlineStr">
        <is>
          <t>Frontier (closed)</t>
        </is>
      </c>
      <c r="C8" s="10" t="n">
        <v>0.01</v>
      </c>
      <c r="D8" s="10" t="n">
        <v>0.02</v>
      </c>
      <c r="E8" s="10" t="n">
        <v>0.03</v>
      </c>
      <c r="F8" s="10" t="n">
        <v>0.04</v>
      </c>
      <c r="G8" s="10" t="n">
        <v>0.06</v>
      </c>
      <c r="H8" s="10" t="n">
        <v>0.09</v>
      </c>
      <c r="I8" s="10" t="n">
        <v>0.11</v>
      </c>
      <c r="J8" s="10" t="n">
        <v>0.14</v>
      </c>
      <c r="K8" s="32" t="n">
        <v>0.82</v>
      </c>
      <c r="L8" s="10" t="n">
        <v>0.45</v>
      </c>
      <c r="M8" s="10" t="n">
        <v>0.5</v>
      </c>
    </row>
    <row r="9">
      <c r="A9" s="14" t="inlineStr">
        <is>
          <t>Meta (Llama)</t>
        </is>
      </c>
      <c r="B9" s="15" t="inlineStr">
        <is>
          <t>Open-weight</t>
        </is>
      </c>
      <c r="C9" s="33" t="inlineStr">
        <is>
          <t>n/a</t>
        </is>
      </c>
      <c r="D9" s="33" t="inlineStr">
        <is>
          <t>n/a</t>
        </is>
      </c>
      <c r="E9" s="33" t="inlineStr">
        <is>
          <t>n/a</t>
        </is>
      </c>
      <c r="F9" s="33" t="inlineStr">
        <is>
          <t>n/a</t>
        </is>
      </c>
      <c r="G9" s="33" t="inlineStr">
        <is>
          <t>n/a</t>
        </is>
      </c>
      <c r="H9" s="33" t="inlineStr">
        <is>
          <t>n/a</t>
        </is>
      </c>
      <c r="I9" s="33" t="inlineStr">
        <is>
          <t>n/a</t>
        </is>
      </c>
      <c r="J9" s="33" t="inlineStr">
        <is>
          <t>n/a</t>
        </is>
      </c>
      <c r="K9" s="33" t="inlineStr">
        <is>
          <t>n/a</t>
        </is>
      </c>
      <c r="L9" s="33" t="inlineStr">
        <is>
          <t>n/a</t>
        </is>
      </c>
      <c r="M9" s="33" t="inlineStr">
        <is>
          <t>n/a</t>
        </is>
      </c>
    </row>
    <row r="10">
      <c r="A10" s="14" t="inlineStr">
        <is>
          <t>DeepSeek</t>
        </is>
      </c>
      <c r="B10" s="15" t="inlineStr">
        <is>
          <t>Open-weight</t>
        </is>
      </c>
      <c r="C10" s="18" t="n">
        <v>0.001</v>
      </c>
      <c r="D10" s="18" t="n">
        <v>0.002</v>
      </c>
      <c r="E10" s="18" t="n">
        <v>0.003</v>
      </c>
      <c r="F10" s="18" t="n">
        <v>0.004</v>
      </c>
      <c r="G10" s="18" t="n">
        <v>0.02</v>
      </c>
      <c r="H10" s="18" t="n">
        <v>0.04</v>
      </c>
      <c r="I10" s="18" t="n">
        <v>0.06</v>
      </c>
      <c r="J10" s="18" t="n">
        <v>0.08</v>
      </c>
      <c r="K10" s="18" t="n">
        <v>0.12</v>
      </c>
      <c r="L10" s="18" t="n">
        <v>0.15</v>
      </c>
      <c r="M10" s="18" t="n">
        <v>0.17</v>
      </c>
    </row>
    <row r="11">
      <c r="A11" s="14" t="inlineStr">
        <is>
          <t>Alibaba (Qwen)</t>
        </is>
      </c>
      <c r="B11" s="15" t="inlineStr">
        <is>
          <t>Open-weight</t>
        </is>
      </c>
      <c r="C11" s="18" t="n">
        <v>0.28</v>
      </c>
      <c r="D11" s="18" t="n">
        <v>0.35</v>
      </c>
      <c r="E11" s="18" t="n">
        <v>0.44</v>
      </c>
      <c r="F11" s="18" t="n">
        <v>0.55</v>
      </c>
      <c r="G11" s="18" t="n">
        <v>0.68</v>
      </c>
      <c r="H11" s="18" t="n">
        <v>0.85</v>
      </c>
      <c r="I11" s="18" t="n">
        <v>1.05</v>
      </c>
      <c r="J11" s="18" t="n">
        <v>1.25</v>
      </c>
      <c r="K11" s="18" t="n">
        <v>1.5</v>
      </c>
      <c r="L11" s="34" t="n">
        <v>1.82</v>
      </c>
      <c r="M11" s="18" t="n">
        <v>2.2</v>
      </c>
    </row>
    <row r="12">
      <c r="A12" s="14" t="inlineStr">
        <is>
          <t>Mistral AI</t>
        </is>
      </c>
      <c r="B12" s="15" t="inlineStr">
        <is>
          <t>Open-weight</t>
        </is>
      </c>
      <c r="C12" s="18" t="n">
        <v>0.004</v>
      </c>
      <c r="D12" s="18" t="n">
        <v>0.006</v>
      </c>
      <c r="E12" s="18" t="n">
        <v>0.008</v>
      </c>
      <c r="F12" s="18" t="n">
        <v>0.012</v>
      </c>
      <c r="G12" s="18" t="n">
        <v>0.02</v>
      </c>
      <c r="H12" s="18" t="n">
        <v>0.035</v>
      </c>
      <c r="I12" s="18" t="n">
        <v>0.055</v>
      </c>
      <c r="J12" s="18" t="n">
        <v>0.075</v>
      </c>
      <c r="K12" s="18" t="n">
        <v>0.11</v>
      </c>
      <c r="L12" s="18" t="n">
        <v>0.2</v>
      </c>
      <c r="M12" s="18" t="n">
        <v>0.26</v>
      </c>
    </row>
    <row r="13">
      <c r="A13" s="22" t="inlineStr">
        <is>
          <t>Frontier subtotal</t>
        </is>
      </c>
      <c r="B13" s="28" t="n"/>
      <c r="C13" s="24">
        <f>C5+C6+C7+C8</f>
        <v/>
      </c>
      <c r="D13" s="24">
        <f>D5+D6+D7+D8</f>
        <v/>
      </c>
      <c r="E13" s="24">
        <f>E5+E6+E7+E8</f>
        <v/>
      </c>
      <c r="F13" s="24">
        <f>F5+F6+F7+F8</f>
        <v/>
      </c>
      <c r="G13" s="24">
        <f>G5+G6+G7+G8</f>
        <v/>
      </c>
      <c r="H13" s="24">
        <f>H5+H6+H7+H8</f>
        <v/>
      </c>
      <c r="I13" s="24">
        <f>I5+I6+I7+I8</f>
        <v/>
      </c>
      <c r="J13" s="24">
        <f>J5+J6+J7+J8</f>
        <v/>
      </c>
      <c r="K13" s="24">
        <f>K5+K6+K7+K8</f>
        <v/>
      </c>
      <c r="L13" s="24">
        <f>L5+L6+L7+L8</f>
        <v/>
      </c>
      <c r="M13" s="24">
        <f>M5+M6+M7+M8</f>
        <v/>
      </c>
    </row>
    <row r="14">
      <c r="A14" s="22" t="inlineStr">
        <is>
          <t>Open-weight subtotal</t>
        </is>
      </c>
      <c r="B14" s="28" t="n"/>
      <c r="C14" s="24">
        <f>C10+C11+C12</f>
        <v/>
      </c>
      <c r="D14" s="24">
        <f>D10+D11+D12</f>
        <v/>
      </c>
      <c r="E14" s="24">
        <f>E10+E11+E12</f>
        <v/>
      </c>
      <c r="F14" s="24">
        <f>F10+F11+F12</f>
        <v/>
      </c>
      <c r="G14" s="24">
        <f>G10+G11+G12</f>
        <v/>
      </c>
      <c r="H14" s="24">
        <f>H10+H11+H12</f>
        <v/>
      </c>
      <c r="I14" s="24">
        <f>I10+I11+I12</f>
        <v/>
      </c>
      <c r="J14" s="24">
        <f>J10+J11+J12</f>
        <v/>
      </c>
      <c r="K14" s="24">
        <f>K10+K11+K12</f>
        <v/>
      </c>
      <c r="L14" s="24">
        <f>L10+L11+L12</f>
        <v/>
      </c>
      <c r="M14" s="24">
        <f>M10+M11+M12</f>
        <v/>
      </c>
    </row>
    <row r="15">
      <c r="A15" s="22" t="inlineStr">
        <is>
          <t>TOTAL (all 8 labs)</t>
        </is>
      </c>
      <c r="B15" s="28" t="n"/>
      <c r="C15" s="24">
        <f>C5+C6+C7+C8+C10+C11+C12</f>
        <v/>
      </c>
      <c r="D15" s="24">
        <f>D5+D6+D7+D8+D10+D11+D12</f>
        <v/>
      </c>
      <c r="E15" s="24">
        <f>E5+E6+E7+E8+E10+E11+E12</f>
        <v/>
      </c>
      <c r="F15" s="24">
        <f>F5+F6+F7+F8+F10+F11+F12</f>
        <v/>
      </c>
      <c r="G15" s="24">
        <f>G5+G6+G7+G8+G10+G11+G12</f>
        <v/>
      </c>
      <c r="H15" s="24">
        <f>H5+H6+H7+H8+H10+H11+H12</f>
        <v/>
      </c>
      <c r="I15" s="24">
        <f>I5+I6+I7+I8+I10+I11+I12</f>
        <v/>
      </c>
      <c r="J15" s="24">
        <f>J5+J6+J7+J8+J10+J11+J12</f>
        <v/>
      </c>
      <c r="K15" s="24">
        <f>K5+K6+K7+K8+K10+K11+K12</f>
        <v/>
      </c>
      <c r="L15" s="24">
        <f>L5+L6+L7+L8+L10+L11+L12</f>
        <v/>
      </c>
      <c r="M15" s="24">
        <f>M5+M6+M7+M8+M10+M11+M12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Revenue Run Rate</t>
        </is>
      </c>
    </row>
    <row r="2">
      <c r="A2" s="2" t="inlineStr">
        <is>
          <t>Annualized revenue run rate at quarter end, US$B - the metric labs quote publicly. Red bold = disclosed (OpenAI $21.5B end-25 / $25B Q1'26 / $40B Aug'26; Anthropic $9B late-25 / $47B May'26 / $65B Jul'26; Mistral $312M Dec'25 / ~$1B May'26).</t>
        </is>
      </c>
    </row>
    <row r="4">
      <c r="A4" s="6" t="inlineStr">
        <is>
          <t>Lab</t>
        </is>
      </c>
      <c r="B4" s="6" t="inlineStr">
        <is>
          <t>Category</t>
        </is>
      </c>
      <c r="C4" s="27" t="inlineStr">
        <is>
          <t>Q1 2024</t>
        </is>
      </c>
      <c r="D4" s="27" t="inlineStr">
        <is>
          <t>Q2 2024</t>
        </is>
      </c>
      <c r="E4" s="27" t="inlineStr">
        <is>
          <t>Q3 2024</t>
        </is>
      </c>
      <c r="F4" s="27" t="inlineStr">
        <is>
          <t>Q4 2024</t>
        </is>
      </c>
      <c r="G4" s="27" t="inlineStr">
        <is>
          <t>Q1 2025</t>
        </is>
      </c>
      <c r="H4" s="27" t="inlineStr">
        <is>
          <t>Q2 2025</t>
        </is>
      </c>
      <c r="I4" s="27" t="inlineStr">
        <is>
          <t>Q3 2025</t>
        </is>
      </c>
      <c r="J4" s="27" t="inlineStr">
        <is>
          <t>Q4 2025</t>
        </is>
      </c>
      <c r="K4" s="27" t="inlineStr">
        <is>
          <t>Q1 2026</t>
        </is>
      </c>
      <c r="L4" s="27" t="inlineStr">
        <is>
          <t>Q2 2026</t>
        </is>
      </c>
      <c r="M4" s="27" t="inlineStr">
        <is>
          <t>Q3 2026 (part.)</t>
        </is>
      </c>
    </row>
    <row r="5">
      <c r="A5" s="7" t="inlineStr">
        <is>
          <t>OpenAI</t>
        </is>
      </c>
      <c r="B5" s="8" t="inlineStr">
        <is>
          <t>Frontier (closed)</t>
        </is>
      </c>
      <c r="C5" s="10" t="n">
        <v>2.8</v>
      </c>
      <c r="D5" s="10" t="n">
        <v>3.4</v>
      </c>
      <c r="E5" s="10" t="n">
        <v>4.4</v>
      </c>
      <c r="F5" s="10" t="n">
        <v>5.5</v>
      </c>
      <c r="G5" s="10" t="n">
        <v>9.5</v>
      </c>
      <c r="H5" s="10" t="n">
        <v>12</v>
      </c>
      <c r="I5" s="10" t="n">
        <v>16</v>
      </c>
      <c r="J5" s="32" t="n">
        <v>21.5</v>
      </c>
      <c r="K5" s="32" t="n">
        <v>25</v>
      </c>
      <c r="L5" s="10" t="n">
        <v>31</v>
      </c>
      <c r="M5" s="32" t="n">
        <v>40</v>
      </c>
    </row>
    <row r="6">
      <c r="A6" s="7" t="inlineStr">
        <is>
          <t>Anthropic</t>
        </is>
      </c>
      <c r="B6" s="8" t="inlineStr">
        <is>
          <t>Frontier (closed)</t>
        </is>
      </c>
      <c r="C6" s="10" t="n">
        <v>0.6</v>
      </c>
      <c r="D6" s="10" t="n">
        <v>0.85</v>
      </c>
      <c r="E6" s="10" t="n">
        <v>1.2</v>
      </c>
      <c r="F6" s="10" t="n">
        <v>1.6</v>
      </c>
      <c r="G6" s="10" t="n">
        <v>2.2</v>
      </c>
      <c r="H6" s="10" t="n">
        <v>3.1</v>
      </c>
      <c r="I6" s="10" t="n">
        <v>5.5</v>
      </c>
      <c r="J6" s="32" t="n">
        <v>9</v>
      </c>
      <c r="K6" s="10" t="n">
        <v>22</v>
      </c>
      <c r="L6" s="32" t="n">
        <v>47</v>
      </c>
      <c r="M6" s="32" t="n">
        <v>65</v>
      </c>
    </row>
    <row r="7">
      <c r="A7" s="7" t="inlineStr">
        <is>
          <t>Google DeepMind</t>
        </is>
      </c>
      <c r="B7" s="8" t="inlineStr">
        <is>
          <t>Frontier (closed)</t>
        </is>
      </c>
      <c r="C7" s="10" t="n">
        <v>3.8</v>
      </c>
      <c r="D7" s="10" t="n">
        <v>4.6</v>
      </c>
      <c r="E7" s="10" t="n">
        <v>5.6</v>
      </c>
      <c r="F7" s="10" t="n">
        <v>6.8</v>
      </c>
      <c r="G7" s="10" t="n">
        <v>9</v>
      </c>
      <c r="H7" s="10" t="n">
        <v>12</v>
      </c>
      <c r="I7" s="10" t="n">
        <v>15</v>
      </c>
      <c r="J7" s="10" t="n">
        <v>18</v>
      </c>
      <c r="K7" s="10" t="n">
        <v>24</v>
      </c>
      <c r="L7" s="10" t="n">
        <v>30</v>
      </c>
      <c r="M7" s="10" t="n">
        <v>34</v>
      </c>
    </row>
    <row r="8">
      <c r="A8" s="7" t="inlineStr">
        <is>
          <t>xAI</t>
        </is>
      </c>
      <c r="B8" s="8" t="inlineStr">
        <is>
          <t>Frontier (closed)</t>
        </is>
      </c>
      <c r="C8" s="10" t="n">
        <v>0.03</v>
      </c>
      <c r="D8" s="10" t="n">
        <v>0.06</v>
      </c>
      <c r="E8" s="10" t="n">
        <v>0.1</v>
      </c>
      <c r="F8" s="10" t="n">
        <v>0.16</v>
      </c>
      <c r="G8" s="10" t="n">
        <v>0.2</v>
      </c>
      <c r="H8" s="10" t="n">
        <v>0.3</v>
      </c>
      <c r="I8" s="10" t="n">
        <v>0.4</v>
      </c>
      <c r="J8" s="10" t="n">
        <v>0.5</v>
      </c>
      <c r="K8" s="10" t="n">
        <v>1</v>
      </c>
      <c r="L8" s="10" t="n">
        <v>1.5</v>
      </c>
      <c r="M8" s="10" t="n">
        <v>1.8</v>
      </c>
    </row>
    <row r="9">
      <c r="A9" s="14" t="inlineStr">
        <is>
          <t>Meta (Llama)</t>
        </is>
      </c>
      <c r="B9" s="15" t="inlineStr">
        <is>
          <t>Open-weight</t>
        </is>
      </c>
      <c r="C9" s="33" t="inlineStr">
        <is>
          <t>n/a</t>
        </is>
      </c>
      <c r="D9" s="33" t="inlineStr">
        <is>
          <t>n/a</t>
        </is>
      </c>
      <c r="E9" s="33" t="inlineStr">
        <is>
          <t>n/a</t>
        </is>
      </c>
      <c r="F9" s="33" t="inlineStr">
        <is>
          <t>n/a</t>
        </is>
      </c>
      <c r="G9" s="33" t="inlineStr">
        <is>
          <t>n/a</t>
        </is>
      </c>
      <c r="H9" s="33" t="inlineStr">
        <is>
          <t>n/a</t>
        </is>
      </c>
      <c r="I9" s="33" t="inlineStr">
        <is>
          <t>n/a</t>
        </is>
      </c>
      <c r="J9" s="33" t="inlineStr">
        <is>
          <t>n/a</t>
        </is>
      </c>
      <c r="K9" s="33" t="inlineStr">
        <is>
          <t>n/a</t>
        </is>
      </c>
      <c r="L9" s="33" t="inlineStr">
        <is>
          <t>n/a</t>
        </is>
      </c>
      <c r="M9" s="33" t="inlineStr">
        <is>
          <t>n/a</t>
        </is>
      </c>
    </row>
    <row r="10">
      <c r="A10" s="14" t="inlineStr">
        <is>
          <t>DeepSeek</t>
        </is>
      </c>
      <c r="B10" s="15" t="inlineStr">
        <is>
          <t>Open-weight</t>
        </is>
      </c>
      <c r="C10" s="18" t="n">
        <v>0.004</v>
      </c>
      <c r="D10" s="18" t="n">
        <v>0.008</v>
      </c>
      <c r="E10" s="18" t="n">
        <v>0.012</v>
      </c>
      <c r="F10" s="18" t="n">
        <v>0.016</v>
      </c>
      <c r="G10" s="18" t="n">
        <v>0.08</v>
      </c>
      <c r="H10" s="18" t="n">
        <v>0.16</v>
      </c>
      <c r="I10" s="18" t="n">
        <v>0.24</v>
      </c>
      <c r="J10" s="18" t="n">
        <v>0.32</v>
      </c>
      <c r="K10" s="18" t="n">
        <v>0.5</v>
      </c>
      <c r="L10" s="18" t="n">
        <v>0.7</v>
      </c>
      <c r="M10" s="34" t="n">
        <v>0.8</v>
      </c>
    </row>
    <row r="11">
      <c r="A11" s="14" t="inlineStr">
        <is>
          <t>Alibaba (Qwen)</t>
        </is>
      </c>
      <c r="B11" s="15" t="inlineStr">
        <is>
          <t>Open-weight</t>
        </is>
      </c>
      <c r="C11" s="18" t="n">
        <v>1.1</v>
      </c>
      <c r="D11" s="18" t="n">
        <v>1.4</v>
      </c>
      <c r="E11" s="18" t="n">
        <v>1.8</v>
      </c>
      <c r="F11" s="18" t="n">
        <v>2.2</v>
      </c>
      <c r="G11" s="18" t="n">
        <v>2.7</v>
      </c>
      <c r="H11" s="18" t="n">
        <v>3.4</v>
      </c>
      <c r="I11" s="18" t="n">
        <v>4.2</v>
      </c>
      <c r="J11" s="18" t="n">
        <v>5</v>
      </c>
      <c r="K11" s="18" t="n">
        <v>6</v>
      </c>
      <c r="L11" s="18" t="n">
        <v>7.3</v>
      </c>
      <c r="M11" s="18" t="n">
        <v>8.800000000000001</v>
      </c>
    </row>
    <row r="12">
      <c r="A12" s="14" t="inlineStr">
        <is>
          <t>Mistral AI</t>
        </is>
      </c>
      <c r="B12" s="15" t="inlineStr">
        <is>
          <t>Open-weight</t>
        </is>
      </c>
      <c r="C12" s="18" t="n">
        <v>0.008</v>
      </c>
      <c r="D12" s="18" t="n">
        <v>0.012</v>
      </c>
      <c r="E12" s="18" t="n">
        <v>0.016</v>
      </c>
      <c r="F12" s="18" t="n">
        <v>0.02</v>
      </c>
      <c r="G12" s="18" t="n">
        <v>0.06</v>
      </c>
      <c r="H12" s="18" t="n">
        <v>0.12</v>
      </c>
      <c r="I12" s="18" t="n">
        <v>0.2</v>
      </c>
      <c r="J12" s="34" t="n">
        <v>0.312</v>
      </c>
      <c r="K12" s="18" t="n">
        <v>0.5</v>
      </c>
      <c r="L12" s="34" t="n">
        <v>1</v>
      </c>
      <c r="M12" s="18" t="n">
        <v>1.2</v>
      </c>
    </row>
    <row r="13">
      <c r="A13" s="22" t="inlineStr">
        <is>
          <t>Frontier subtotal</t>
        </is>
      </c>
      <c r="B13" s="28" t="n"/>
      <c r="C13" s="24">
        <f>C5+C6+C7+C8</f>
        <v/>
      </c>
      <c r="D13" s="24">
        <f>D5+D6+D7+D8</f>
        <v/>
      </c>
      <c r="E13" s="24">
        <f>E5+E6+E7+E8</f>
        <v/>
      </c>
      <c r="F13" s="24">
        <f>F5+F6+F7+F8</f>
        <v/>
      </c>
      <c r="G13" s="24">
        <f>G5+G6+G7+G8</f>
        <v/>
      </c>
      <c r="H13" s="24">
        <f>H5+H6+H7+H8</f>
        <v/>
      </c>
      <c r="I13" s="24">
        <f>I5+I6+I7+I8</f>
        <v/>
      </c>
      <c r="J13" s="24">
        <f>J5+J6+J7+J8</f>
        <v/>
      </c>
      <c r="K13" s="24">
        <f>K5+K6+K7+K8</f>
        <v/>
      </c>
      <c r="L13" s="24">
        <f>L5+L6+L7+L8</f>
        <v/>
      </c>
      <c r="M13" s="24">
        <f>M5+M6+M7+M8</f>
        <v/>
      </c>
    </row>
    <row r="14">
      <c r="A14" s="22" t="inlineStr">
        <is>
          <t>Open-weight subtotal</t>
        </is>
      </c>
      <c r="B14" s="28" t="n"/>
      <c r="C14" s="24">
        <f>C10+C11+C12</f>
        <v/>
      </c>
      <c r="D14" s="24">
        <f>D10+D11+D12</f>
        <v/>
      </c>
      <c r="E14" s="24">
        <f>E10+E11+E12</f>
        <v/>
      </c>
      <c r="F14" s="24">
        <f>F10+F11+F12</f>
        <v/>
      </c>
      <c r="G14" s="24">
        <f>G10+G11+G12</f>
        <v/>
      </c>
      <c r="H14" s="24">
        <f>H10+H11+H12</f>
        <v/>
      </c>
      <c r="I14" s="24">
        <f>I10+I11+I12</f>
        <v/>
      </c>
      <c r="J14" s="24">
        <f>J10+J11+J12</f>
        <v/>
      </c>
      <c r="K14" s="24">
        <f>K10+K11+K12</f>
        <v/>
      </c>
      <c r="L14" s="24">
        <f>L10+L11+L12</f>
        <v/>
      </c>
      <c r="M14" s="24">
        <f>M10+M11+M12</f>
        <v/>
      </c>
    </row>
    <row r="15">
      <c r="A15" s="22" t="inlineStr">
        <is>
          <t>TOTAL (all 8 labs)</t>
        </is>
      </c>
      <c r="B15" s="28" t="n"/>
      <c r="C15" s="24">
        <f>C5+C6+C7+C8+C10+C11+C12</f>
        <v/>
      </c>
      <c r="D15" s="24">
        <f>D5+D6+D7+D8+D10+D11+D12</f>
        <v/>
      </c>
      <c r="E15" s="24">
        <f>E5+E6+E7+E8+E10+E11+E12</f>
        <v/>
      </c>
      <c r="F15" s="24">
        <f>F5+F6+F7+F8+F10+F11+F12</f>
        <v/>
      </c>
      <c r="G15" s="24">
        <f>G5+G6+G7+G8+G10+G11+G12</f>
        <v/>
      </c>
      <c r="H15" s="24">
        <f>H5+H6+H7+H8+H10+H11+H12</f>
        <v/>
      </c>
      <c r="I15" s="24">
        <f>I5+I6+I7+I8+I10+I11+I12</f>
        <v/>
      </c>
      <c r="J15" s="24">
        <f>J5+J6+J7+J8+J10+J11+J12</f>
        <v/>
      </c>
      <c r="K15" s="24">
        <f>K5+K6+K7+K8+K10+K11+K12</f>
        <v/>
      </c>
      <c r="L15" s="24">
        <f>L5+L6+L7+L8+L10+L11+L12</f>
        <v/>
      </c>
      <c r="M15" s="24">
        <f>M5+M6+M7+M8+M10+M11+M12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Compute Cost</t>
        </is>
      </c>
    </row>
    <row r="2">
      <c r="A2" s="2" t="inlineStr">
        <is>
          <t>Estimated quarterly compute cost = operational GW x annualized TCO ($8.5B/GW/yr, Epoch AI) / 4. Formula-linked to the GW Capacity sheet. Bottom: industry build-capex-per-GW benchmark and reported lab cost datapoints.</t>
        </is>
      </c>
    </row>
    <row r="3">
      <c r="A3" s="35" t="inlineStr">
        <is>
          <t>TCO assumption ($B per GW per year):</t>
        </is>
      </c>
      <c r="C3" s="36" t="n">
        <v>8.5</v>
      </c>
    </row>
    <row r="5">
      <c r="A5" s="6" t="inlineStr">
        <is>
          <t>Lab</t>
        </is>
      </c>
      <c r="B5" s="6" t="inlineStr">
        <is>
          <t>Category</t>
        </is>
      </c>
      <c r="C5" s="27" t="inlineStr">
        <is>
          <t>Q1 2024</t>
        </is>
      </c>
      <c r="D5" s="27" t="inlineStr">
        <is>
          <t>Q2 2024</t>
        </is>
      </c>
      <c r="E5" s="27" t="inlineStr">
        <is>
          <t>Q3 2024</t>
        </is>
      </c>
      <c r="F5" s="27" t="inlineStr">
        <is>
          <t>Q4 2024</t>
        </is>
      </c>
      <c r="G5" s="27" t="inlineStr">
        <is>
          <t>Q1 2025</t>
        </is>
      </c>
      <c r="H5" s="27" t="inlineStr">
        <is>
          <t>Q2 2025</t>
        </is>
      </c>
      <c r="I5" s="27" t="inlineStr">
        <is>
          <t>Q3 2025</t>
        </is>
      </c>
      <c r="J5" s="27" t="inlineStr">
        <is>
          <t>Q4 2025</t>
        </is>
      </c>
      <c r="K5" s="27" t="inlineStr">
        <is>
          <t>Q1 2026</t>
        </is>
      </c>
      <c r="L5" s="27" t="inlineStr">
        <is>
          <t>Q2 2026</t>
        </is>
      </c>
      <c r="M5" s="27" t="inlineStr">
        <is>
          <t>Q3 2026 (part.)</t>
        </is>
      </c>
    </row>
    <row r="6">
      <c r="A6" s="7" t="inlineStr">
        <is>
          <t>OpenAI</t>
        </is>
      </c>
      <c r="B6" s="8" t="inlineStr">
        <is>
          <t>Frontier (closed)</t>
        </is>
      </c>
      <c r="C6" s="10">
        <f>'GW Capacity'!C5*$C$3/4</f>
        <v/>
      </c>
      <c r="D6" s="10">
        <f>'GW Capacity'!D5*$C$3/4</f>
        <v/>
      </c>
      <c r="E6" s="10">
        <f>'GW Capacity'!E5*$C$3/4</f>
        <v/>
      </c>
      <c r="F6" s="10">
        <f>'GW Capacity'!F5*$C$3/4</f>
        <v/>
      </c>
      <c r="G6" s="10">
        <f>'GW Capacity'!G5*$C$3/4</f>
        <v/>
      </c>
      <c r="H6" s="10">
        <f>'GW Capacity'!H5*$C$3/4</f>
        <v/>
      </c>
      <c r="I6" s="10">
        <f>'GW Capacity'!I5*$C$3/4</f>
        <v/>
      </c>
      <c r="J6" s="10">
        <f>'GW Capacity'!J5*$C$3/4</f>
        <v/>
      </c>
      <c r="K6" s="10">
        <f>'GW Capacity'!K5*$C$3/4</f>
        <v/>
      </c>
      <c r="L6" s="10">
        <f>'GW Capacity'!L5*$C$3/4</f>
        <v/>
      </c>
      <c r="M6" s="10">
        <f>'GW Capacity'!M5*$C$3/4</f>
        <v/>
      </c>
    </row>
    <row r="7">
      <c r="A7" s="7" t="inlineStr">
        <is>
          <t>Anthropic</t>
        </is>
      </c>
      <c r="B7" s="8" t="inlineStr">
        <is>
          <t>Frontier (closed)</t>
        </is>
      </c>
      <c r="C7" s="10">
        <f>'GW Capacity'!C6*$C$3/4</f>
        <v/>
      </c>
      <c r="D7" s="10">
        <f>'GW Capacity'!D6*$C$3/4</f>
        <v/>
      </c>
      <c r="E7" s="10">
        <f>'GW Capacity'!E6*$C$3/4</f>
        <v/>
      </c>
      <c r="F7" s="10">
        <f>'GW Capacity'!F6*$C$3/4</f>
        <v/>
      </c>
      <c r="G7" s="10">
        <f>'GW Capacity'!G6*$C$3/4</f>
        <v/>
      </c>
      <c r="H7" s="10">
        <f>'GW Capacity'!H6*$C$3/4</f>
        <v/>
      </c>
      <c r="I7" s="10">
        <f>'GW Capacity'!I6*$C$3/4</f>
        <v/>
      </c>
      <c r="J7" s="10">
        <f>'GW Capacity'!J6*$C$3/4</f>
        <v/>
      </c>
      <c r="K7" s="10">
        <f>'GW Capacity'!K6*$C$3/4</f>
        <v/>
      </c>
      <c r="L7" s="10">
        <f>'GW Capacity'!L6*$C$3/4</f>
        <v/>
      </c>
      <c r="M7" s="10">
        <f>'GW Capacity'!M6*$C$3/4</f>
        <v/>
      </c>
    </row>
    <row r="8">
      <c r="A8" s="7" t="inlineStr">
        <is>
          <t>Google DeepMind</t>
        </is>
      </c>
      <c r="B8" s="8" t="inlineStr">
        <is>
          <t>Frontier (closed)</t>
        </is>
      </c>
      <c r="C8" s="10">
        <f>'GW Capacity'!C7*$C$3/4</f>
        <v/>
      </c>
      <c r="D8" s="10">
        <f>'GW Capacity'!D7*$C$3/4</f>
        <v/>
      </c>
      <c r="E8" s="10">
        <f>'GW Capacity'!E7*$C$3/4</f>
        <v/>
      </c>
      <c r="F8" s="10">
        <f>'GW Capacity'!F7*$C$3/4</f>
        <v/>
      </c>
      <c r="G8" s="10">
        <f>'GW Capacity'!G7*$C$3/4</f>
        <v/>
      </c>
      <c r="H8" s="10">
        <f>'GW Capacity'!H7*$C$3/4</f>
        <v/>
      </c>
      <c r="I8" s="10">
        <f>'GW Capacity'!I7*$C$3/4</f>
        <v/>
      </c>
      <c r="J8" s="10">
        <f>'GW Capacity'!J7*$C$3/4</f>
        <v/>
      </c>
      <c r="K8" s="10">
        <f>'GW Capacity'!K7*$C$3/4</f>
        <v/>
      </c>
      <c r="L8" s="10">
        <f>'GW Capacity'!L7*$C$3/4</f>
        <v/>
      </c>
      <c r="M8" s="10">
        <f>'GW Capacity'!M7*$C$3/4</f>
        <v/>
      </c>
    </row>
    <row r="9">
      <c r="A9" s="7" t="inlineStr">
        <is>
          <t>xAI</t>
        </is>
      </c>
      <c r="B9" s="8" t="inlineStr">
        <is>
          <t>Frontier (closed)</t>
        </is>
      </c>
      <c r="C9" s="10">
        <f>'GW Capacity'!C8*$C$3/4</f>
        <v/>
      </c>
      <c r="D9" s="10">
        <f>'GW Capacity'!D8*$C$3/4</f>
        <v/>
      </c>
      <c r="E9" s="10">
        <f>'GW Capacity'!E8*$C$3/4</f>
        <v/>
      </c>
      <c r="F9" s="10">
        <f>'GW Capacity'!F8*$C$3/4</f>
        <v/>
      </c>
      <c r="G9" s="10">
        <f>'GW Capacity'!G8*$C$3/4</f>
        <v/>
      </c>
      <c r="H9" s="10">
        <f>'GW Capacity'!H8*$C$3/4</f>
        <v/>
      </c>
      <c r="I9" s="10">
        <f>'GW Capacity'!I8*$C$3/4</f>
        <v/>
      </c>
      <c r="J9" s="10">
        <f>'GW Capacity'!J8*$C$3/4</f>
        <v/>
      </c>
      <c r="K9" s="10">
        <f>'GW Capacity'!K8*$C$3/4</f>
        <v/>
      </c>
      <c r="L9" s="10">
        <f>'GW Capacity'!L8*$C$3/4</f>
        <v/>
      </c>
      <c r="M9" s="10">
        <f>'GW Capacity'!M8*$C$3/4</f>
        <v/>
      </c>
    </row>
    <row r="10">
      <c r="A10" s="14" t="inlineStr">
        <is>
          <t>Meta (Llama)</t>
        </is>
      </c>
      <c r="B10" s="15" t="inlineStr">
        <is>
          <t>Open-weight</t>
        </is>
      </c>
      <c r="C10" s="18">
        <f>'GW Capacity'!C9*$C$3/4</f>
        <v/>
      </c>
      <c r="D10" s="18">
        <f>'GW Capacity'!D9*$C$3/4</f>
        <v/>
      </c>
      <c r="E10" s="18">
        <f>'GW Capacity'!E9*$C$3/4</f>
        <v/>
      </c>
      <c r="F10" s="18">
        <f>'GW Capacity'!F9*$C$3/4</f>
        <v/>
      </c>
      <c r="G10" s="18">
        <f>'GW Capacity'!G9*$C$3/4</f>
        <v/>
      </c>
      <c r="H10" s="18">
        <f>'GW Capacity'!H9*$C$3/4</f>
        <v/>
      </c>
      <c r="I10" s="18">
        <f>'GW Capacity'!I9*$C$3/4</f>
        <v/>
      </c>
      <c r="J10" s="18">
        <f>'GW Capacity'!J9*$C$3/4</f>
        <v/>
      </c>
      <c r="K10" s="18">
        <f>'GW Capacity'!K9*$C$3/4</f>
        <v/>
      </c>
      <c r="L10" s="18">
        <f>'GW Capacity'!L9*$C$3/4</f>
        <v/>
      </c>
      <c r="M10" s="18">
        <f>'GW Capacity'!M9*$C$3/4</f>
        <v/>
      </c>
    </row>
    <row r="11">
      <c r="A11" s="14" t="inlineStr">
        <is>
          <t>DeepSeek</t>
        </is>
      </c>
      <c r="B11" s="15" t="inlineStr">
        <is>
          <t>Open-weight</t>
        </is>
      </c>
      <c r="C11" s="18">
        <f>'GW Capacity'!C10*$C$3/4</f>
        <v/>
      </c>
      <c r="D11" s="18">
        <f>'GW Capacity'!D10*$C$3/4</f>
        <v/>
      </c>
      <c r="E11" s="18">
        <f>'GW Capacity'!E10*$C$3/4</f>
        <v/>
      </c>
      <c r="F11" s="18">
        <f>'GW Capacity'!F10*$C$3/4</f>
        <v/>
      </c>
      <c r="G11" s="18">
        <f>'GW Capacity'!G10*$C$3/4</f>
        <v/>
      </c>
      <c r="H11" s="18">
        <f>'GW Capacity'!H10*$C$3/4</f>
        <v/>
      </c>
      <c r="I11" s="18">
        <f>'GW Capacity'!I10*$C$3/4</f>
        <v/>
      </c>
      <c r="J11" s="18">
        <f>'GW Capacity'!J10*$C$3/4</f>
        <v/>
      </c>
      <c r="K11" s="18">
        <f>'GW Capacity'!K10*$C$3/4</f>
        <v/>
      </c>
      <c r="L11" s="18">
        <f>'GW Capacity'!L10*$C$3/4</f>
        <v/>
      </c>
      <c r="M11" s="18">
        <f>'GW Capacity'!M10*$C$3/4</f>
        <v/>
      </c>
    </row>
    <row r="12">
      <c r="A12" s="14" t="inlineStr">
        <is>
          <t>Alibaba (Qwen)</t>
        </is>
      </c>
      <c r="B12" s="15" t="inlineStr">
        <is>
          <t>Open-weight</t>
        </is>
      </c>
      <c r="C12" s="18">
        <f>'GW Capacity'!C11*$C$3/4</f>
        <v/>
      </c>
      <c r="D12" s="18">
        <f>'GW Capacity'!D11*$C$3/4</f>
        <v/>
      </c>
      <c r="E12" s="18">
        <f>'GW Capacity'!E11*$C$3/4</f>
        <v/>
      </c>
      <c r="F12" s="18">
        <f>'GW Capacity'!F11*$C$3/4</f>
        <v/>
      </c>
      <c r="G12" s="18">
        <f>'GW Capacity'!G11*$C$3/4</f>
        <v/>
      </c>
      <c r="H12" s="18">
        <f>'GW Capacity'!H11*$C$3/4</f>
        <v/>
      </c>
      <c r="I12" s="18">
        <f>'GW Capacity'!I11*$C$3/4</f>
        <v/>
      </c>
      <c r="J12" s="18">
        <f>'GW Capacity'!J11*$C$3/4</f>
        <v/>
      </c>
      <c r="K12" s="18">
        <f>'GW Capacity'!K11*$C$3/4</f>
        <v/>
      </c>
      <c r="L12" s="18">
        <f>'GW Capacity'!L11*$C$3/4</f>
        <v/>
      </c>
      <c r="M12" s="18">
        <f>'GW Capacity'!M11*$C$3/4</f>
        <v/>
      </c>
    </row>
    <row r="13">
      <c r="A13" s="14" t="inlineStr">
        <is>
          <t>Mistral AI</t>
        </is>
      </c>
      <c r="B13" s="15" t="inlineStr">
        <is>
          <t>Open-weight</t>
        </is>
      </c>
      <c r="C13" s="18">
        <f>'GW Capacity'!C12*$C$3/4</f>
        <v/>
      </c>
      <c r="D13" s="18">
        <f>'GW Capacity'!D12*$C$3/4</f>
        <v/>
      </c>
      <c r="E13" s="18">
        <f>'GW Capacity'!E12*$C$3/4</f>
        <v/>
      </c>
      <c r="F13" s="18">
        <f>'GW Capacity'!F12*$C$3/4</f>
        <v/>
      </c>
      <c r="G13" s="18">
        <f>'GW Capacity'!G12*$C$3/4</f>
        <v/>
      </c>
      <c r="H13" s="18">
        <f>'GW Capacity'!H12*$C$3/4</f>
        <v/>
      </c>
      <c r="I13" s="18">
        <f>'GW Capacity'!I12*$C$3/4</f>
        <v/>
      </c>
      <c r="J13" s="18">
        <f>'GW Capacity'!J12*$C$3/4</f>
        <v/>
      </c>
      <c r="K13" s="18">
        <f>'GW Capacity'!K12*$C$3/4</f>
        <v/>
      </c>
      <c r="L13" s="18">
        <f>'GW Capacity'!L12*$C$3/4</f>
        <v/>
      </c>
      <c r="M13" s="18">
        <f>'GW Capacity'!M12*$C$3/4</f>
        <v/>
      </c>
    </row>
    <row r="14">
      <c r="A14" s="22" t="inlineStr">
        <is>
          <t>Frontier subtotal</t>
        </is>
      </c>
      <c r="B14" s="28" t="n"/>
      <c r="C14" s="24">
        <f>C6+C7+C8+C9</f>
        <v/>
      </c>
      <c r="D14" s="24">
        <f>D6+D7+D8+D9</f>
        <v/>
      </c>
      <c r="E14" s="24">
        <f>E6+E7+E8+E9</f>
        <v/>
      </c>
      <c r="F14" s="24">
        <f>F6+F7+F8+F9</f>
        <v/>
      </c>
      <c r="G14" s="24">
        <f>G6+G7+G8+G9</f>
        <v/>
      </c>
      <c r="H14" s="24">
        <f>H6+H7+H8+H9</f>
        <v/>
      </c>
      <c r="I14" s="24">
        <f>I6+I7+I8+I9</f>
        <v/>
      </c>
      <c r="J14" s="24">
        <f>J6+J7+J8+J9</f>
        <v/>
      </c>
      <c r="K14" s="24">
        <f>K6+K7+K8+K9</f>
        <v/>
      </c>
      <c r="L14" s="24">
        <f>L6+L7+L8+L9</f>
        <v/>
      </c>
      <c r="M14" s="24">
        <f>M6+M7+M8+M9</f>
        <v/>
      </c>
    </row>
    <row r="15">
      <c r="A15" s="22" t="inlineStr">
        <is>
          <t>Open-weight subtotal</t>
        </is>
      </c>
      <c r="B15" s="28" t="n"/>
      <c r="C15" s="24">
        <f>C10+C11+C12+C13</f>
        <v/>
      </c>
      <c r="D15" s="24">
        <f>D10+D11+D12+D13</f>
        <v/>
      </c>
      <c r="E15" s="24">
        <f>E10+E11+E12+E13</f>
        <v/>
      </c>
      <c r="F15" s="24">
        <f>F10+F11+F12+F13</f>
        <v/>
      </c>
      <c r="G15" s="24">
        <f>G10+G11+G12+G13</f>
        <v/>
      </c>
      <c r="H15" s="24">
        <f>H10+H11+H12+H13</f>
        <v/>
      </c>
      <c r="I15" s="24">
        <f>I10+I11+I12+I13</f>
        <v/>
      </c>
      <c r="J15" s="24">
        <f>J10+J11+J12+J13</f>
        <v/>
      </c>
      <c r="K15" s="24">
        <f>K10+K11+K12+K13</f>
        <v/>
      </c>
      <c r="L15" s="24">
        <f>L10+L11+L12+L13</f>
        <v/>
      </c>
      <c r="M15" s="24">
        <f>M10+M11+M12+M13</f>
        <v/>
      </c>
    </row>
    <row r="16">
      <c r="A16" s="22" t="inlineStr">
        <is>
          <t>TOTAL (all 8 labs)</t>
        </is>
      </c>
      <c r="B16" s="28" t="n"/>
      <c r="C16" s="24">
        <f>C6+C7+C8+C9+C10+C11+C12+C13</f>
        <v/>
      </c>
      <c r="D16" s="24">
        <f>D6+D7+D8+D9+D10+D11+D12+D13</f>
        <v/>
      </c>
      <c r="E16" s="24">
        <f>E6+E7+E8+E9+E10+E11+E12+E13</f>
        <v/>
      </c>
      <c r="F16" s="24">
        <f>F6+F7+F8+F9+F10+F11+F12+F13</f>
        <v/>
      </c>
      <c r="G16" s="24">
        <f>G6+G7+G8+G9+G10+G11+G12+G13</f>
        <v/>
      </c>
      <c r="H16" s="24">
        <f>H6+H7+H8+H9+H10+H11+H12+H13</f>
        <v/>
      </c>
      <c r="I16" s="24">
        <f>I6+I7+I8+I9+I10+I11+I12+I13</f>
        <v/>
      </c>
      <c r="J16" s="24">
        <f>J6+J7+J8+J9+J10+J11+J12+J13</f>
        <v/>
      </c>
      <c r="K16" s="24">
        <f>K6+K7+K8+K9+K10+K11+K12+K13</f>
        <v/>
      </c>
      <c r="L16" s="24">
        <f>L6+L7+L8+L9+L10+L11+L12+L13</f>
        <v/>
      </c>
      <c r="M16" s="24">
        <f>M6+M7+M8+M9+M10+M11+M12+M13</f>
        <v/>
      </c>
    </row>
    <row r="18">
      <c r="A18" s="29" t="inlineStr">
        <is>
          <t>Industry build capex per GW ($B/GW, all-in, by GPU generation)</t>
        </is>
      </c>
      <c r="B18" s="30" t="n"/>
      <c r="C18" s="37" t="n">
        <v>32</v>
      </c>
      <c r="D18" s="37" t="n">
        <v>32</v>
      </c>
      <c r="E18" s="37" t="n">
        <v>33</v>
      </c>
      <c r="F18" s="37" t="n">
        <v>34</v>
      </c>
      <c r="G18" s="37" t="n">
        <v>35</v>
      </c>
      <c r="H18" s="37" t="n">
        <v>36</v>
      </c>
      <c r="I18" s="37" t="n">
        <v>38</v>
      </c>
      <c r="J18" s="37" t="n">
        <v>40.5</v>
      </c>
      <c r="K18" s="37" t="n">
        <v>42</v>
      </c>
      <c r="L18" s="37" t="n">
        <v>45</v>
      </c>
      <c r="M18" s="37" t="n">
        <v>47</v>
      </c>
    </row>
    <row r="20">
      <c r="A20" s="38" t="inlineStr">
        <is>
          <t>Reported cost datapoints (calibration)</t>
        </is>
      </c>
    </row>
    <row r="21">
      <c r="A21" s="39" t="inlineStr">
        <is>
          <t>- OpenAI: 2025 operating loss $20.9B on $13.07B revenue; ~$17B/yr cash burn in 2026; $1.4T+ long-term datacenter commitments.</t>
        </is>
      </c>
    </row>
    <row r="22">
      <c r="A22" s="39" t="inlineStr">
        <is>
          <t>- xAI: ~$1B/month infrastructure + training burn; Q1 2026 operating loss $2.47B on $818M revenue.</t>
        </is>
      </c>
    </row>
    <row r="23">
      <c r="A23" s="39" t="inlineStr">
        <is>
          <t>- Anthropic: positive ADJUSTED operating income in Q2 2026 - compute cost ran below $11.5B quarterly revenue.</t>
        </is>
      </c>
    </row>
    <row r="24">
      <c r="A24" s="39" t="inlineStr">
        <is>
          <t>- Meta: 2026 company-wide capex guidance $130-145B (AI-driven); JVs (BlackRock 80/20 El Paso, Blue Owl Louisiana) keep part off balance sheet.</t>
        </is>
      </c>
    </row>
    <row r="25">
      <c r="A25" s="39" t="inlineStr">
        <is>
          <t>- Alibaba: quarterly capex $9.975B (Jun 2026 quarter, +75% YoY), mostly AI infrastructure.</t>
        </is>
      </c>
    </row>
    <row r="26">
      <c r="A26" s="39" t="inlineStr">
        <is>
          <t>- Benchmarks: $38B upfront capex/GW (Epoch, GB200-class) rising to ~$47B/GW (Vera Rubin, Bernstein/Foxconn); $0.9B/GW/yr opex; ~$31B/GW/yr inference revenue needed to break even (YK Research).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Revenue &amp; Cost per GW</t>
        </is>
      </c>
    </row>
    <row r="2">
      <c r="A2" s="2" t="inlineStr">
        <is>
          <t>Annualized run-rate revenue per operational GW vs annualized cost per GW (US$B per GW per year). Formula-linked. Break-even benchmark: ~$31B/yr revenue per GW (YK Research, base case). Cost per GW uses the flat $8.5B/GW/yr TCO benchmark.</t>
        </is>
      </c>
    </row>
    <row r="3">
      <c r="A3" s="3" t="inlineStr">
        <is>
          <t>REVENUE PER GW ($B ARR / operational GW)</t>
        </is>
      </c>
    </row>
    <row r="4">
      <c r="A4" s="6" t="inlineStr">
        <is>
          <t>Lab</t>
        </is>
      </c>
      <c r="B4" s="6" t="inlineStr">
        <is>
          <t>Category</t>
        </is>
      </c>
      <c r="C4" s="27" t="inlineStr">
        <is>
          <t>Q1 2024</t>
        </is>
      </c>
      <c r="D4" s="27" t="inlineStr">
        <is>
          <t>Q2 2024</t>
        </is>
      </c>
      <c r="E4" s="27" t="inlineStr">
        <is>
          <t>Q3 2024</t>
        </is>
      </c>
      <c r="F4" s="27" t="inlineStr">
        <is>
          <t>Q4 2024</t>
        </is>
      </c>
      <c r="G4" s="27" t="inlineStr">
        <is>
          <t>Q1 2025</t>
        </is>
      </c>
      <c r="H4" s="27" t="inlineStr">
        <is>
          <t>Q2 2025</t>
        </is>
      </c>
      <c r="I4" s="27" t="inlineStr">
        <is>
          <t>Q3 2025</t>
        </is>
      </c>
      <c r="J4" s="27" t="inlineStr">
        <is>
          <t>Q4 2025</t>
        </is>
      </c>
      <c r="K4" s="27" t="inlineStr">
        <is>
          <t>Q1 2026</t>
        </is>
      </c>
      <c r="L4" s="27" t="inlineStr">
        <is>
          <t>Q2 2026</t>
        </is>
      </c>
      <c r="M4" s="27" t="inlineStr">
        <is>
          <t>Q3 2026 (part.)</t>
        </is>
      </c>
    </row>
    <row r="5">
      <c r="A5" s="7" t="inlineStr">
        <is>
          <t>OpenAI</t>
        </is>
      </c>
      <c r="B5" s="8" t="inlineStr">
        <is>
          <t>Frontier (closed)</t>
        </is>
      </c>
      <c r="C5" s="11">
        <f>'Revenue Run Rate'!C5/'GW Capacity'!C5</f>
        <v/>
      </c>
      <c r="D5" s="11">
        <f>'Revenue Run Rate'!D5/'GW Capacity'!D5</f>
        <v/>
      </c>
      <c r="E5" s="11">
        <f>'Revenue Run Rate'!E5/'GW Capacity'!E5</f>
        <v/>
      </c>
      <c r="F5" s="11">
        <f>'Revenue Run Rate'!F5/'GW Capacity'!F5</f>
        <v/>
      </c>
      <c r="G5" s="11">
        <f>'Revenue Run Rate'!G5/'GW Capacity'!G5</f>
        <v/>
      </c>
      <c r="H5" s="11">
        <f>'Revenue Run Rate'!H5/'GW Capacity'!H5</f>
        <v/>
      </c>
      <c r="I5" s="11">
        <f>'Revenue Run Rate'!I5/'GW Capacity'!I5</f>
        <v/>
      </c>
      <c r="J5" s="11">
        <f>'Revenue Run Rate'!J5/'GW Capacity'!J5</f>
        <v/>
      </c>
      <c r="K5" s="11">
        <f>'Revenue Run Rate'!K5/'GW Capacity'!K5</f>
        <v/>
      </c>
      <c r="L5" s="11">
        <f>'Revenue Run Rate'!L5/'GW Capacity'!L5</f>
        <v/>
      </c>
      <c r="M5" s="11">
        <f>'Revenue Run Rate'!M5/'GW Capacity'!M5</f>
        <v/>
      </c>
    </row>
    <row r="6">
      <c r="A6" s="7" t="inlineStr">
        <is>
          <t>Anthropic</t>
        </is>
      </c>
      <c r="B6" s="8" t="inlineStr">
        <is>
          <t>Frontier (closed)</t>
        </is>
      </c>
      <c r="C6" s="11">
        <f>'Revenue Run Rate'!C6/'GW Capacity'!C6</f>
        <v/>
      </c>
      <c r="D6" s="11">
        <f>'Revenue Run Rate'!D6/'GW Capacity'!D6</f>
        <v/>
      </c>
      <c r="E6" s="11">
        <f>'Revenue Run Rate'!E6/'GW Capacity'!E6</f>
        <v/>
      </c>
      <c r="F6" s="11">
        <f>'Revenue Run Rate'!F6/'GW Capacity'!F6</f>
        <v/>
      </c>
      <c r="G6" s="11">
        <f>'Revenue Run Rate'!G6/'GW Capacity'!G6</f>
        <v/>
      </c>
      <c r="H6" s="11">
        <f>'Revenue Run Rate'!H6/'GW Capacity'!H6</f>
        <v/>
      </c>
      <c r="I6" s="11">
        <f>'Revenue Run Rate'!I6/'GW Capacity'!I6</f>
        <v/>
      </c>
      <c r="J6" s="11">
        <f>'Revenue Run Rate'!J6/'GW Capacity'!J6</f>
        <v/>
      </c>
      <c r="K6" s="11">
        <f>'Revenue Run Rate'!K6/'GW Capacity'!K6</f>
        <v/>
      </c>
      <c r="L6" s="11">
        <f>'Revenue Run Rate'!L6/'GW Capacity'!L6</f>
        <v/>
      </c>
      <c r="M6" s="11">
        <f>'Revenue Run Rate'!M6/'GW Capacity'!M6</f>
        <v/>
      </c>
    </row>
    <row r="7">
      <c r="A7" s="7" t="inlineStr">
        <is>
          <t>Google DeepMind</t>
        </is>
      </c>
      <c r="B7" s="8" t="inlineStr">
        <is>
          <t>Frontier (closed)</t>
        </is>
      </c>
      <c r="C7" s="11">
        <f>'Revenue Run Rate'!C7/'GW Capacity'!C7</f>
        <v/>
      </c>
      <c r="D7" s="11">
        <f>'Revenue Run Rate'!D7/'GW Capacity'!D7</f>
        <v/>
      </c>
      <c r="E7" s="11">
        <f>'Revenue Run Rate'!E7/'GW Capacity'!E7</f>
        <v/>
      </c>
      <c r="F7" s="11">
        <f>'Revenue Run Rate'!F7/'GW Capacity'!F7</f>
        <v/>
      </c>
      <c r="G7" s="11">
        <f>'Revenue Run Rate'!G7/'GW Capacity'!G7</f>
        <v/>
      </c>
      <c r="H7" s="11">
        <f>'Revenue Run Rate'!H7/'GW Capacity'!H7</f>
        <v/>
      </c>
      <c r="I7" s="11">
        <f>'Revenue Run Rate'!I7/'GW Capacity'!I7</f>
        <v/>
      </c>
      <c r="J7" s="11">
        <f>'Revenue Run Rate'!J7/'GW Capacity'!J7</f>
        <v/>
      </c>
      <c r="K7" s="11">
        <f>'Revenue Run Rate'!K7/'GW Capacity'!K7</f>
        <v/>
      </c>
      <c r="L7" s="11">
        <f>'Revenue Run Rate'!L7/'GW Capacity'!L7</f>
        <v/>
      </c>
      <c r="M7" s="11">
        <f>'Revenue Run Rate'!M7/'GW Capacity'!M7</f>
        <v/>
      </c>
    </row>
    <row r="8">
      <c r="A8" s="7" t="inlineStr">
        <is>
          <t>xAI</t>
        </is>
      </c>
      <c r="B8" s="8" t="inlineStr">
        <is>
          <t>Frontier (closed)</t>
        </is>
      </c>
      <c r="C8" s="11">
        <f>'Revenue Run Rate'!C8/'GW Capacity'!C8</f>
        <v/>
      </c>
      <c r="D8" s="11">
        <f>'Revenue Run Rate'!D8/'GW Capacity'!D8</f>
        <v/>
      </c>
      <c r="E8" s="11">
        <f>'Revenue Run Rate'!E8/'GW Capacity'!E8</f>
        <v/>
      </c>
      <c r="F8" s="11">
        <f>'Revenue Run Rate'!F8/'GW Capacity'!F8</f>
        <v/>
      </c>
      <c r="G8" s="11">
        <f>'Revenue Run Rate'!G8/'GW Capacity'!G8</f>
        <v/>
      </c>
      <c r="H8" s="11">
        <f>'Revenue Run Rate'!H8/'GW Capacity'!H8</f>
        <v/>
      </c>
      <c r="I8" s="11">
        <f>'Revenue Run Rate'!I8/'GW Capacity'!I8</f>
        <v/>
      </c>
      <c r="J8" s="11">
        <f>'Revenue Run Rate'!J8/'GW Capacity'!J8</f>
        <v/>
      </c>
      <c r="K8" s="11">
        <f>'Revenue Run Rate'!K8/'GW Capacity'!K8</f>
        <v/>
      </c>
      <c r="L8" s="11">
        <f>'Revenue Run Rate'!L8/'GW Capacity'!L8</f>
        <v/>
      </c>
      <c r="M8" s="11">
        <f>'Revenue Run Rate'!M8/'GW Capacity'!M8</f>
        <v/>
      </c>
    </row>
    <row r="9">
      <c r="A9" s="14" t="inlineStr">
        <is>
          <t>Meta (Llama)</t>
        </is>
      </c>
      <c r="B9" s="15" t="inlineStr">
        <is>
          <t>Open-weight</t>
        </is>
      </c>
      <c r="C9" s="33" t="inlineStr">
        <is>
          <t>n/a</t>
        </is>
      </c>
      <c r="D9" s="33" t="inlineStr">
        <is>
          <t>n/a</t>
        </is>
      </c>
      <c r="E9" s="33" t="inlineStr">
        <is>
          <t>n/a</t>
        </is>
      </c>
      <c r="F9" s="33" t="inlineStr">
        <is>
          <t>n/a</t>
        </is>
      </c>
      <c r="G9" s="33" t="inlineStr">
        <is>
          <t>n/a</t>
        </is>
      </c>
      <c r="H9" s="33" t="inlineStr">
        <is>
          <t>n/a</t>
        </is>
      </c>
      <c r="I9" s="33" t="inlineStr">
        <is>
          <t>n/a</t>
        </is>
      </c>
      <c r="J9" s="33" t="inlineStr">
        <is>
          <t>n/a</t>
        </is>
      </c>
      <c r="K9" s="33" t="inlineStr">
        <is>
          <t>n/a</t>
        </is>
      </c>
      <c r="L9" s="33" t="inlineStr">
        <is>
          <t>n/a</t>
        </is>
      </c>
      <c r="M9" s="33" t="inlineStr">
        <is>
          <t>n/a</t>
        </is>
      </c>
    </row>
    <row r="10">
      <c r="A10" s="14" t="inlineStr">
        <is>
          <t>DeepSeek</t>
        </is>
      </c>
      <c r="B10" s="15" t="inlineStr">
        <is>
          <t>Open-weight</t>
        </is>
      </c>
      <c r="C10" s="19">
        <f>'Revenue Run Rate'!C10/'GW Capacity'!C10</f>
        <v/>
      </c>
      <c r="D10" s="19">
        <f>'Revenue Run Rate'!D10/'GW Capacity'!D10</f>
        <v/>
      </c>
      <c r="E10" s="19">
        <f>'Revenue Run Rate'!E10/'GW Capacity'!E10</f>
        <v/>
      </c>
      <c r="F10" s="19">
        <f>'Revenue Run Rate'!F10/'GW Capacity'!F10</f>
        <v/>
      </c>
      <c r="G10" s="19">
        <f>'Revenue Run Rate'!G10/'GW Capacity'!G10</f>
        <v/>
      </c>
      <c r="H10" s="19">
        <f>'Revenue Run Rate'!H10/'GW Capacity'!H10</f>
        <v/>
      </c>
      <c r="I10" s="19">
        <f>'Revenue Run Rate'!I10/'GW Capacity'!I10</f>
        <v/>
      </c>
      <c r="J10" s="19">
        <f>'Revenue Run Rate'!J10/'GW Capacity'!J10</f>
        <v/>
      </c>
      <c r="K10" s="19">
        <f>'Revenue Run Rate'!K10/'GW Capacity'!K10</f>
        <v/>
      </c>
      <c r="L10" s="19">
        <f>'Revenue Run Rate'!L10/'GW Capacity'!L10</f>
        <v/>
      </c>
      <c r="M10" s="19">
        <f>'Revenue Run Rate'!M10/'GW Capacity'!M10</f>
        <v/>
      </c>
    </row>
    <row r="11">
      <c r="A11" s="14" t="inlineStr">
        <is>
          <t>Alibaba (Qwen)</t>
        </is>
      </c>
      <c r="B11" s="15" t="inlineStr">
        <is>
          <t>Open-weight</t>
        </is>
      </c>
      <c r="C11" s="19">
        <f>'Revenue Run Rate'!C11/'GW Capacity'!C11</f>
        <v/>
      </c>
      <c r="D11" s="19">
        <f>'Revenue Run Rate'!D11/'GW Capacity'!D11</f>
        <v/>
      </c>
      <c r="E11" s="19">
        <f>'Revenue Run Rate'!E11/'GW Capacity'!E11</f>
        <v/>
      </c>
      <c r="F11" s="19">
        <f>'Revenue Run Rate'!F11/'GW Capacity'!F11</f>
        <v/>
      </c>
      <c r="G11" s="19">
        <f>'Revenue Run Rate'!G11/'GW Capacity'!G11</f>
        <v/>
      </c>
      <c r="H11" s="19">
        <f>'Revenue Run Rate'!H11/'GW Capacity'!H11</f>
        <v/>
      </c>
      <c r="I11" s="19">
        <f>'Revenue Run Rate'!I11/'GW Capacity'!I11</f>
        <v/>
      </c>
      <c r="J11" s="19">
        <f>'Revenue Run Rate'!J11/'GW Capacity'!J11</f>
        <v/>
      </c>
      <c r="K11" s="19">
        <f>'Revenue Run Rate'!K11/'GW Capacity'!K11</f>
        <v/>
      </c>
      <c r="L11" s="19">
        <f>'Revenue Run Rate'!L11/'GW Capacity'!L11</f>
        <v/>
      </c>
      <c r="M11" s="19">
        <f>'Revenue Run Rate'!M11/'GW Capacity'!M11</f>
        <v/>
      </c>
    </row>
    <row r="12">
      <c r="A12" s="14" t="inlineStr">
        <is>
          <t>Mistral AI</t>
        </is>
      </c>
      <c r="B12" s="15" t="inlineStr">
        <is>
          <t>Open-weight</t>
        </is>
      </c>
      <c r="C12" s="19">
        <f>'Revenue Run Rate'!C12/'GW Capacity'!C12</f>
        <v/>
      </c>
      <c r="D12" s="19">
        <f>'Revenue Run Rate'!D12/'GW Capacity'!D12</f>
        <v/>
      </c>
      <c r="E12" s="19">
        <f>'Revenue Run Rate'!E12/'GW Capacity'!E12</f>
        <v/>
      </c>
      <c r="F12" s="19">
        <f>'Revenue Run Rate'!F12/'GW Capacity'!F12</f>
        <v/>
      </c>
      <c r="G12" s="19">
        <f>'Revenue Run Rate'!G12/'GW Capacity'!G12</f>
        <v/>
      </c>
      <c r="H12" s="19">
        <f>'Revenue Run Rate'!H12/'GW Capacity'!H12</f>
        <v/>
      </c>
      <c r="I12" s="19">
        <f>'Revenue Run Rate'!I12/'GW Capacity'!I12</f>
        <v/>
      </c>
      <c r="J12" s="19">
        <f>'Revenue Run Rate'!J12/'GW Capacity'!J12</f>
        <v/>
      </c>
      <c r="K12" s="19">
        <f>'Revenue Run Rate'!K12/'GW Capacity'!K12</f>
        <v/>
      </c>
      <c r="L12" s="19">
        <f>'Revenue Run Rate'!L12/'GW Capacity'!L12</f>
        <v/>
      </c>
      <c r="M12" s="19">
        <f>'Revenue Run Rate'!M12/'GW Capacity'!M12</f>
        <v/>
      </c>
    </row>
    <row r="13">
      <c r="A13" s="29" t="inlineStr">
        <is>
          <t>Break-even benchmark (YK Research)</t>
        </is>
      </c>
      <c r="B13" s="30" t="n"/>
      <c r="C13" s="37" t="n">
        <v>31</v>
      </c>
      <c r="D13" s="37" t="n">
        <v>31</v>
      </c>
      <c r="E13" s="37" t="n">
        <v>31</v>
      </c>
      <c r="F13" s="37" t="n">
        <v>31</v>
      </c>
      <c r="G13" s="37" t="n">
        <v>31</v>
      </c>
      <c r="H13" s="37" t="n">
        <v>31</v>
      </c>
      <c r="I13" s="37" t="n">
        <v>31</v>
      </c>
      <c r="J13" s="37" t="n">
        <v>31</v>
      </c>
      <c r="K13" s="37" t="n">
        <v>31</v>
      </c>
      <c r="L13" s="37" t="n">
        <v>31</v>
      </c>
      <c r="M13" s="37" t="n">
        <v>31</v>
      </c>
    </row>
    <row r="15">
      <c r="A15" s="3" t="inlineStr">
        <is>
          <t>COST PER GW ($B per GW per year)</t>
        </is>
      </c>
    </row>
    <row r="16">
      <c r="A16" s="6" t="inlineStr">
        <is>
          <t>Measure</t>
        </is>
      </c>
      <c r="B16" s="6" t="inlineStr">
        <is>
          <t>Scope</t>
        </is>
      </c>
      <c r="C16" s="27" t="inlineStr">
        <is>
          <t>Q1 2024</t>
        </is>
      </c>
      <c r="D16" s="27" t="inlineStr">
        <is>
          <t>Q2 2024</t>
        </is>
      </c>
      <c r="E16" s="27" t="inlineStr">
        <is>
          <t>Q3 2024</t>
        </is>
      </c>
      <c r="F16" s="27" t="inlineStr">
        <is>
          <t>Q4 2024</t>
        </is>
      </c>
      <c r="G16" s="27" t="inlineStr">
        <is>
          <t>Q1 2025</t>
        </is>
      </c>
      <c r="H16" s="27" t="inlineStr">
        <is>
          <t>Q2 2025</t>
        </is>
      </c>
      <c r="I16" s="27" t="inlineStr">
        <is>
          <t>Q3 2025</t>
        </is>
      </c>
      <c r="J16" s="27" t="inlineStr">
        <is>
          <t>Q4 2025</t>
        </is>
      </c>
      <c r="K16" s="27" t="inlineStr">
        <is>
          <t>Q1 2026</t>
        </is>
      </c>
      <c r="L16" s="27" t="inlineStr">
        <is>
          <t>Q2 2026</t>
        </is>
      </c>
      <c r="M16" s="27" t="inlineStr">
        <is>
          <t>Q3 2026 (part.)</t>
        </is>
      </c>
    </row>
    <row r="17">
      <c r="A17" s="29" t="inlineStr">
        <is>
          <t>Annualized TCO per GW (Epoch AI)</t>
        </is>
      </c>
      <c r="B17" s="30" t="inlineStr">
        <is>
          <t>All labs</t>
        </is>
      </c>
      <c r="C17" s="37">
        <f>'Compute Cost'!$C$3</f>
        <v/>
      </c>
      <c r="D17" s="37">
        <f>'Compute Cost'!$C$3</f>
        <v/>
      </c>
      <c r="E17" s="37">
        <f>'Compute Cost'!$C$3</f>
        <v/>
      </c>
      <c r="F17" s="37">
        <f>'Compute Cost'!$C$3</f>
        <v/>
      </c>
      <c r="G17" s="37">
        <f>'Compute Cost'!$C$3</f>
        <v/>
      </c>
      <c r="H17" s="37">
        <f>'Compute Cost'!$C$3</f>
        <v/>
      </c>
      <c r="I17" s="37">
        <f>'Compute Cost'!$C$3</f>
        <v/>
      </c>
      <c r="J17" s="37">
        <f>'Compute Cost'!$C$3</f>
        <v/>
      </c>
      <c r="K17" s="37">
        <f>'Compute Cost'!$C$3</f>
        <v/>
      </c>
      <c r="L17" s="37">
        <f>'Compute Cost'!$C$3</f>
        <v/>
      </c>
      <c r="M17" s="37">
        <f>'Compute Cost'!$C$3</f>
        <v/>
      </c>
    </row>
    <row r="18">
      <c r="A18" s="29" t="inlineStr">
        <is>
          <t>Build capex per GW (industry)</t>
        </is>
      </c>
      <c r="B18" s="30" t="inlineStr">
        <is>
          <t>One-time, all-in</t>
        </is>
      </c>
      <c r="C18" s="37" t="n">
        <v>32</v>
      </c>
      <c r="D18" s="37" t="n">
        <v>32</v>
      </c>
      <c r="E18" s="37" t="n">
        <v>33</v>
      </c>
      <c r="F18" s="37" t="n">
        <v>34</v>
      </c>
      <c r="G18" s="37" t="n">
        <v>35</v>
      </c>
      <c r="H18" s="37" t="n">
        <v>36</v>
      </c>
      <c r="I18" s="37" t="n">
        <v>38</v>
      </c>
      <c r="J18" s="37" t="n">
        <v>40.5</v>
      </c>
      <c r="K18" s="37" t="n">
        <v>42</v>
      </c>
      <c r="L18" s="37" t="n">
        <v>45</v>
      </c>
      <c r="M18" s="37" t="n">
        <v>47</v>
      </c>
    </row>
    <row r="20">
      <c r="A20" s="40" t="inlineStr">
        <is>
          <t>Reading: labs above ~$31B/GW of run-rate revenue clear base-case data-center economics. As of Q2 2026, Anthropic (~$26B/GW) and OpenAI (~$22B/GW) approach it; Google's paid AI revenue per GW is lower because much of its fleet serves un-monetized internal surfaces; open-weight labs (Meta, DeepSeek, Qwen, Mistral) monetize only a small share of the tokens their models generate.</t>
        </is>
      </c>
    </row>
    <row r="21"/>
    <row r="22"/>
  </sheetData>
  <mergeCells count="1">
    <mergeCell ref="A20:M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Token Volume</t>
        </is>
      </c>
    </row>
    <row r="2">
      <c r="A2" s="2" t="inlineStr">
        <is>
          <t>Estimated tokens processed per quarter, TRILLIONS, all surfaces (first-party apps + API + estimable self-hosted). Google derived from disclosed monthly anchors (9.7T May'24 / 480T May'25 / 3,200T May'26). Others estimated - see Methodology.</t>
        </is>
      </c>
    </row>
    <row r="4">
      <c r="A4" s="6" t="inlineStr">
        <is>
          <t>Lab</t>
        </is>
      </c>
      <c r="B4" s="6" t="inlineStr">
        <is>
          <t>Category</t>
        </is>
      </c>
      <c r="C4" s="27" t="inlineStr">
        <is>
          <t>Q1 2024</t>
        </is>
      </c>
      <c r="D4" s="27" t="inlineStr">
        <is>
          <t>Q2 2024</t>
        </is>
      </c>
      <c r="E4" s="27" t="inlineStr">
        <is>
          <t>Q3 2024</t>
        </is>
      </c>
      <c r="F4" s="27" t="inlineStr">
        <is>
          <t>Q4 2024</t>
        </is>
      </c>
      <c r="G4" s="27" t="inlineStr">
        <is>
          <t>Q1 2025</t>
        </is>
      </c>
      <c r="H4" s="27" t="inlineStr">
        <is>
          <t>Q2 2025</t>
        </is>
      </c>
      <c r="I4" s="27" t="inlineStr">
        <is>
          <t>Q3 2025</t>
        </is>
      </c>
      <c r="J4" s="27" t="inlineStr">
        <is>
          <t>Q4 2025</t>
        </is>
      </c>
      <c r="K4" s="27" t="inlineStr">
        <is>
          <t>Q1 2026</t>
        </is>
      </c>
      <c r="L4" s="27" t="inlineStr">
        <is>
          <t>Q2 2026</t>
        </is>
      </c>
      <c r="M4" s="27" t="inlineStr">
        <is>
          <t>Q3 2026 (part.)</t>
        </is>
      </c>
    </row>
    <row r="5">
      <c r="A5" s="7" t="inlineStr">
        <is>
          <t>OpenAI</t>
        </is>
      </c>
      <c r="B5" s="8" t="inlineStr">
        <is>
          <t>Frontier (closed)</t>
        </is>
      </c>
      <c r="C5" s="12" t="n">
        <v>80</v>
      </c>
      <c r="D5" s="12" t="n">
        <v>120</v>
      </c>
      <c r="E5" s="12" t="n">
        <v>170</v>
      </c>
      <c r="F5" s="12" t="n">
        <v>260</v>
      </c>
      <c r="G5" s="12" t="n">
        <v>400</v>
      </c>
      <c r="H5" s="12" t="n">
        <v>640</v>
      </c>
      <c r="I5" s="12" t="n">
        <v>1060</v>
      </c>
      <c r="J5" s="12" t="n">
        <v>1650</v>
      </c>
      <c r="K5" s="12" t="n">
        <v>2590</v>
      </c>
      <c r="L5" s="12" t="n">
        <v>3890</v>
      </c>
      <c r="M5" s="12" t="n">
        <v>4950</v>
      </c>
    </row>
    <row r="6">
      <c r="A6" s="7" t="inlineStr">
        <is>
          <t>Anthropic</t>
        </is>
      </c>
      <c r="B6" s="8" t="inlineStr">
        <is>
          <t>Frontier (closed)</t>
        </is>
      </c>
      <c r="C6" s="12" t="n">
        <v>15</v>
      </c>
      <c r="D6" s="12" t="n">
        <v>20</v>
      </c>
      <c r="E6" s="12" t="n">
        <v>28</v>
      </c>
      <c r="F6" s="12" t="n">
        <v>37</v>
      </c>
      <c r="G6" s="12" t="n">
        <v>45</v>
      </c>
      <c r="H6" s="12" t="n">
        <v>80</v>
      </c>
      <c r="I6" s="12" t="n">
        <v>130</v>
      </c>
      <c r="J6" s="12" t="n">
        <v>220</v>
      </c>
      <c r="K6" s="12" t="n">
        <v>500</v>
      </c>
      <c r="L6" s="12" t="n">
        <v>1200</v>
      </c>
      <c r="M6" s="12" t="n">
        <v>1700</v>
      </c>
    </row>
    <row r="7">
      <c r="A7" s="7" t="inlineStr">
        <is>
          <t>Google DeepMind</t>
        </is>
      </c>
      <c r="B7" s="8" t="inlineStr">
        <is>
          <t>Frontier (closed)</t>
        </is>
      </c>
      <c r="C7" s="12" t="n">
        <v>17</v>
      </c>
      <c r="D7" s="12" t="n">
        <v>30</v>
      </c>
      <c r="E7" s="12" t="n">
        <v>80</v>
      </c>
      <c r="F7" s="12" t="n">
        <v>210</v>
      </c>
      <c r="G7" s="12" t="n">
        <v>560</v>
      </c>
      <c r="H7" s="12" t="n">
        <v>1380</v>
      </c>
      <c r="I7" s="12" t="n">
        <v>2340</v>
      </c>
      <c r="J7" s="12" t="n">
        <v>3800</v>
      </c>
      <c r="K7" s="12" t="n">
        <v>6180</v>
      </c>
      <c r="L7" s="12" t="n">
        <v>10050</v>
      </c>
      <c r="M7" s="12" t="n">
        <v>15300</v>
      </c>
    </row>
    <row r="8">
      <c r="A8" s="7" t="inlineStr">
        <is>
          <t>xAI</t>
        </is>
      </c>
      <c r="B8" s="8" t="inlineStr">
        <is>
          <t>Frontier (closed)</t>
        </is>
      </c>
      <c r="C8" s="12" t="n">
        <v>1</v>
      </c>
      <c r="D8" s="12" t="n">
        <v>2</v>
      </c>
      <c r="E8" s="12" t="n">
        <v>3</v>
      </c>
      <c r="F8" s="12" t="n">
        <v>5</v>
      </c>
      <c r="G8" s="12" t="n">
        <v>8</v>
      </c>
      <c r="H8" s="12" t="n">
        <v>15</v>
      </c>
      <c r="I8" s="12" t="n">
        <v>25</v>
      </c>
      <c r="J8" s="12" t="n">
        <v>40</v>
      </c>
      <c r="K8" s="12" t="n">
        <v>60</v>
      </c>
      <c r="L8" s="12" t="n">
        <v>90</v>
      </c>
      <c r="M8" s="12" t="n">
        <v>120</v>
      </c>
    </row>
    <row r="9">
      <c r="A9" s="14" t="inlineStr">
        <is>
          <t>Meta (Llama)</t>
        </is>
      </c>
      <c r="B9" s="15" t="inlineStr">
        <is>
          <t>Open-weight</t>
        </is>
      </c>
      <c r="C9" s="20" t="n">
        <v>10</v>
      </c>
      <c r="D9" s="20" t="n">
        <v>20</v>
      </c>
      <c r="E9" s="20" t="n">
        <v>35</v>
      </c>
      <c r="F9" s="20" t="n">
        <v>55</v>
      </c>
      <c r="G9" s="20" t="n">
        <v>80</v>
      </c>
      <c r="H9" s="20" t="n">
        <v>120</v>
      </c>
      <c r="I9" s="20" t="n">
        <v>160</v>
      </c>
      <c r="J9" s="20" t="n">
        <v>210</v>
      </c>
      <c r="K9" s="20" t="n">
        <v>280</v>
      </c>
      <c r="L9" s="20" t="n">
        <v>360</v>
      </c>
      <c r="M9" s="20" t="n">
        <v>430</v>
      </c>
    </row>
    <row r="10">
      <c r="A10" s="14" t="inlineStr">
        <is>
          <t>DeepSeek</t>
        </is>
      </c>
      <c r="B10" s="15" t="inlineStr">
        <is>
          <t>Open-weight</t>
        </is>
      </c>
      <c r="C10" s="20" t="n">
        <v>1</v>
      </c>
      <c r="D10" s="20" t="n">
        <v>2</v>
      </c>
      <c r="E10" s="20" t="n">
        <v>4</v>
      </c>
      <c r="F10" s="20" t="n">
        <v>8</v>
      </c>
      <c r="G10" s="20" t="n">
        <v>40</v>
      </c>
      <c r="H10" s="20" t="n">
        <v>80</v>
      </c>
      <c r="I10" s="20" t="n">
        <v>120</v>
      </c>
      <c r="J10" s="20" t="n">
        <v>200</v>
      </c>
      <c r="K10" s="20" t="n">
        <v>350</v>
      </c>
      <c r="L10" s="20" t="n">
        <v>600</v>
      </c>
      <c r="M10" s="20" t="n">
        <v>800</v>
      </c>
    </row>
    <row r="11">
      <c r="A11" s="14" t="inlineStr">
        <is>
          <t>Alibaba (Qwen)</t>
        </is>
      </c>
      <c r="B11" s="15" t="inlineStr">
        <is>
          <t>Open-weight</t>
        </is>
      </c>
      <c r="C11" s="20" t="n">
        <v>2</v>
      </c>
      <c r="D11" s="20" t="n">
        <v>4</v>
      </c>
      <c r="E11" s="20" t="n">
        <v>8</v>
      </c>
      <c r="F11" s="20" t="n">
        <v>15</v>
      </c>
      <c r="G11" s="20" t="n">
        <v>30</v>
      </c>
      <c r="H11" s="20" t="n">
        <v>60</v>
      </c>
      <c r="I11" s="20" t="n">
        <v>110</v>
      </c>
      <c r="J11" s="20" t="n">
        <v>180</v>
      </c>
      <c r="K11" s="20" t="n">
        <v>300</v>
      </c>
      <c r="L11" s="20" t="n">
        <v>500</v>
      </c>
      <c r="M11" s="20" t="n">
        <v>700</v>
      </c>
    </row>
    <row r="12">
      <c r="A12" s="14" t="inlineStr">
        <is>
          <t>Mistral AI</t>
        </is>
      </c>
      <c r="B12" s="15" t="inlineStr">
        <is>
          <t>Open-weight</t>
        </is>
      </c>
      <c r="C12" s="20" t="n">
        <v>1</v>
      </c>
      <c r="D12" s="20" t="n">
        <v>2</v>
      </c>
      <c r="E12" s="20" t="n">
        <v>3</v>
      </c>
      <c r="F12" s="20" t="n">
        <v>5</v>
      </c>
      <c r="G12" s="20" t="n">
        <v>8</v>
      </c>
      <c r="H12" s="20" t="n">
        <v>12</v>
      </c>
      <c r="I12" s="20" t="n">
        <v>18</v>
      </c>
      <c r="J12" s="20" t="n">
        <v>25</v>
      </c>
      <c r="K12" s="20" t="n">
        <v>35</v>
      </c>
      <c r="L12" s="20" t="n">
        <v>50</v>
      </c>
      <c r="M12" s="20" t="n">
        <v>65</v>
      </c>
    </row>
    <row r="13">
      <c r="A13" s="22" t="inlineStr">
        <is>
          <t>Frontier subtotal</t>
        </is>
      </c>
      <c r="B13" s="28" t="n"/>
      <c r="C13" s="26">
        <f>C5+C6+C7+C8</f>
        <v/>
      </c>
      <c r="D13" s="26">
        <f>D5+D6+D7+D8</f>
        <v/>
      </c>
      <c r="E13" s="26">
        <f>E5+E6+E7+E8</f>
        <v/>
      </c>
      <c r="F13" s="26">
        <f>F5+F6+F7+F8</f>
        <v/>
      </c>
      <c r="G13" s="26">
        <f>G5+G6+G7+G8</f>
        <v/>
      </c>
      <c r="H13" s="26">
        <f>H5+H6+H7+H8</f>
        <v/>
      </c>
      <c r="I13" s="26">
        <f>I5+I6+I7+I8</f>
        <v/>
      </c>
      <c r="J13" s="26">
        <f>J5+J6+J7+J8</f>
        <v/>
      </c>
      <c r="K13" s="26">
        <f>K5+K6+K7+K8</f>
        <v/>
      </c>
      <c r="L13" s="26">
        <f>L5+L6+L7+L8</f>
        <v/>
      </c>
      <c r="M13" s="26">
        <f>M5+M6+M7+M8</f>
        <v/>
      </c>
    </row>
    <row r="14">
      <c r="A14" s="22" t="inlineStr">
        <is>
          <t>Open-weight subtotal</t>
        </is>
      </c>
      <c r="B14" s="28" t="n"/>
      <c r="C14" s="26">
        <f>C9+C10+C11+C12</f>
        <v/>
      </c>
      <c r="D14" s="26">
        <f>D9+D10+D11+D12</f>
        <v/>
      </c>
      <c r="E14" s="26">
        <f>E9+E10+E11+E12</f>
        <v/>
      </c>
      <c r="F14" s="26">
        <f>F9+F10+F11+F12</f>
        <v/>
      </c>
      <c r="G14" s="26">
        <f>G9+G10+G11+G12</f>
        <v/>
      </c>
      <c r="H14" s="26">
        <f>H9+H10+H11+H12</f>
        <v/>
      </c>
      <c r="I14" s="26">
        <f>I9+I10+I11+I12</f>
        <v/>
      </c>
      <c r="J14" s="26">
        <f>J9+J10+J11+J12</f>
        <v/>
      </c>
      <c r="K14" s="26">
        <f>K9+K10+K11+K12</f>
        <v/>
      </c>
      <c r="L14" s="26">
        <f>L9+L10+L11+L12</f>
        <v/>
      </c>
      <c r="M14" s="26">
        <f>M9+M10+M11+M12</f>
        <v/>
      </c>
    </row>
    <row r="15">
      <c r="A15" s="22" t="inlineStr">
        <is>
          <t>TOTAL (all 8 labs)</t>
        </is>
      </c>
      <c r="B15" s="28" t="n"/>
      <c r="C15" s="26">
        <f>C5+C6+C7+C8+C9+C10+C11+C12</f>
        <v/>
      </c>
      <c r="D15" s="26">
        <f>D5+D6+D7+D8+D9+D10+D11+D12</f>
        <v/>
      </c>
      <c r="E15" s="26">
        <f>E5+E6+E7+E8+E9+E10+E11+E12</f>
        <v/>
      </c>
      <c r="F15" s="26">
        <f>F5+F6+F7+F8+F9+F10+F11+F12</f>
        <v/>
      </c>
      <c r="G15" s="26">
        <f>G5+G6+G7+G8+G9+G10+G11+G12</f>
        <v/>
      </c>
      <c r="H15" s="26">
        <f>H5+H6+H7+H8+H9+H10+H11+H12</f>
        <v/>
      </c>
      <c r="I15" s="26">
        <f>I5+I6+I7+I8+I9+I10+I11+I12</f>
        <v/>
      </c>
      <c r="J15" s="26">
        <f>J5+J6+J7+J8+J9+J10+J11+J12</f>
        <v/>
      </c>
      <c r="K15" s="26">
        <f>K5+K6+K7+K8+K9+K10+K11+K12</f>
        <v/>
      </c>
      <c r="L15" s="26">
        <f>L5+L6+L7+L8+L9+L10+L11+L12</f>
        <v/>
      </c>
      <c r="M15" s="26">
        <f>M5+M6+M7+M8+M9+M10+M11+M12</f>
        <v/>
      </c>
    </row>
    <row r="17">
      <c r="A17" s="29" t="inlineStr">
        <is>
          <t>Memo: global inference, all providers (est.)</t>
        </is>
      </c>
      <c r="B17" s="30" t="n"/>
      <c r="C17" s="41" t="n">
        <v>30</v>
      </c>
      <c r="D17" s="41" t="n">
        <v>55</v>
      </c>
      <c r="E17" s="41" t="n">
        <v>140</v>
      </c>
      <c r="F17" s="41" t="n">
        <v>380</v>
      </c>
      <c r="G17" s="41" t="n">
        <v>900</v>
      </c>
      <c r="H17" s="41" t="n">
        <v>2000</v>
      </c>
      <c r="I17" s="41" t="n">
        <v>3600</v>
      </c>
      <c r="J17" s="41" t="n">
        <v>5800</v>
      </c>
      <c r="K17" s="41" t="n">
        <v>9200</v>
      </c>
      <c r="L17" s="41" t="n">
        <v>14500</v>
      </c>
      <c r="M17" s="41" t="n">
        <v>21000</v>
      </c>
    </row>
    <row r="18">
      <c r="A18" s="29" t="inlineStr">
        <is>
          <t>Memo: 8-lab share of global (%)</t>
        </is>
      </c>
      <c r="B18" s="30" t="n"/>
      <c r="C18" s="42">
        <f>C15/C17</f>
        <v/>
      </c>
      <c r="D18" s="42">
        <f>D15/D17</f>
        <v/>
      </c>
      <c r="E18" s="42">
        <f>E15/E17</f>
        <v/>
      </c>
      <c r="F18" s="42">
        <f>F15/F17</f>
        <v/>
      </c>
      <c r="G18" s="42">
        <f>G15/G17</f>
        <v/>
      </c>
      <c r="H18" s="42">
        <f>H15/H17</f>
        <v/>
      </c>
      <c r="I18" s="42">
        <f>I15/I17</f>
        <v/>
      </c>
      <c r="J18" s="42">
        <f>J15/J17</f>
        <v/>
      </c>
      <c r="K18" s="42">
        <f>K15/K17</f>
        <v/>
      </c>
      <c r="L18" s="42">
        <f>L15/L17</f>
        <v/>
      </c>
      <c r="M18" s="42">
        <f>M15/M17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10" customWidth="1" min="3" max="3"/>
    <col width="12" customWidth="1" min="4" max="4"/>
    <col width="38" customWidth="1" min="5" max="5"/>
    <col width="70" customWidth="1" min="6" max="6"/>
  </cols>
  <sheetData>
    <row r="1">
      <c r="A1" s="5" t="inlineStr">
        <is>
          <t>Sources &amp; Methodology</t>
        </is>
      </c>
    </row>
    <row r="2">
      <c r="A2" s="2" t="inlineStr">
        <is>
          <t>All disclosed anchors underpinning the series, then metric-by-metric methodology. Compiled Aug 23, 2026.</t>
        </is>
      </c>
    </row>
    <row r="4">
      <c r="A4" s="43" t="inlineStr">
        <is>
          <t>Metric</t>
        </is>
      </c>
      <c r="B4" s="43" t="inlineStr">
        <is>
          <t>Lab / Scope</t>
        </is>
      </c>
      <c r="C4" s="43" t="inlineStr">
        <is>
          <t>Data point</t>
        </is>
      </c>
      <c r="D4" s="43" t="inlineStr">
        <is>
          <t>As of</t>
        </is>
      </c>
      <c r="E4" s="43" t="inlineStr">
        <is>
          <t>Source</t>
        </is>
      </c>
      <c r="F4" s="43" t="inlineStr">
        <is>
          <t>URL</t>
        </is>
      </c>
    </row>
    <row r="5">
      <c r="A5" s="44" t="inlineStr">
        <is>
          <t>Revenue</t>
        </is>
      </c>
      <c r="B5" s="45" t="inlineStr">
        <is>
          <t>Anthropic</t>
        </is>
      </c>
      <c r="C5" s="46" t="inlineStr">
        <is>
          <t>Annualized run rate $65B (7x YoY); Q2 2026 revenue $11.5B prelim (14x YoY vs $787M Q2 2025); positive adjusted operating income in Q2 2026</t>
        </is>
      </c>
      <c r="D5" s="45" t="inlineStr">
        <is>
          <t>Jul-Aug 2026</t>
        </is>
      </c>
      <c r="E5" s="45" t="inlineStr">
        <is>
          <t>CNBC / Bloomberg</t>
        </is>
      </c>
      <c r="F5" s="47" t="inlineStr">
        <is>
          <t>https://www.cnbc.com/2026/08/17/anthropic-says-annualized-revenue-climbed-to-65-billion-in-july.html</t>
        </is>
      </c>
    </row>
    <row r="6">
      <c r="A6" s="44" t="inlineStr">
        <is>
          <t>Revenue</t>
        </is>
      </c>
      <c r="B6" s="45" t="inlineStr">
        <is>
          <t>Anthropic</t>
        </is>
      </c>
      <c r="C6" s="46" t="inlineStr">
        <is>
          <t>Run rate &gt;$47B (May 2026), ~$30B (Apr 2026), &gt;$9B (late 2025); ~$10B revenue for all of 2025 (gross basis)</t>
        </is>
      </c>
      <c r="D6" s="45" t="inlineStr">
        <is>
          <t>2025-2026</t>
        </is>
      </c>
      <c r="E6" s="45" t="inlineStr">
        <is>
          <t>CNBC / Bloomberg / Yahoo Finance</t>
        </is>
      </c>
      <c r="F6" s="47" t="inlineStr">
        <is>
          <t>https://finance.yahoo.com/technology/ai/articles/anthropic-revenue-run-rate-surpasses-193745178.html</t>
        </is>
      </c>
    </row>
    <row r="7">
      <c r="A7" s="44" t="inlineStr">
        <is>
          <t>Revenue</t>
        </is>
      </c>
      <c r="B7" s="45" t="inlineStr">
        <is>
          <t>OpenAI</t>
        </is>
      </c>
      <c r="C7" s="46" t="inlineStr">
        <is>
          <t>Annualized run rate &gt;$40B (Aug 2026), ~2x from end-2025; monthly run rate +20% in July alone</t>
        </is>
      </c>
      <c r="D7" s="45" t="inlineStr">
        <is>
          <t>Aug 2026</t>
        </is>
      </c>
      <c r="E7" s="45" t="inlineStr">
        <is>
          <t>Bloomberg</t>
        </is>
      </c>
      <c r="F7" s="47" t="inlineStr">
        <is>
          <t>https://www.bloomberg.com/news/articles/2026-08-13/openai-s-revenue-run-rate-tops-40-billion-ahead-of-ipo</t>
        </is>
      </c>
    </row>
    <row r="8">
      <c r="A8" s="44" t="inlineStr">
        <is>
          <t>Revenue</t>
        </is>
      </c>
      <c r="B8" s="45" t="inlineStr">
        <is>
          <t>OpenAI</t>
        </is>
      </c>
      <c r="C8" s="46" t="inlineStr">
        <is>
          <t>2024 revenue $3.7B; 2025 booked revenue $13.07B (audited, leaked) with $20.9B operating loss; ARR $21.5B end-2025, $25B Q1 2026 ($2B/month); enterprise &gt;40% of revenue Apr 2026</t>
        </is>
      </c>
      <c r="D8" s="45" t="inlineStr">
        <is>
          <t>2024-2026</t>
        </is>
      </c>
      <c r="E8" s="45" t="inlineStr">
        <is>
          <t>ValueAdd VC / Happycapy compilation of leaked financials</t>
        </is>
      </c>
      <c r="F8" s="47" t="inlineStr">
        <is>
          <t>https://valueaddvc.com/blog/openai-revenue-2026-20b-arr-4b-month-path-to-profitability</t>
        </is>
      </c>
    </row>
    <row r="9">
      <c r="A9" s="44" t="inlineStr">
        <is>
          <t>Revenue</t>
        </is>
      </c>
      <c r="B9" s="45" t="inlineStr">
        <is>
          <t>Google DeepMind</t>
        </is>
      </c>
      <c r="C9" s="46" t="inlineStr">
        <is>
          <t>AI-attributable revenue est.: ~$5B 2024, ~$15B 2025, ~$28B ARR May 2026 (not an Alphabet reporting segment)</t>
        </is>
      </c>
      <c r="D9" s="45" t="inlineStr">
        <is>
          <t>May 2026</t>
        </is>
      </c>
      <c r="E9" s="45" t="inlineStr">
        <is>
          <t>Presenc AI comparison table</t>
        </is>
      </c>
      <c r="F9" s="47" t="inlineStr">
        <is>
          <t>https://presenc.ai/research/ai-lab-revenue-and-valuation-2026</t>
        </is>
      </c>
    </row>
    <row r="10">
      <c r="A10" s="44" t="inlineStr">
        <is>
          <t>Revenue</t>
        </is>
      </c>
      <c r="B10" s="45" t="inlineStr">
        <is>
          <t>xAI</t>
        </is>
      </c>
      <c r="C10" s="46" t="inlineStr">
        <is>
          <t>Standalone AI revenue ~$100M 2024, ~$350-500M 2025; Q1 2026 reported $818M revenue / $2.47B operating loss; mid-2026 ARR estimates $0.5B (Bloomberg/Sacra) to $1.5B (Presenc); 2026 target $2B</t>
        </is>
      </c>
      <c r="D10" s="45" t="inlineStr">
        <is>
          <t>2024-2026</t>
        </is>
      </c>
      <c r="E10" s="45" t="inlineStr">
        <is>
          <t>ValueAdd VC / Sacra / Presenc AI</t>
        </is>
      </c>
      <c r="F10" s="47" t="inlineStr">
        <is>
          <t>https://valueaddvc.com/blog/xai-revenue-how-grok-and-the-api-actually-make-money</t>
        </is>
      </c>
    </row>
    <row r="11">
      <c r="A11" s="44" t="inlineStr">
        <is>
          <t>Revenue</t>
        </is>
      </c>
      <c r="B11" s="45" t="inlineStr">
        <is>
          <t>DeepSeek</t>
        </is>
      </c>
      <c r="C11" s="46" t="inlineStr">
        <is>
          <t>Annualized revenue approaching $500M (The Information, mid-2026); ~$700M annualized May 2026 (Presenc est.); ~$200M 2025; 70-80% gross margins at $2.19/M tokens; $52B valuation Jul 2026</t>
        </is>
      </c>
      <c r="D11" s="45" t="inlineStr">
        <is>
          <t>mid-2026</t>
        </is>
      </c>
      <c r="E11" s="45" t="inlineStr">
        <is>
          <t>AI Weekly / Caixin / Presenc AI</t>
        </is>
      </c>
      <c r="F11" s="47" t="inlineStr">
        <is>
          <t>https://aiweekly.co/alerts/deepseek-nears-500m-annualized-revenue-plans-2027-ipo</t>
        </is>
      </c>
    </row>
    <row r="12">
      <c r="A12" s="44" t="inlineStr">
        <is>
          <t>Revenue</t>
        </is>
      </c>
      <c r="B12" s="45" t="inlineStr">
        <is>
          <t>Alibaba (Qwen)</t>
        </is>
      </c>
      <c r="C12" s="46" t="inlineStr">
        <is>
          <t>AI-related product revenue RMB 12,376M (US$1,824M) quarter ended Jun 30 2026, 12th consecutive quarter of triple-digit YoY growth; AI Cloud &amp; Compute Services $7.1B (+45% YoY); MaaS ARR &gt;RMB 16B</t>
        </is>
      </c>
      <c r="D12" s="45" t="inlineStr">
        <is>
          <t>Jun 2026</t>
        </is>
      </c>
      <c r="E12" s="45" t="inlineStr">
        <is>
          <t>Alibaba Group earnings / SEC 6-K exhibit</t>
        </is>
      </c>
      <c r="F12" s="47" t="inlineStr">
        <is>
          <t>https://www.sec.gov/Archives/edgar/data/1577552/000110465926099220/tm2623667d1_ex99-1.htm</t>
        </is>
      </c>
    </row>
    <row r="13">
      <c r="A13" s="44" t="inlineStr">
        <is>
          <t>Revenue</t>
        </is>
      </c>
      <c r="B13" s="45" t="inlineStr">
        <is>
          <t>Mistral AI</t>
        </is>
      </c>
      <c r="C13" s="46" t="inlineStr">
        <is>
          <t>ARR ~$16-20M end-2024, $312M Dec 2025, $400M Jan 2026, ~$1.0B May 2026; 2026 target $1.1-1.2B</t>
        </is>
      </c>
      <c r="D13" s="45" t="inlineStr">
        <is>
          <t>2024-2026</t>
        </is>
      </c>
      <c r="E13" s="45" t="inlineStr">
        <is>
          <t>Sacra / Klover / Presenc AI</t>
        </is>
      </c>
      <c r="F13" s="47" t="inlineStr">
        <is>
          <t>https://sacra.com/c/mistral/</t>
        </is>
      </c>
    </row>
    <row r="14">
      <c r="A14" s="44" t="inlineStr">
        <is>
          <t>Revenue</t>
        </is>
      </c>
      <c r="B14" s="45" t="inlineStr">
        <is>
          <t>Other open-weight labs (context)</t>
        </is>
      </c>
      <c r="C14" s="46" t="inlineStr">
        <is>
          <t>May 2026 ARR: Moonshot AI (Kimi) ~$500M, Zhipu/Z.AI (GLM) ~$480M, Cohere ~$500M (not modeled as separate rows)</t>
        </is>
      </c>
      <c r="D14" s="45" t="inlineStr">
        <is>
          <t>May 2026</t>
        </is>
      </c>
      <c r="E14" s="45" t="inlineStr">
        <is>
          <t>Presenc AI</t>
        </is>
      </c>
      <c r="F14" s="47" t="inlineStr">
        <is>
          <t>https://presenc.ai/research/ai-lab-revenue-and-valuation-2026</t>
        </is>
      </c>
    </row>
    <row r="15">
      <c r="A15" s="44" t="inlineStr">
        <is>
          <t>GW capacity</t>
        </is>
      </c>
      <c r="B15" s="45" t="inlineStr">
        <is>
          <t>OpenAI</t>
        </is>
      </c>
      <c r="C15" s="46" t="inlineStr">
        <is>
          <t>Stargate Abilene ~0.3 GW operational mid-2026 (capped at 1.2 GW); 7 sites &gt;9 GW planned ($400B+); 4.5 GW Oracle lease; balance of serving on Azure</t>
        </is>
      </c>
      <c r="D15" s="45" t="inlineStr">
        <is>
          <t>mid-2026</t>
        </is>
      </c>
      <c r="E15" s="45" t="inlineStr">
        <is>
          <t>Founder OS / Momoview / TCDEV</t>
        </is>
      </c>
      <c r="F15" s="47" t="inlineStr">
        <is>
          <t>https://fos.kentlangley.com/b/ai-lab-compute/</t>
        </is>
      </c>
    </row>
    <row r="16">
      <c r="A16" s="44" t="inlineStr">
        <is>
          <t>GW capacity</t>
        </is>
      </c>
      <c r="B16" s="45" t="inlineStr">
        <is>
          <t>Anthropic</t>
        </is>
      </c>
      <c r="C16" s="46" t="inlineStr">
        <is>
          <t>AWS New Carlisle ~1 GW live by Mar 2026 (2.2 GW campus); Project Rainier 500k -&gt; 1M+ Trainium2; Google TPU &gt;1 GW landing 2026 (up to 1M TPUs); SpaceX 300 MW / 220k GPUs (May 2026); 5 GW AWS + 3.5 GW Broadcom contracted</t>
        </is>
      </c>
      <c r="D16" s="45" t="inlineStr">
        <is>
          <t>2025-2026</t>
        </is>
      </c>
      <c r="E16" s="45" t="inlineStr">
        <is>
          <t>Momoview / TCDEV / Presenc AI / Adam N.</t>
        </is>
      </c>
      <c r="F16" s="47" t="inlineStr">
        <is>
          <t>https://momoview.com/blog/en/posts/ai-compute-landscape-2026-operational-vs-under-construction-hyperscalers-ai-labs-neoclouds-gigawatt-map/</t>
        </is>
      </c>
    </row>
    <row r="17">
      <c r="A17" s="44" t="inlineStr">
        <is>
          <t>GW capacity</t>
        </is>
      </c>
      <c r="B17" s="45" t="inlineStr">
        <is>
          <t>xAI</t>
        </is>
      </c>
      <c r="C17" s="46" t="inlineStr">
        <is>
          <t>Colossus 1 ~300 MW / ~230k GPUs (mid-2025, verified); ~555k GPUs total Jan 2026 (~$18B hardware); Colossus 2 ramping through 1 GW toward 2 GW in 2026; 1M GPU roadmap end-2026</t>
        </is>
      </c>
      <c r="D17" s="45" t="inlineStr">
        <is>
          <t>2024-2026</t>
        </is>
      </c>
      <c r="E17" s="45" t="inlineStr">
        <is>
          <t>Founder OS / TCDEV / Momoview</t>
        </is>
      </c>
      <c r="F17" s="47" t="inlineStr">
        <is>
          <t>https://www.tcdev.de/blog/where-are-claudes-data-centers/</t>
        </is>
      </c>
    </row>
    <row r="18">
      <c r="A18" s="44" t="inlineStr">
        <is>
          <t>GW capacity</t>
        </is>
      </c>
      <c r="B18" s="45" t="inlineStr">
        <is>
          <t>Meta (Llama)</t>
        </is>
      </c>
      <c r="C18" s="46" t="inlineStr">
        <is>
          <t>Plans to deploy 7 GW of compute during 2026 and reach 14 GW total by 2027 (internal memo via Reuters); Prometheus ~1 GW (Ohio) online 2026; Hyperion (LA) scaled to 5 GW; ~600k+ GPUs; MTIA 'Iris' chip Sept 2026; AMD deal up to 6 GW</t>
        </is>
      </c>
      <c r="D18" s="45" t="inlineStr">
        <is>
          <t>Jul 2026</t>
        </is>
      </c>
      <c r="E18" s="45" t="inlineStr">
        <is>
          <t>Reuters / StockScreener / Presenc AI</t>
        </is>
      </c>
      <c r="F18" s="47" t="inlineStr">
        <is>
          <t>https://www.reuters.com/world/asia-pacific/meta-put-ai-chip-into-production-september-it-looks-double-computing-capacity-2026-07-09/</t>
        </is>
      </c>
    </row>
    <row r="19">
      <c r="A19" s="44" t="inlineStr">
        <is>
          <t>GW capacity</t>
        </is>
      </c>
      <c r="B19" s="45" t="inlineStr">
        <is>
          <t>Google DeepMind</t>
        </is>
      </c>
      <c r="C19" s="46" t="inlineStr">
        <is>
          <t>TPU fleet (v6/v7 Ironwood) 1M+ accelerators; '&gt;1 GW of new compute online through 2026'; Alphabet capex ~$175-205B 2026 - Gemini-allocated share estimated here</t>
        </is>
      </c>
      <c r="D19" s="45" t="inlineStr">
        <is>
          <t>2026</t>
        </is>
      </c>
      <c r="E19" s="45" t="inlineStr">
        <is>
          <t>Momoview / Presenc AI / CNBC</t>
        </is>
      </c>
      <c r="F19" s="47" t="inlineStr">
        <is>
          <t>https://www.cnbc.com/2026/07/29/zuckerberg-metas-ai-capacity-dilemma-what-to-sell-vs-what-to-keep.html</t>
        </is>
      </c>
    </row>
    <row r="20">
      <c r="A20" s="44" t="inlineStr">
        <is>
          <t>GW capacity</t>
        </is>
      </c>
      <c r="B20" s="45" t="inlineStr">
        <is>
          <t>DeepSeek</t>
        </is>
      </c>
      <c r="C20" s="46" t="inlineStr">
        <is>
          <t>~20,000 H100-equivalent GPU fleet (founder briefing, mid-2026, 'most arrived in the past month or two'); 1 GW Ulanqab data center planned online late 2027-early 2028</t>
        </is>
      </c>
      <c r="D20" s="45" t="inlineStr">
        <is>
          <t>mid-2026</t>
        </is>
      </c>
      <c r="E20" s="45" t="inlineStr">
        <is>
          <t>XenoSpectrum / StartupHub</t>
        </is>
      </c>
      <c r="F20" s="47" t="inlineStr">
        <is>
          <t>https://xenospectrum.com/en/deepseek-forced-price-hike-demand-overwhelms-20000-gpu-fleet/</t>
        </is>
      </c>
    </row>
    <row r="21">
      <c r="A21" s="44" t="inlineStr">
        <is>
          <t>GW capacity</t>
        </is>
      </c>
      <c r="B21" s="45" t="inlineStr">
        <is>
          <t>Alibaba (Qwen)</t>
        </is>
      </c>
      <c r="C21" s="46" t="inlineStr">
        <is>
          <t>Quarterly capex US$9.975B (quarter ended Jun 2026, +75% YoY) largely AI infrastructure; 100-day hyperscale AIDC delivery; Zhenwu M890 supernode at commercial scale - AI-dedicated GW estimated here</t>
        </is>
      </c>
      <c r="D21" s="45" t="inlineStr">
        <is>
          <t>Jun 2026</t>
        </is>
      </c>
      <c r="E21" s="45" t="inlineStr">
        <is>
          <t>Alibaba earnings / SEC 6-K</t>
        </is>
      </c>
      <c r="F21" s="47" t="inlineStr">
        <is>
          <t>https://www.alibabagroup.com/en-US/document-2027233133950140416</t>
        </is>
      </c>
    </row>
    <row r="22">
      <c r="A22" s="44" t="inlineStr">
        <is>
          <t>GW capacity</t>
        </is>
      </c>
      <c r="B22" s="45" t="inlineStr">
        <is>
          <t>Industry total</t>
        </is>
      </c>
      <c r="C22" s="46" t="inlineStr">
        <is>
          <t>Top-10 AI models consume ~7.8 GW operational (2026), projected ~24 GW by end-2027; global operational AI compute &gt;15M H100e / &gt;10 GW (Epoch AI)</t>
        </is>
      </c>
      <c r="D22" s="45" t="inlineStr">
        <is>
          <t>2026</t>
        </is>
      </c>
      <c r="E22" s="45" t="inlineStr">
        <is>
          <t>jasperbernaers.com / Epoch AI via tokensperday</t>
        </is>
      </c>
      <c r="F22" s="47" t="inlineStr">
        <is>
          <t>https://jasperbernaers.com/ai-gigawatts/</t>
        </is>
      </c>
    </row>
    <row r="23">
      <c r="A23" s="44" t="inlineStr">
        <is>
          <t>Cost per GW</t>
        </is>
      </c>
      <c r="B23" s="45" t="inlineStr">
        <is>
          <t>Industry benchmark</t>
        </is>
      </c>
      <c r="C23" s="46" t="inlineStr">
        <is>
          <t>1 GW AI datacenter: $38B upfront capex (GB200-class, ~60% servers), $0.9B/yr opex, $8.5B/yr annualized TCO (5-yr IT / 14-yr facility lives)</t>
        </is>
      </c>
      <c r="D23" s="45" t="inlineStr">
        <is>
          <t>May 2026</t>
        </is>
      </c>
      <c r="E23" s="45" t="inlineStr">
        <is>
          <t>Epoch AI</t>
        </is>
      </c>
      <c r="F23" s="47" t="inlineStr">
        <is>
          <t>https://epoch.ai/data-insights/ai-datacenter-cost-breakdown</t>
        </is>
      </c>
    </row>
    <row r="24">
      <c r="A24" s="44" t="inlineStr">
        <is>
          <t>Cost per GW</t>
        </is>
      </c>
      <c r="B24" s="45" t="inlineStr">
        <is>
          <t>Industry benchmark</t>
        </is>
      </c>
      <c r="C24" s="46" t="inlineStr">
        <is>
          <t>Vera Rubin era ~$47B/GW all-in (Foxconn chairman; Bernstein $47.3B); Blackwell ~$40.5B; earlier Hopper ~$35B; NVIDIA guidance $50-60B; Turner &amp; Townsend $45-55B/GW campus</t>
        </is>
      </c>
      <c r="D24" s="45" t="inlineStr">
        <is>
          <t>2026</t>
        </is>
      </c>
      <c r="E24" s="45" t="inlineStr">
        <is>
          <t>GeoTechNexus / IT Voice</t>
        </is>
      </c>
      <c r="F24" s="47" t="inlineStr">
        <is>
          <t>https://geotechnexus.com/the-47-billion-gigawatt-what-vera-rubins-price-tag-tells-us-about-the-ai-build-out/</t>
        </is>
      </c>
    </row>
    <row r="25">
      <c r="A25" s="44" t="inlineStr">
        <is>
          <t>Cost per GW</t>
        </is>
      </c>
      <c r="B25" s="45" t="inlineStr">
        <is>
          <t>Industry benchmark</t>
        </is>
      </c>
      <c r="C25" s="46" t="inlineStr">
        <is>
          <t>A lab needs ~$31B/yr of end-user inference revenue per GW to clear base-case economics ($3.30/GPU-hr, 90% util.); $8.5B/yr annualized cost per GW</t>
        </is>
      </c>
      <c r="D25" s="45" t="inlineStr">
        <is>
          <t>Jun 2026</t>
        </is>
      </c>
      <c r="E25" s="45" t="inlineStr">
        <is>
          <t>YK Research</t>
        </is>
      </c>
      <c r="F25" s="47" t="inlineStr">
        <is>
          <t>https://investments.chiayong.com/ai-buildout/economics-2026-06-18/</t>
        </is>
      </c>
    </row>
    <row r="26">
      <c r="A26" s="44" t="inlineStr">
        <is>
          <t>Cost (lab-reported)</t>
        </is>
      </c>
      <c r="B26" s="45" t="inlineStr">
        <is>
          <t>OpenAI</t>
        </is>
      </c>
      <c r="C26" s="46" t="inlineStr">
        <is>
          <t>2025 operating loss $20.9B on $13.07B revenue; ~$17B/yr cash burn (2026); $1.4T+ datacenter commitments</t>
        </is>
      </c>
      <c r="D26" s="45" t="inlineStr">
        <is>
          <t>2025-2026</t>
        </is>
      </c>
      <c r="E26" s="45" t="inlineStr">
        <is>
          <t>ValueAdd VC / Happycapy</t>
        </is>
      </c>
      <c r="F26" s="47" t="inlineStr">
        <is>
          <t>https://happycapyguide.com/blog/openai-15-billion-tokens-per-minute-25-billion-revenue-ai-scale-2026</t>
        </is>
      </c>
    </row>
    <row r="27">
      <c r="A27" s="44" t="inlineStr">
        <is>
          <t>Cost (lab-reported)</t>
        </is>
      </c>
      <c r="B27" s="45" t="inlineStr">
        <is>
          <t>xAI</t>
        </is>
      </c>
      <c r="C27" s="46" t="inlineStr">
        <is>
          <t>~$1B/month infrastructure + training burn; Q1 2026 operating loss $2.47B</t>
        </is>
      </c>
      <c r="D27" s="45" t="inlineStr">
        <is>
          <t>2026</t>
        </is>
      </c>
      <c r="E27" s="45" t="inlineStr">
        <is>
          <t>ValueAdd VC / Bloomberg</t>
        </is>
      </c>
      <c r="F27" s="47" t="inlineStr">
        <is>
          <t>https://valueaddvc.com/blog/xai-revenue-how-grok-and-the-api-actually-make-money</t>
        </is>
      </c>
    </row>
    <row r="28">
      <c r="A28" s="44" t="inlineStr">
        <is>
          <t>Cost (lab-reported)</t>
        </is>
      </c>
      <c r="B28" s="45" t="inlineStr">
        <is>
          <t>Meta (Llama)</t>
        </is>
      </c>
      <c r="C28" s="46" t="inlineStr">
        <is>
          <t>2026 capex guidance $130-145B (company-wide, AI-driven); JV structures with BlackRock / Blue Owl for El Paso and Louisiana sites</t>
        </is>
      </c>
      <c r="D28" s="45" t="inlineStr">
        <is>
          <t>Jul 2026</t>
        </is>
      </c>
      <c r="E28" s="45" t="inlineStr">
        <is>
          <t>CNBC / InsideAI</t>
        </is>
      </c>
      <c r="F28" s="47" t="inlineStr">
        <is>
          <t>https://insideai.news/news/ai-hardware-infrastructure/meta-raises-2026-capex-floor-to-130-billion-for-ai-data-centers/6493/</t>
        </is>
      </c>
    </row>
    <row r="29">
      <c r="A29" s="44" t="inlineStr">
        <is>
          <t>Cost (lab-reported)</t>
        </is>
      </c>
      <c r="B29" s="45" t="inlineStr">
        <is>
          <t>Anthropic</t>
        </is>
      </c>
      <c r="C29" s="46" t="inlineStr">
        <is>
          <t>Positive adjusted operating income in Q2 2026 (implies compute cost below $11.5B quarterly revenue); $50B own-datacenter program with Fluidstack (TX, NY)</t>
        </is>
      </c>
      <c r="D29" s="45" t="inlineStr">
        <is>
          <t>Q2 2026</t>
        </is>
      </c>
      <c r="E29" s="45" t="inlineStr">
        <is>
          <t>Bloomberg / TCDEV</t>
        </is>
      </c>
      <c r="F29" s="47" t="inlineStr">
        <is>
          <t>https://www.tcdev.de/blog/where-are-claudes-data-centers/</t>
        </is>
      </c>
    </row>
    <row r="30">
      <c r="A30" s="44" t="inlineStr">
        <is>
          <t>Token volume</t>
        </is>
      </c>
      <c r="B30" s="45" t="inlineStr">
        <is>
          <t>Google DeepMind</t>
        </is>
      </c>
      <c r="C30" s="46" t="inlineStr">
        <is>
          <t>9.7T tokens/month May 2024 -&gt; ~480T May 2025 -&gt; 3.2 quadrillion May 2026 (all surfaces, disclosed at I/O); model APIs 19B tokens/min May 2026, 22B/min Q2 2026 earnings (~1Q/month API alone); 10B/min Q4 2025</t>
        </is>
      </c>
      <c r="D30" s="45" t="inlineStr">
        <is>
          <t>May-Jul 2026</t>
        </is>
      </c>
      <c r="E30" s="45" t="inlineStr">
        <is>
          <t>Google I/O 2026 keynote / io-fund</t>
        </is>
      </c>
      <c r="F30" s="47" t="inlineStr">
        <is>
          <t>https://blog.google/innovation-and-ai/sundar-pichai-io-2026/</t>
        </is>
      </c>
    </row>
    <row r="31">
      <c r="A31" s="44" t="inlineStr">
        <is>
          <t>Token volume</t>
        </is>
      </c>
      <c r="B31" s="45" t="inlineStr">
        <is>
          <t>OpenAI</t>
        </is>
      </c>
      <c r="C31" s="46" t="inlineStr">
        <is>
          <t>API 6B tokens/min at DevDay 2025 (Oct) -&gt; 15B+ tokens/min Q1-2026 (CRO memo Apr 8 2026); 900M+ weekly ChatGPT users (first-party traffic est. on top of API)</t>
        </is>
      </c>
      <c r="D31" s="45" t="inlineStr">
        <is>
          <t>2025-2026</t>
        </is>
      </c>
      <c r="E31" s="45" t="inlineStr">
        <is>
          <t>Shuai Guan compilation / Casky</t>
        </is>
      </c>
      <c r="F31" s="47" t="inlineStr">
        <is>
          <t>https://shuaiguan.io/blog/openai-statistics</t>
        </is>
      </c>
    </row>
    <row r="32">
      <c r="A32" s="44" t="inlineStr">
        <is>
          <t>Token volume</t>
        </is>
      </c>
      <c r="B32" s="45" t="inlineStr">
        <is>
          <t>Anthropic</t>
        </is>
      </c>
      <c r="C32" s="46" t="inlineStr">
        <is>
          <t>No disclosed aggregate. OpenRouter slice: ~24.7T/month routed, 11.8% of routed volume but 58.7% of routed spend (Jul 2026). Series here estimated from revenue / blended ~$10 per M tokens</t>
        </is>
      </c>
      <c r="D32" s="45" t="inlineStr">
        <is>
          <t>Jul 2026</t>
        </is>
      </c>
      <c r="E32" s="45" t="inlineStr">
        <is>
          <t>Fabryka OpenRouter memo / Dirac</t>
        </is>
      </c>
      <c r="F32" s="47" t="inlineStr">
        <is>
          <t>https://ort.fabryka.ai/research.html</t>
        </is>
      </c>
    </row>
    <row r="33">
      <c r="A33" s="44" t="inlineStr">
        <is>
          <t>Token volume</t>
        </is>
      </c>
      <c r="B33" s="45" t="inlineStr">
        <is>
          <t>DeepSeek</t>
        </is>
      </c>
      <c r="C33" s="46" t="inlineStr">
        <is>
          <t>22.6% of OpenRouter routed tokens (~47.3T/month, Jul 2026), largest single lab; ~23% of Vercel tokens Jun 2026; total incl. Chinese clouds + self-hosted estimated here</t>
        </is>
      </c>
      <c r="D33" s="45" t="inlineStr">
        <is>
          <t>Jun-Jul 2026</t>
        </is>
      </c>
      <c r="E33" s="45" t="inlineStr">
        <is>
          <t>Capital &amp; Compute / Fabryka / AI Weekly</t>
        </is>
      </c>
      <c r="F33" s="47" t="inlineStr">
        <is>
          <t>https://capitalandcompute.net/blog/open-source-llms-overtake-2026/</t>
        </is>
      </c>
    </row>
    <row r="34">
      <c r="A34" s="44" t="inlineStr">
        <is>
          <t>Token volume</t>
        </is>
      </c>
      <c r="B34" s="45" t="inlineStr">
        <is>
          <t>Market structure</t>
        </is>
      </c>
      <c r="C34" s="46" t="inlineStr">
        <is>
          <t>Open-weight models overtook proprietary on OpenRouter: 40/60 Mar 2026 -&gt; 60/40 Jun 2026 (~6T tokens/day routed); Chinese-origin models ~46-61% of routed tokens; Meta Llama &lt;1% of routed volume</t>
        </is>
      </c>
      <c r="D34" s="45" t="inlineStr">
        <is>
          <t>Jun 2026</t>
        </is>
      </c>
      <c r="E34" s="45" t="inlineStr">
        <is>
          <t>Dirac / Capital &amp; Compute / DataGravity</t>
        </is>
      </c>
      <c r="F34" s="47" t="inlineStr">
        <is>
          <t>https://dirac.run/labs-market-share</t>
        </is>
      </c>
    </row>
    <row r="35">
      <c r="A35" s="44" t="inlineStr">
        <is>
          <t>Token volume</t>
        </is>
      </c>
      <c r="B35" s="45" t="inlineStr">
        <is>
          <t>Global anchors</t>
        </is>
      </c>
      <c r="C35" s="46" t="inlineStr">
        <is>
          <t>Global inference ~360-430T tokens/day mid-2026 (~11-13 quadrillion/month); Goldman: 1.7Q/month mid-2025 -&gt; 47Q/month 2028F; OpenRouter on pace for &gt;1Q routed tokens in 2026</t>
        </is>
      </c>
      <c r="D35" s="45" t="inlineStr">
        <is>
          <t>mid-2026</t>
        </is>
      </c>
      <c r="E35" s="45" t="inlineStr">
        <is>
          <t>tokensperday.com / Epoch AI / io-fund</t>
        </is>
      </c>
      <c r="F35" s="47" t="inlineStr">
        <is>
          <t>https://tokensperday.com/</t>
        </is>
      </c>
    </row>
    <row r="36">
      <c r="A36" s="44" t="inlineStr">
        <is>
          <t>Context</t>
        </is>
      </c>
      <c r="B36" s="45" t="inlineStr">
        <is>
          <t>Valuations</t>
        </is>
      </c>
      <c r="C36" s="46" t="inlineStr">
        <is>
          <t>OpenAI $852B (Mar 2026, $122B round); Anthropic $380B Series G (secondaries ~$1T); xAI $230B Series E (SpaceX merger ~$1.25T combined); DeepSeek $52B; Mistral ~$15B</t>
        </is>
      </c>
      <c r="D36" s="45" t="inlineStr">
        <is>
          <t>2026</t>
        </is>
      </c>
      <c r="E36" s="45" t="inlineStr">
        <is>
          <t>Bloomberg / Presenc AI / Caixin</t>
        </is>
      </c>
      <c r="F36" s="47" t="inlineStr">
        <is>
          <t>https://presenc.ai/research/ai-lab-revenue-and-valuation-2026</t>
        </is>
      </c>
    </row>
    <row r="39">
      <c r="A39" s="48" t="inlineStr">
        <is>
          <t>Methodology</t>
        </is>
      </c>
    </row>
    <row r="40" ht="70" customHeight="1">
      <c r="A40" s="35" t="inlineStr">
        <is>
          <t>GW capacity</t>
        </is>
      </c>
      <c r="C40" s="4" t="inlineStr">
        <is>
          <t>Operational IT power (owned + leased) serving each lab at quarter end, in gigawatts. Interpolated between disclosed anchors (cluster energizations, GPU counts converted at ~1.4 kW/H100e all-in). NOT the same as contracted/announced capacity, which is far larger (e.g. OpenAI 9+ GW, Anthropic 8.5+ GW, Meta 14 GW by 2027). Meta's figure covers its whole AI accelerator fleet incl. ranking/recsys, so it is not directly comparable to model-only estimates. Error bars are wide: +/-30% or more.</t>
        </is>
      </c>
    </row>
    <row r="41" ht="70" customHeight="1">
      <c r="A41" s="35" t="inlineStr">
        <is>
          <t>Quarterly revenue</t>
        </is>
      </c>
      <c r="C41" s="4" t="inlineStr">
        <is>
          <t>Booked revenue per calendar quarter, $B. Anthropic Q2 2025/Q2 2026 and Alibaba Q2 2026 are disclosed; OpenAI annual totals (2024: $3.7B, 2025: $13.07B) are disclosed and split across quarters along the run-rate curve; everything else interpolated from disclosed run rates. Alibaba = 'AI-related product revenue' only (excludes broader AI Cloud &amp; Compute). Meta has no separable model revenue (monetizes via ads). Note OpenAI reports net of cloud-partner costs while Anthropic includes gross reseller revenue - not perfectly comparable.</t>
        </is>
      </c>
    </row>
    <row r="42" ht="42" customHeight="1">
      <c r="A42" s="35" t="inlineStr">
        <is>
          <t>Revenue run rate (ARR)</t>
        </is>
      </c>
      <c r="C42" s="4" t="inlineStr">
        <is>
          <t>Annualized revenue run rate at quarter end, $B, as disclosed by companies or estimated. This is the metric labs quote publicly (e.g. Anthropic $65B Jul 2026, OpenAI $40B Aug 2026). Alibaba ARR = quarterly AI-related product revenue x4.</t>
        </is>
      </c>
    </row>
    <row r="43" ht="70" customHeight="1">
      <c r="A43" s="35" t="inlineStr">
        <is>
          <t>Compute cost</t>
        </is>
      </c>
      <c r="C43" s="4" t="inlineStr">
        <is>
          <t>Estimated quarterly compute cost = operational GW x $8.5B/GW/yr annualized TCO (Epoch AI benchmark: 5-yr server / 14-yr facility depreciation + opex) / 4. This proxies economic cost, not cash capex. Reported anchors for calibration: OpenAI ~$17B/yr burn, xAI ~$1B/month, Anthropic adjusted-operating-income positive in Q2 2026. Leased capacity (OpenAI, Anthropic) likely carries a rental premium above this benchmark; efficient self-builds (xAI, DeepSeek) may run below.</t>
        </is>
      </c>
    </row>
    <row r="44" ht="42" customHeight="1">
      <c r="A44" s="35" t="inlineStr">
        <is>
          <t>Build capex per GW</t>
        </is>
      </c>
      <c r="C44" s="4" t="inlineStr">
        <is>
          <t>Industry all-in cost to BUILD 1 GW (facility + power + IT), $B/GW, by dominant GPU generation: Hopper ~$32-35B (2024), Blackwell ~$38-40.5B (2025), Vera Rubin ~$47B (2026). Sources: Epoch AI ($38B GB200-class), Bernstein/Foxconn ($47B Rubin), Turner &amp; Townsend ($45-55B).</t>
        </is>
      </c>
    </row>
    <row r="45" ht="56" customHeight="1">
      <c r="A45" s="35" t="inlineStr">
        <is>
          <t>Revenue per GW</t>
        </is>
      </c>
      <c r="C45" s="4" t="inlineStr">
        <is>
          <t>Annualized run-rate revenue / operational GW, $B per GW per year. Benchmark: a GW must generate ~$31B/yr of inference revenue to clear base-case economics (YK Research). Labs below that line are subsidizing growth with capital; labs near/above it have workable unit economics. Google's low figure partly reflects un-monetized internal usage (Search AI, Workspace).</t>
        </is>
      </c>
    </row>
    <row r="46" ht="42" customHeight="1">
      <c r="A46" s="35" t="inlineStr">
        <is>
          <t>Cost per GW</t>
        </is>
      </c>
      <c r="C46" s="4" t="inlineStr">
        <is>
          <t>Two views: (1) annualized TCO ~$8.5B/GW/yr (same for all labs, Epoch benchmark); (2) build capex per GW time series above. Per-lab true costs vary with chip generation, lease vs own, power strategy, and utilization but are not separately disclosed.</t>
        </is>
      </c>
    </row>
    <row r="47" ht="70" customHeight="1">
      <c r="A47" s="35" t="inlineStr">
        <is>
          <t>Token volume</t>
        </is>
      </c>
      <c r="C47" s="4" t="inlineStr">
        <is>
          <t>Trillions of tokens processed per quarter, all surfaces (first-party apps + API + self-hosted where estimable). Google is derived from three disclosed monthly anchors (9.7T -&gt; 480T -&gt; 3,200T/month) via exponential interpolation. OpenAI from disclosed API tokens/min (6B Oct 2025, 15B Q1 2026) x ~1.8 for first-party ChatGPT traffic. Anthropic/xAI/Mistral estimated from revenue and blended price per token. DeepSeek/Qwen/Meta include self-hosted open-weight usage, which no one measures directly - treat as order-of-magnitude.</t>
        </is>
      </c>
    </row>
    <row r="48" ht="56" customHeight="1">
      <c r="A48" s="35" t="inlineStr">
        <is>
          <t>Lab selection</t>
        </is>
      </c>
      <c r="C48" s="4" t="inlineStr">
        <is>
          <t>Frontier (closed): OpenAI, Anthropic, Google DeepMind, xAI. Open-weight: Meta (Llama), DeepSeek, Alibaba (Qwen), Mistral AI. Other open-weight labs (Moonshot/Kimi ~$500M ARR, Zhipu/Z.AI ~$480M, MiniMax, Xiaomi MiMo ~17.5% of OpenRouter tokens) are material to token share but excluded as rows for lack of capacity/revenue disclosure; see Sources.</t>
        </is>
      </c>
    </row>
    <row r="49" ht="56" customHeight="1">
      <c r="A49" s="35" t="inlineStr">
        <is>
          <t>General caveats</t>
        </is>
      </c>
      <c r="C49" s="4" t="inlineStr">
        <is>
          <t>Compiled Aug 23, 2026 from public reporting, company disclosures, and analyst estimates. Q3 2026 is partial (quarter-to-date run rates annualized/extrapolated). Private-company figures are unaudited and sometimes conflicting across sources (conflicts noted in Sources sheet, e.g. xAI ARR $0.5B vs $1.5B; Anthropic FY2025 ~$4.5B booked vs ~$9-10B gross). All dollar figures nominal USD billions.</t>
        </is>
      </c>
    </row>
  </sheetData>
  <mergeCells count="10">
    <mergeCell ref="C40:F40"/>
    <mergeCell ref="C47:F47"/>
    <mergeCell ref="C45:F45"/>
    <mergeCell ref="C48:F48"/>
    <mergeCell ref="C49:F49"/>
    <mergeCell ref="C43:F43"/>
    <mergeCell ref="C46:F46"/>
    <mergeCell ref="C41:F41"/>
    <mergeCell ref="C42:F42"/>
    <mergeCell ref="C44:F44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2026-08-23T21:17:50Z</dcterms:created>
  <dcterms:modified xsi:type="dcterms:W3CDTF">2026-08-23T21:17:50Z</dcterms:modified>
</cp:coreProperties>
</file>