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Summary" sheetId="2" state="visible" r:id="rId4"/>
    <sheet name="Assumptions" sheetId="3" state="visible" r:id="rId5"/>
    <sheet name="Segments" sheetId="4" state="visible" r:id="rId6"/>
    <sheet name="Deal &amp; PPA" sheetId="5" state="visible" r:id="rId7"/>
    <sheet name="Schedules" sheetId="6" state="visible" r:id="rId8"/>
    <sheet name="Income Statement" sheetId="7" state="visible" r:id="rId9"/>
    <sheet name="Balance Sheet" sheetId="8" state="visible" r:id="rId10"/>
    <sheet name="Cash Flow" sheetId="9" state="visible" r:id="rId11"/>
    <sheet name="Check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<sst xmlns="http://schemas.openxmlformats.org/spreadsheetml/2006/main" count="386" uniqueCount="285">
  <si>
    <t xml:space="preserve">SpaceX  ×  Cursor</t>
  </si>
  <si>
    <t xml:space="preserve">Pro-Forma Three-Statement Model — Segmented</t>
  </si>
  <si>
    <t xml:space="preserve">Transaction: SpaceX acquires Cursor (Anysphere, Inc.) — announced 16-Jun-2026</t>
  </si>
  <si>
    <t xml:space="preserve">Consideration: ~US$60bn, 100% SpaceX Class A stock; expected close Q3-2026</t>
  </si>
  <si>
    <t xml:space="preserve">Strategic rationale: AI / developer-tools capability following the Feb-2026 xAI combination</t>
  </si>
  <si>
    <t xml:space="preserve">Segments modelled: Space (launch + Starshield), Starlink, and xAI-Cursor (xAI/Grok + Cursor)</t>
  </si>
  <si>
    <t xml:space="preserve">Contents:</t>
  </si>
  <si>
    <t xml:space="preserve">   • Summary — output dashboard consolidating all key results</t>
  </si>
  <si>
    <t xml:space="preserve">   • Assumptions — all input drivers (blue cells are editable inputs)</t>
  </si>
  <si>
    <t xml:space="preserve">   • Segments — Space, Starlink &amp; xAI-Cursor: revenue, EBITDA &amp; EPS contribution</t>
  </si>
  <si>
    <t xml:space="preserve">   • Deal &amp; PPA — purchase price allocation, goodwill, intangibles</t>
  </si>
  <si>
    <t xml:space="preserve">   • Schedules — PP&amp;E, intangibles/DTL, debt &amp; spectrum, tax/NOL</t>
  </si>
  <si>
    <t xml:space="preserve">   • Income Statement — segment-driven P&amp;L with EPS contribution by segment</t>
  </si>
  <si>
    <t xml:space="preserve">   • Balance Sheet — purchase-accounting bridge + projections</t>
  </si>
  <si>
    <t xml:space="preserve">   • Cash Flow — integrated cash flow statement</t>
  </si>
  <si>
    <t xml:space="preserve">   • Checks — balance, cash-flow and segment EPS integrity checks</t>
  </si>
  <si>
    <t xml:space="preserve">All figures in US$ millions unless stated. The workbook is fully formula-linked:</t>
  </si>
  <si>
    <t xml:space="preserve">change any blue input on the Assumptions tab and all three statements recalculate.</t>
  </si>
  <si>
    <t xml:space="preserve">DISCLAIMER: Illustrative model for analytical purposes only. Built from public</t>
  </si>
  <si>
    <t xml:space="preserve">estimates and reasonable assumptions; not investment advice and not company-verified.</t>
  </si>
  <si>
    <t xml:space="preserve">SUMMARY / OUTPUT DASHBOARD — SpaceX × Cursor pro-forma (US$M unless noted)</t>
  </si>
  <si>
    <t xml:space="preserve">Live view of the model output. All figures link to the underlying tabs; edit blue inputs on Assumptions to update everything.</t>
  </si>
  <si>
    <t xml:space="preserve">2025A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</si>
  <si>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</si>
  <si>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</si>
  <si>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</si>
  <si>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</si>
  <si>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</si>
  <si>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Revenue &amp; profitability</t>
  </si>
  <si>
    <t xml:space="preserve">  Revenue — Space</t>
  </si>
  <si>
    <t xml:space="preserve">  Revenue — Starlink</t>
  </si>
  <si>
    <t xml:space="preserve">  Revenue — xAI-Cursor</t>
  </si>
  <si>
    <t xml:space="preserve">  Total revenue</t>
  </si>
  <si>
    <t xml:space="preserve">  Total EBITDA</t>
  </si>
  <si>
    <t xml:space="preserve">  EBITDA margin %</t>
  </si>
  <si>
    <t xml:space="preserve">  EBIT (operating income)</t>
  </si>
  <si>
    <t xml:space="preserve">  Net income (loss)</t>
  </si>
  <si>
    <t xml:space="preserve">  Diluted EPS ($)</t>
  </si>
  <si>
    <t xml:space="preserve">EPS contribution by segment ($)</t>
  </si>
  <si>
    <t xml:space="preserve">  Space</t>
  </si>
  <si>
    <t xml:space="preserve">  Starlink</t>
  </si>
  <si>
    <t xml:space="preserve">  xAI-Cursor</t>
  </si>
  <si>
    <t xml:space="preserve">  Total diluted EPS ($)</t>
  </si>
  <si>
    <t xml:space="preserve">Capex, depreciation &amp; net PP&amp;E by segment</t>
  </si>
  <si>
    <t xml:space="preserve">  Capex — Space</t>
  </si>
  <si>
    <t xml:space="preserve">  Capex — Starlink</t>
  </si>
  <si>
    <t xml:space="preserve">  Capex — xAI-Cursor</t>
  </si>
  <si>
    <t xml:space="preserve">  Total capex</t>
  </si>
  <si>
    <t xml:space="preserve">  Depreciation — Space</t>
  </si>
  <si>
    <t xml:space="preserve">  Depreciation — Starlink</t>
  </si>
  <si>
    <t xml:space="preserve">  Depreciation — xAI-Cursor</t>
  </si>
  <si>
    <t xml:space="preserve">  Total depreciation</t>
  </si>
  <si>
    <t xml:space="preserve">  Total net PP&amp;E (ending)</t>
  </si>
  <si>
    <t xml:space="preserve">Balance sheet highlights</t>
  </si>
  <si>
    <t xml:space="preserve">  Cash &amp; ST investments</t>
  </si>
  <si>
    <t xml:space="preserve">  Total assets</t>
  </si>
  <si>
    <t xml:space="preserve">  Total liabilities</t>
  </si>
  <si>
    <t xml:space="preserve">  Total equity</t>
  </si>
  <si>
    <t xml:space="preserve">Cash flow highlights</t>
  </si>
  <si>
    <t xml:space="preserve">  Cash from operations</t>
  </si>
  <si>
    <t xml:space="preserve">  Capital expenditures</t>
  </si>
  <si>
    <t xml:space="preserve">  Free cash flow (CFO − capex)</t>
  </si>
  <si>
    <t xml:space="preserve">  Cash from financing</t>
  </si>
  <si>
    <t xml:space="preserve">  Ending cash</t>
  </si>
  <si>
    <t xml:space="preserve">Transaction highlights</t>
  </si>
  <si>
    <t xml:space="preserve">  Equity purchase price ($M)</t>
  </si>
  <si>
    <t xml:space="preserve">  New SpaceX shares issued (M)</t>
  </si>
  <si>
    <t xml:space="preserve">  Identifiable intangibles ($M)</t>
  </si>
  <si>
    <t xml:space="preserve">  Goodwill ($M)</t>
  </si>
  <si>
    <t xml:space="preserve">Integrity checks (≈ 0)</t>
  </si>
  <si>
    <t xml:space="preserve">  Balance sheet balances</t>
  </si>
  <si>
    <t xml:space="preserve">  Cash flow ties to BS cash</t>
  </si>
  <si>
    <t xml:space="preserve">  Segment NI sums to total</t>
  </si>
  <si>
    <t xml:space="preserve">  Segment EPS sums to total</t>
  </si>
  <si>
    <t xml:space="preserve">ASSUMPTIONS &amp; DRIVERS  (US$ millions unless noted; blue = input)</t>
  </si>
  <si>
    <t xml:space="preserve">Operating segments — revenue &amp; profitability</t>
  </si>
  <si>
    <t xml:space="preserve">  Space (launch services + Starshield)</t>
  </si>
  <si>
    <t xml:space="preserve">    Revenue, FY2025 ($M)</t>
  </si>
  <si>
    <t xml:space="preserve">    Revenue growth %</t>
  </si>
  <si>
    <t xml:space="preserve">    EBITDA margin %</t>
  </si>
  <si>
    <t xml:space="preserve">  Starlink (satellite connectivity)</t>
  </si>
  <si>
    <t xml:space="preserve">  xAI-Cursor (AI: xAI/Grok + Cursor)</t>
  </si>
  <si>
    <t xml:space="preserve">    Organic revenue, FY2025 ($M) [xAI ~1,300 + Cursor ~450]</t>
  </si>
  <si>
    <t xml:space="preserve">    Organic revenue growth %</t>
  </si>
  <si>
    <t xml:space="preserve">    EBITDA margin % (pre-synergies)</t>
  </si>
  <si>
    <t xml:space="preserve">Pro-forma deal effects (within xAI-Cursor segment)</t>
  </si>
  <si>
    <t xml:space="preserve">  Revenue synergies ($M) [Grok+Cursor cross-sell]</t>
  </si>
  <si>
    <t xml:space="preserve">  Cost synergies ($M) [in-source inference on xAI/Starlink]</t>
  </si>
  <si>
    <t xml:space="preserve">  Integration &amp; one-time deal costs ($M)</t>
  </si>
  <si>
    <t xml:space="preserve">Capital, financing &amp; other</t>
  </si>
  <si>
    <t xml:space="preserve">  Space — capex % of segment revenue</t>
  </si>
  <si>
    <t xml:space="preserve">  Starlink — capex % of segment revenue</t>
  </si>
  <si>
    <t xml:space="preserve">  xAI-Cursor — capex % of segment revenue</t>
  </si>
  <si>
    <t xml:space="preserve">  Space — depreciation % of beginning PP&amp;E</t>
  </si>
  <si>
    <t xml:space="preserve">  Starlink — depreciation % of beginning PP&amp;E</t>
  </si>
  <si>
    <t xml:space="preserve">  xAI-Cursor — depreciation % of beginning PP&amp;E</t>
  </si>
  <si>
    <t xml:space="preserve">  Space — opening net PP&amp;E ($M)</t>
  </si>
  <si>
    <t xml:space="preserve">  xAI-Cursor — opening net PP&amp;E ($M)</t>
  </si>
  <si>
    <t xml:space="preserve">Starlink opening = total − Space − xAI-Cursor</t>
  </si>
  <si>
    <t xml:space="preserve">  Stock-based comp % of revenue</t>
  </si>
  <si>
    <t xml:space="preserve">  Net new long-term debt ($M)</t>
  </si>
  <si>
    <t xml:space="preserve">  Spectrum obligation repayment ($M)</t>
  </si>
  <si>
    <t xml:space="preserve">  Primary equity issuance / IPO proceeds ($M)</t>
  </si>
  <si>
    <t xml:space="preserve">SpaceX June-2026 IPO</t>
  </si>
  <si>
    <t xml:space="preserve">  Interest rate on debt &amp; spectrum obligation</t>
  </si>
  <si>
    <t xml:space="preserve">  Interest income rate on cash</t>
  </si>
  <si>
    <t xml:space="preserve">  Statutory tax rate</t>
  </si>
  <si>
    <t xml:space="preserve">  Opening NOL carryforward, FY2025 ($M)</t>
  </si>
  <si>
    <t xml:space="preserve">SpaceX accumulated + Cursor</t>
  </si>
  <si>
    <t xml:space="preserve">  NOL usage limit (% of taxable income)</t>
  </si>
  <si>
    <t xml:space="preserve">  SpaceX shares pre-deal (M)</t>
  </si>
  <si>
    <t xml:space="preserve">  SpaceX share price, deal pricing ($)</t>
  </si>
  <si>
    <t xml:space="preserve">Working capital ratios (% of revenue)</t>
  </si>
  <si>
    <t xml:space="preserve">  Accounts receivable (% of revenue)</t>
  </si>
  <si>
    <t xml:space="preserve">  Inventory (% of revenue)</t>
  </si>
  <si>
    <t xml:space="preserve">  Prepaid &amp; other current assets (% of revenue)</t>
  </si>
  <si>
    <t xml:space="preserve">  Accounts payable (% of revenue)</t>
  </si>
  <si>
    <t xml:space="preserve">  Accrued liabilities (% of revenue)</t>
  </si>
  <si>
    <t xml:space="preserve">  Deferred revenue, current (% of revenue)</t>
  </si>
  <si>
    <t xml:space="preserve">  Customer deposits &amp; advances (% of revenue)</t>
  </si>
  <si>
    <t xml:space="preserve">OPERATING SEGMENTS — revenue, EBITDA &amp; EPS contribution (US$M)</t>
  </si>
  <si>
    <t xml:space="preserve">xAI-Cursor combines xAI/Grok with the acquired Cursor business and carries all deal synergies, integration costs and acquired-intangible amortization.</t>
  </si>
  <si>
    <t xml:space="preserve">Revenue by segment</t>
  </si>
  <si>
    <t xml:space="preserve">  xAI-Cursor — organic</t>
  </si>
  <si>
    <t xml:space="preserve">  xAI-Cursor — revenue synergies</t>
  </si>
  <si>
    <t xml:space="preserve">  xAI-Cursor — total</t>
  </si>
  <si>
    <t xml:space="preserve">EBITDA by segment</t>
  </si>
  <si>
    <t xml:space="preserve">  xAI-Cursor (incl. cost synergies less integration)</t>
  </si>
  <si>
    <t xml:space="preserve">  Total EBITDA margin %</t>
  </si>
  <si>
    <t xml:space="preserve">Segment contribution to net income &amp; EPS</t>
  </si>
  <si>
    <t xml:space="preserve">  Segment D&amp;A from the PP&amp;E schedule; net interest &amp; tax allocated by revenue share.</t>
  </si>
  <si>
    <t xml:space="preserve">     EBITDA</t>
  </si>
  <si>
    <t xml:space="preserve">     Less: depreciation</t>
  </si>
  <si>
    <t xml:space="preserve">     Less: intangible amortization</t>
  </si>
  <si>
    <t xml:space="preserve">     EBIT</t>
  </si>
  <si>
    <t xml:space="preserve">     Net interest (alloc.)</t>
  </si>
  <si>
    <t xml:space="preserve">     Pre-tax income</t>
  </si>
  <si>
    <t xml:space="preserve">     Income tax (alloc.)</t>
  </si>
  <si>
    <t xml:space="preserve">     Net income contribution</t>
  </si>
  <si>
    <t xml:space="preserve">     EPS contribution ($)</t>
  </si>
  <si>
    <t xml:space="preserve">  Total net income (check vs IS)</t>
  </si>
  <si>
    <t xml:space="preserve">DEAL STRUCTURE &amp; PURCHASE PRICE ALLOCATION (US$M)</t>
  </si>
  <si>
    <t xml:space="preserve">All-stock acquisition announced 16-Jun-2026; expected close Q3-2026. Modelled as effective 1-Jan-2026 for full-year pro-forma comparability.</t>
  </si>
  <si>
    <t xml:space="preserve">Consideration</t>
  </si>
  <si>
    <t xml:space="preserve">  Equity purchase price (100% stock)</t>
  </si>
  <si>
    <t xml:space="preserve">  SpaceX share price at pricing ($)</t>
  </si>
  <si>
    <t xml:space="preserve">Fair value of identifiable net assets acquired</t>
  </si>
  <si>
    <t xml:space="preserve">  Cash &amp; equivalents</t>
  </si>
  <si>
    <t xml:space="preserve">  Accounts receivable</t>
  </si>
  <si>
    <t xml:space="preserve">  Prepaid &amp; other current assets</t>
  </si>
  <si>
    <t xml:space="preserve">  Property &amp; equipment</t>
  </si>
  <si>
    <t xml:space="preserve">  Less: liabilities assumed</t>
  </si>
  <si>
    <t xml:space="preserve">  Net tangible assets</t>
  </si>
  <si>
    <t xml:space="preserve">Identifiable intangible assets</t>
  </si>
  <si>
    <t xml:space="preserve">  Developed technology (IDE + agent models)</t>
  </si>
  <si>
    <t xml:space="preserve">    Useful life (yrs)</t>
  </si>
  <si>
    <t xml:space="preserve">  Customer relationships (enterprise contracts)</t>
  </si>
  <si>
    <t xml:space="preserve">  Trade name (Cursor)</t>
  </si>
  <si>
    <t xml:space="preserve">  Total identifiable intangibles</t>
  </si>
  <si>
    <t xml:space="preserve">  Annual intangible amortization</t>
  </si>
  <si>
    <t xml:space="preserve">Goodwill &amp; deferred tax</t>
  </si>
  <si>
    <t xml:space="preserve">  Deferred tax liability on intangibles</t>
  </si>
  <si>
    <t xml:space="preserve">  FV of identifiable net assets (incl. intangibles, net of DTL)</t>
  </si>
  <si>
    <t xml:space="preserve">  Goodwill</t>
  </si>
  <si>
    <t xml:space="preserve">SUPPORTING SCHEDULES (US$M)</t>
  </si>
  <si>
    <t xml:space="preserve">Property, plant &amp; equipment — forecast by segment</t>
  </si>
  <si>
    <t xml:space="preserve">     Beginning net PP&amp;E</t>
  </si>
  <si>
    <t xml:space="preserve">     (+) Capital expenditures</t>
  </si>
  <si>
    <t xml:space="preserve">     (−) Depreciation</t>
  </si>
  <si>
    <t xml:space="preserve">     Ending net PP&amp;E</t>
  </si>
  <si>
    <t xml:space="preserve">  Total — all segments</t>
  </si>
  <si>
    <t xml:space="preserve">     Total beginning net PP&amp;E</t>
  </si>
  <si>
    <t xml:space="preserve">     (+) Total capital expenditures</t>
  </si>
  <si>
    <t xml:space="preserve">     (−) Total depreciation</t>
  </si>
  <si>
    <t xml:space="preserve">     Total ending net PP&amp;E</t>
  </si>
  <si>
    <t xml:space="preserve">Acquired intangibles &amp; deferred tax</t>
  </si>
  <si>
    <t xml:space="preserve">  Beginning intangibles, net</t>
  </si>
  <si>
    <t xml:space="preserve">  Amortization</t>
  </si>
  <si>
    <t xml:space="preserve">  Ending intangibles, net</t>
  </si>
  <si>
    <t xml:space="preserve">  Beginning deferred tax liability</t>
  </si>
  <si>
    <t xml:space="preserve">  Change in DTL (deferred tax benefit)</t>
  </si>
  <si>
    <t xml:space="preserve">  Ending deferred tax liability</t>
  </si>
  <si>
    <t xml:space="preserve">Debt &amp; spectrum obligation</t>
  </si>
  <si>
    <t xml:space="preserve">  Beginning long-term debt</t>
  </si>
  <si>
    <t xml:space="preserve">  Net draws / (repayments)</t>
  </si>
  <si>
    <t xml:space="preserve">  Ending long-term debt</t>
  </si>
  <si>
    <t xml:space="preserve">  Beginning spectrum obligation</t>
  </si>
  <si>
    <t xml:space="preserve">  Repayments</t>
  </si>
  <si>
    <t xml:space="preserve">  Ending spectrum obligation</t>
  </si>
  <si>
    <t xml:space="preserve">  Interest expense (on beginning balances)</t>
  </si>
  <si>
    <t xml:space="preserve">Tax &amp; NOL carryforward</t>
  </si>
  <si>
    <t xml:space="preserve">  Pre-tax income (from IS)</t>
  </si>
  <si>
    <t xml:space="preserve">  Taxable income (add back non-deductible amort)</t>
  </si>
  <si>
    <t xml:space="preserve">  Beginning NOL balance</t>
  </si>
  <si>
    <t xml:space="preserve">  NOL utilised</t>
  </si>
  <si>
    <t xml:space="preserve">  NOL generated</t>
  </si>
  <si>
    <t xml:space="preserve">  Ending NOL balance</t>
  </si>
  <si>
    <t xml:space="preserve">  Current income tax</t>
  </si>
  <si>
    <t xml:space="preserve">PRO-FORMA COMBINED INCOME STATEMENT (US$M)</t>
  </si>
  <si>
    <t xml:space="preserve">FY2025 shown pro-forma for comparability; deal effective 1-Jan-2026 in the model.</t>
  </si>
  <si>
    <t xml:space="preserve">Total revenue</t>
  </si>
  <si>
    <t xml:space="preserve">  xAI-Cursor (incl. synergies, integration)</t>
  </si>
  <si>
    <t xml:space="preserve">Total EBITDA</t>
  </si>
  <si>
    <t xml:space="preserve">Consolidated P&amp;L</t>
  </si>
  <si>
    <t xml:space="preserve">Depreciation</t>
  </si>
  <si>
    <t xml:space="preserve">Amortization of acquired intangibles</t>
  </si>
  <si>
    <t xml:space="preserve">EBIT (operating income)</t>
  </si>
  <si>
    <t xml:space="preserve">  Operating margin %</t>
  </si>
  <si>
    <t xml:space="preserve">Interest expense</t>
  </si>
  <si>
    <t xml:space="preserve">Interest income</t>
  </si>
  <si>
    <t xml:space="preserve">Pre-tax income (loss)</t>
  </si>
  <si>
    <t xml:space="preserve">Current income tax</t>
  </si>
  <si>
    <t xml:space="preserve">Deferred income tax (benefit)</t>
  </si>
  <si>
    <t xml:space="preserve">Net income (loss)</t>
  </si>
  <si>
    <t xml:space="preserve">  Net margin %</t>
  </si>
  <si>
    <t xml:space="preserve">Diluted shares outstanding (M)</t>
  </si>
  <si>
    <t xml:space="preserve">Diluted EPS ($)</t>
  </si>
  <si>
    <t xml:space="preserve">  Total (= diluted EPS)</t>
  </si>
  <si>
    <t xml:space="preserve">PRO-FORMA COMBINED BALANCE SHEET (US$M)</t>
  </si>
  <si>
    <t xml:space="preserve">SpaceX 2025A</t>
  </si>
  <si>
    <t xml:space="preserve">+ Cursor</t>
  </si>
  <si>
    <t xml:space="preserve">+ Purch. acctg</t>
  </si>
  <si>
    <t xml:space="preserve">PF Open 1/1/26</t>
  </si>
  <si>
    <t xml:space="preserve">ASSETS</t>
  </si>
  <si>
    <t xml:space="preserve">Cash, equivalents &amp; ST investments</t>
  </si>
  <si>
    <t xml:space="preserve">Accounts receivable</t>
  </si>
  <si>
    <t xml:space="preserve">Inventory</t>
  </si>
  <si>
    <t xml:space="preserve">Prepaid &amp; other current assets</t>
  </si>
  <si>
    <t xml:space="preserve">Total current assets</t>
  </si>
  <si>
    <t xml:space="preserve">Property &amp; equipment, net</t>
  </si>
  <si>
    <t xml:space="preserve">Acquired intangibles, net</t>
  </si>
  <si>
    <t xml:space="preserve">Goodwill</t>
  </si>
  <si>
    <t xml:space="preserve">Spectrum &amp; other intangibles</t>
  </si>
  <si>
    <t xml:space="preserve">Other long-term assets</t>
  </si>
  <si>
    <t xml:space="preserve">TOTAL ASSETS</t>
  </si>
  <si>
    <t xml:space="preserve">LIABILITIES</t>
  </si>
  <si>
    <t xml:space="preserve">Accounts payable</t>
  </si>
  <si>
    <t xml:space="preserve">Accrued liabilities</t>
  </si>
  <si>
    <t xml:space="preserve">Deferred revenue, current</t>
  </si>
  <si>
    <t xml:space="preserve">Customer deposits &amp; advances</t>
  </si>
  <si>
    <t xml:space="preserve">Total current liabilities</t>
  </si>
  <si>
    <t xml:space="preserve">Long-term debt</t>
  </si>
  <si>
    <t xml:space="preserve">Spectrum acquisition obligation</t>
  </si>
  <si>
    <t xml:space="preserve">LT deferred revenue &amp; deposits</t>
  </si>
  <si>
    <t xml:space="preserve">Deferred tax liability</t>
  </si>
  <si>
    <t xml:space="preserve">Other long-term liabilities</t>
  </si>
  <si>
    <t xml:space="preserve">TOTAL LIABILITIES</t>
  </si>
  <si>
    <t xml:space="preserve">EQUITY</t>
  </si>
  <si>
    <t xml:space="preserve">Common stock &amp; additional paid-in capital</t>
  </si>
  <si>
    <t xml:space="preserve">Accumulated deficit</t>
  </si>
  <si>
    <t xml:space="preserve">TOTAL EQUITY</t>
  </si>
  <si>
    <t xml:space="preserve">TOTAL LIABILITIES &amp; EQUITY</t>
  </si>
  <si>
    <t xml:space="preserve">Balance check (assets − L&amp;E)</t>
  </si>
  <si>
    <t xml:space="preserve">PRO-FORMA COMBINED CASH FLOW STATEMENT (US$M)</t>
  </si>
  <si>
    <t xml:space="preserve">Post-acquisition years. The all-stock purchase is non-cash and reflected in opening balances (acquired cash included).</t>
  </si>
  <si>
    <t xml:space="preserve">Operating activities</t>
  </si>
  <si>
    <t xml:space="preserve">Stock-based compensation</t>
  </si>
  <si>
    <t xml:space="preserve">Deferred income taxes</t>
  </si>
  <si>
    <t xml:space="preserve">(Increase)/decrease in receivables</t>
  </si>
  <si>
    <t xml:space="preserve">(Increase)/decrease in inventory</t>
  </si>
  <si>
    <t xml:space="preserve">(Increase)/decrease in prepaids</t>
  </si>
  <si>
    <t xml:space="preserve">Increase/(decrease) in payables</t>
  </si>
  <si>
    <t xml:space="preserve">Increase/(decrease) in accrued liabilities</t>
  </si>
  <si>
    <t xml:space="preserve">Increase/(decrease) in deferred revenue (cur.)</t>
  </si>
  <si>
    <t xml:space="preserve">Increase/(decrease) in customer deposits</t>
  </si>
  <si>
    <t xml:space="preserve">Increase/(decrease) in LT deferred revenue</t>
  </si>
  <si>
    <t xml:space="preserve">Cash from operations</t>
  </si>
  <si>
    <t xml:space="preserve">Investing activities</t>
  </si>
  <si>
    <t xml:space="preserve">Capital expenditures</t>
  </si>
  <si>
    <t xml:space="preserve">Cash from investing</t>
  </si>
  <si>
    <t xml:space="preserve">Financing activities</t>
  </si>
  <si>
    <t xml:space="preserve">Net debt draws / (repayments)</t>
  </si>
  <si>
    <t xml:space="preserve">Spectrum obligation repayments</t>
  </si>
  <si>
    <t xml:space="preserve">Primary equity issuance / IPO</t>
  </si>
  <si>
    <t xml:space="preserve">Cash from financing</t>
  </si>
  <si>
    <t xml:space="preserve">Net change in cash</t>
  </si>
  <si>
    <t xml:space="preserve">Cash, beginning of period</t>
  </si>
  <si>
    <t xml:space="preserve">Cash, end of period</t>
  </si>
  <si>
    <t xml:space="preserve">MODEL INTEGRITY CHECKS (should all be ~0)</t>
  </si>
  <si>
    <t xml:space="preserve">Balance sheet balances (A − L&amp;E)</t>
  </si>
  <si>
    <t xml:space="preserve">Cash flow ties to balance sheet cash</t>
  </si>
  <si>
    <t xml:space="preserve">n/a</t>
  </si>
  <si>
    <t xml:space="preserve">PPA bridge balances (Open: A − L&amp;E)</t>
  </si>
  <si>
    <t xml:space="preserve">Segment net income sums to consolidated NI</t>
  </si>
  <si>
    <t xml:space="preserve">Segment EPS contributions sum to diluted EPS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</si>
</sst>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#,##0;\(#,##0\)"/>
    <numFmt numFmtId="167" formatCode="0.0%"/>
    <numFmt numFmtId="168" formatCode="#,##0.00"/>
    <numFmt numFmtId="169" formatCode="#,##0.0;\(#,##0.0\)"/>
    <numFmt numFmtId="170" formatCode="0.0000"/>
    <numFmt numFmtId="171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B1F3A"/>
      <name val="Cambria"/>
      <family val="0"/>
      <charset val="1"/>
    </font>
    <font>
      <b val="true"/>
      <sz val="16"/>
      <color rgb="FF1F4E79"/>
      <name val="Cambria"/>
      <family val="0"/>
      <charset val="1"/>
    </font>
    <font>
      <sz val="10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6"/>
      <color rgb="FF0B1F3A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0B1F3A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sz val="11"/>
      <color rgb="FF0000CC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404040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40404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B1F3A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3"/>
    <col collapsed="false" customWidth="true" hidden="false" outlineLevel="0" max="12" min="12" style="0" width="22"/>
  </cols>
  <sheetData>
    <row r="2" customFormat="false" ht="29.15" hidden="false" customHeight="false" outlineLevel="0" collapsed="false">
      <c r="B2" s="1" t="s">
        <v>0</v>
      </c>
    </row>
    <row r="3" customFormat="false" ht="19.7" hidden="false" customHeight="false" outlineLevel="0" collapsed="false">
      <c r="B3" s="2" t="s">
        <v>1</v>
      </c>
    </row>
    <row r="5" customFormat="false" ht="15" hidden="false" customHeight="false" outlineLevel="0" collapsed="false">
      <c r="B5" s="3"/>
    </row>
    <row r="6" customFormat="false" ht="15" hidden="false" customHeight="false" outlineLevel="0" collapsed="false">
      <c r="B6" s="3" t="s">
        <v>2</v>
      </c>
    </row>
    <row r="7" customFormat="false" ht="15" hidden="false" customHeight="false" outlineLevel="0" collapsed="false">
      <c r="B7" s="3" t="s">
        <v>3</v>
      </c>
    </row>
    <row r="8" customFormat="false" ht="15" hidden="false" customHeight="false" outlineLevel="0" collapsed="false">
      <c r="B8" s="3" t="s">
        <v>4</v>
      </c>
    </row>
    <row r="9" customFormat="false" ht="15" hidden="false" customHeight="false" outlineLevel="0" collapsed="false">
      <c r="B9" s="3" t="s">
        <v>5</v>
      </c>
    </row>
    <row r="10" customFormat="false" ht="15" hidden="false" customHeight="false" outlineLevel="0" collapsed="false">
      <c r="B10" s="3"/>
    </row>
    <row r="11" customFormat="false" ht="15" hidden="false" customHeight="false" outlineLevel="0" collapsed="false">
      <c r="B11" s="4" t="s">
        <v>6</v>
      </c>
    </row>
    <row r="12" customFormat="false" ht="15" hidden="false" customHeight="false" outlineLevel="0" collapsed="false">
      <c r="B12" s="3" t="s">
        <v>7</v>
      </c>
    </row>
    <row r="13" customFormat="false" ht="15" hidden="false" customHeight="false" outlineLevel="0" collapsed="false">
      <c r="B13" s="3" t="s">
        <v>8</v>
      </c>
    </row>
    <row r="14" customFormat="false" ht="15" hidden="false" customHeight="false" outlineLevel="0" collapsed="false">
      <c r="B14" s="3" t="s">
        <v>9</v>
      </c>
    </row>
    <row r="15" customFormat="false" ht="15" hidden="false" customHeight="false" outlineLevel="0" collapsed="false">
      <c r="B15" s="3" t="s">
        <v>10</v>
      </c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3" t="s">
        <v>12</v>
      </c>
    </row>
    <row r="18" customFormat="false" ht="15" hidden="false" customHeight="false" outlineLevel="0" collapsed="false">
      <c r="B18" s="3" t="s">
        <v>13</v>
      </c>
    </row>
    <row r="19" customFormat="false" ht="15" hidden="false" customHeight="false" outlineLevel="0" collapsed="false">
      <c r="B19" s="3" t="s">
        <v>14</v>
      </c>
    </row>
    <row r="20" customFormat="false" ht="15" hidden="false" customHeight="false" outlineLevel="0" collapsed="false">
      <c r="B20" s="3" t="s">
        <v>15</v>
      </c>
    </row>
    <row r="21" customFormat="false" ht="15" hidden="false" customHeight="false" outlineLevel="0" collapsed="false">
      <c r="B21" s="3"/>
    </row>
    <row r="22" customFormat="false" ht="15" hidden="false" customHeight="false" outlineLevel="0" collapsed="false">
      <c r="B22" s="3" t="s">
        <v>16</v>
      </c>
    </row>
    <row r="23" customFormat="false" ht="15" hidden="false" customHeight="false" outlineLevel="0" collapsed="false">
      <c r="B23" s="3" t="s">
        <v>17</v>
      </c>
    </row>
    <row r="24" customFormat="false" ht="15" hidden="false" customHeight="false" outlineLevel="0" collapsed="false">
      <c r="B24" s="3"/>
    </row>
    <row r="25" customFormat="false" ht="15" hidden="false" customHeight="false" outlineLevel="0" collapsed="false">
      <c r="B25" s="5" t="s">
        <v>18</v>
      </c>
    </row>
    <row r="26" customFormat="false" ht="15" hidden="false" customHeight="false" outlineLevel="0" collapsed="false">
      <c r="B26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3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6" t="s">
        <v>20</v>
      </c>
    </row>
    <row r="2" customFormat="false" ht="15" hidden="false" customHeight="false" outlineLevel="0" collapsed="false">
      <c r="A2" s="7" t="s">
        <v>21</v>
      </c>
    </row>
    <row r="3" customFormat="false" ht="15" hidden="false" customHeight="false" outlineLevel="0" collapsed="false">
      <c r="C3" s="8" t="s">
        <v>22</v>
      </c>
      <c r="D3" s="8" t="s">
        <v>23</v>
      </c>
      <c r="E3" s="8" t="s">
        <v>24</v>
      </c>
      <c r="F3" s="8" t="s">
        <v>25</v>
      </c>
      <c r="G3" s="8" t="s">
        <v>26</v>
      </c>
      <c r="H3" s="8" t="s">
        <v>27</v>
      </c>
    </row>
    <row r="4" customFormat="false" ht="15" hidden="false" customHeight="false" outlineLevel="0" collapsed="false">
      <c r="A4" s="9" t="s">
        <v>28</v>
      </c>
      <c r="B4" s="10"/>
      <c r="C4" s="10"/>
      <c r="D4" s="10"/>
      <c r="E4" s="10"/>
      <c r="F4" s="10"/>
      <c r="G4" s="10"/>
      <c r="H4" s="10"/>
      <c r="I4" s="10"/>
      <c r="J4" s="10"/>
      <c r="K4" s="10"/>
    </row>
    <row r="5" customFormat="false" ht="15" hidden="false" customHeight="false" outlineLevel="0" collapsed="false">
      <c r="A5" s="11" t="s">
        <v>29</v>
      </c>
      <c r="C5" s="12" t="n">
        <f aca="false">'Income Statement'!C5</f>
        <v>6000</v>
      </c>
      <c r="D5" s="12" t="n">
        <f aca="false">'Income Statement'!D5</f>
        <v>7680</v>
      </c>
      <c r="E5" s="12" t="n">
        <f aca="false">'Income Statement'!E5</f>
        <v>9984</v>
      </c>
      <c r="F5" s="12" t="n">
        <f aca="false">'Income Statement'!F5</f>
        <v>12779.52</v>
      </c>
      <c r="G5" s="12" t="n">
        <f aca="false">'Income Statement'!G5</f>
        <v>15846.6048</v>
      </c>
      <c r="H5" s="12" t="n">
        <f aca="false">'Income Statement'!H5</f>
        <v>19015.92576</v>
      </c>
    </row>
    <row r="6" customFormat="false" ht="15" hidden="false" customHeight="false" outlineLevel="0" collapsed="false">
      <c r="A6" s="11" t="s">
        <v>30</v>
      </c>
      <c r="C6" s="12" t="n">
        <f aca="false">'Income Statement'!C6</f>
        <v>11400</v>
      </c>
      <c r="D6" s="12" t="n">
        <f aca="false">'Income Statement'!D6</f>
        <v>16188</v>
      </c>
      <c r="E6" s="12" t="n">
        <f aca="false">'Income Statement'!E6</f>
        <v>22015.68</v>
      </c>
      <c r="F6" s="12" t="n">
        <f aca="false">'Income Statement'!F6</f>
        <v>28620.384</v>
      </c>
      <c r="G6" s="12" t="n">
        <f aca="false">'Income Statement'!G6</f>
        <v>35775.48</v>
      </c>
      <c r="H6" s="12" t="n">
        <f aca="false">'Income Statement'!H6</f>
        <v>43288.3308</v>
      </c>
    </row>
    <row r="7" customFormat="false" ht="15" hidden="false" customHeight="false" outlineLevel="0" collapsed="false">
      <c r="A7" s="11" t="s">
        <v>31</v>
      </c>
      <c r="C7" s="12" t="n">
        <f aca="false">'Income Statement'!C7</f>
        <v>1750</v>
      </c>
      <c r="D7" s="12" t="n">
        <f aca="false">'Income Statement'!D7</f>
        <v>3287.5</v>
      </c>
      <c r="E7" s="12" t="n">
        <f aca="false">'Income Statement'!E7</f>
        <v>5703.75</v>
      </c>
      <c r="F7" s="12" t="n">
        <f aca="false">'Income Statement'!F7</f>
        <v>8605.625</v>
      </c>
      <c r="G7" s="12" t="n">
        <f aca="false">'Income Statement'!G7</f>
        <v>11842.7625</v>
      </c>
      <c r="H7" s="12" t="n">
        <f aca="false">'Income Statement'!H7</f>
        <v>15360.59125</v>
      </c>
    </row>
    <row r="8" customFormat="false" ht="15" hidden="false" customHeight="false" outlineLevel="0" collapsed="false">
      <c r="A8" s="13" t="s">
        <v>32</v>
      </c>
      <c r="C8" s="14" t="n">
        <f aca="false">'Income Statement'!C8</f>
        <v>19150</v>
      </c>
      <c r="D8" s="14" t="n">
        <f aca="false">'Income Statement'!D8</f>
        <v>27155.5</v>
      </c>
      <c r="E8" s="14" t="n">
        <f aca="false">'Income Statement'!E8</f>
        <v>37703.43</v>
      </c>
      <c r="F8" s="14" t="n">
        <f aca="false">'Income Statement'!F8</f>
        <v>50005.529</v>
      </c>
      <c r="G8" s="14" t="n">
        <f aca="false">'Income Statement'!G8</f>
        <v>63464.8473</v>
      </c>
      <c r="H8" s="14" t="n">
        <f aca="false">'Income Statement'!H8</f>
        <v>77664.84781</v>
      </c>
    </row>
    <row r="9" customFormat="false" ht="15" hidden="false" customHeight="false" outlineLevel="0" collapsed="false">
      <c r="A9" s="13" t="s">
        <v>33</v>
      </c>
      <c r="C9" s="14" t="n">
        <f aca="false">'Income Statement'!C13</f>
        <v>3600</v>
      </c>
      <c r="D9" s="14" t="n">
        <f aca="false">'Income Statement'!D13</f>
        <v>6548.365</v>
      </c>
      <c r="E9" s="14" t="n">
        <f aca="false">'Income Statement'!E13</f>
        <v>12262.6418</v>
      </c>
      <c r="F9" s="14" t="n">
        <f aca="false">'Income Statement'!F13</f>
        <v>18196.38632</v>
      </c>
      <c r="G9" s="14" t="n">
        <f aca="false">'Income Statement'!G13</f>
        <v>25282.210912</v>
      </c>
      <c r="H9" s="14" t="n">
        <f aca="false">'Income Statement'!H13</f>
        <v>33467.5008134</v>
      </c>
    </row>
    <row r="10" customFormat="false" ht="15" hidden="false" customHeight="false" outlineLevel="0" collapsed="false">
      <c r="A10" s="11" t="s">
        <v>34</v>
      </c>
      <c r="C10" s="15" t="n">
        <f aca="false">'Income Statement'!C14</f>
        <v>0.18798955613577</v>
      </c>
      <c r="D10" s="15" t="n">
        <f aca="false">'Income Statement'!D14</f>
        <v>0.241143230653091</v>
      </c>
      <c r="E10" s="15" t="n">
        <f aca="false">'Income Statement'!E14</f>
        <v>0.325239422514079</v>
      </c>
      <c r="F10" s="15" t="n">
        <f aca="false">'Income Statement'!F14</f>
        <v>0.363887487721608</v>
      </c>
      <c r="G10" s="15" t="n">
        <f aca="false">'Income Statement'!G14</f>
        <v>0.398365583273057</v>
      </c>
      <c r="H10" s="15" t="n">
        <f aca="false">'Income Statement'!H14</f>
        <v>0.430922119300037</v>
      </c>
    </row>
    <row r="11" customFormat="false" ht="15" hidden="false" customHeight="false" outlineLevel="0" collapsed="false">
      <c r="A11" s="13" t="s">
        <v>35</v>
      </c>
      <c r="C11" s="14" t="n">
        <f aca="false">'Income Statement'!C18</f>
        <v>-1668</v>
      </c>
      <c r="D11" s="14" t="n">
        <f aca="false">'Income Statement'!D18</f>
        <v>-352.968333333334</v>
      </c>
      <c r="E11" s="14" t="n">
        <f aca="false">'Income Statement'!E18</f>
        <v>4989.32606666667</v>
      </c>
      <c r="F11" s="14" t="n">
        <f aca="false">'Income Statement'!F18</f>
        <v>10338.2162346667</v>
      </c>
      <c r="G11" s="14" t="n">
        <f aca="false">'Income Statement'!G18</f>
        <v>16660.6632697067</v>
      </c>
      <c r="H11" s="14" t="n">
        <f aca="false">'Income Statement'!H18</f>
        <v>23980.8845015659</v>
      </c>
    </row>
    <row r="12" customFormat="false" ht="15" hidden="false" customHeight="false" outlineLevel="0" collapsed="false">
      <c r="A12" s="13" t="s">
        <v>36</v>
      </c>
      <c r="C12" s="14" t="n">
        <f aca="false">'Income Statement'!C25</f>
        <v>-3242</v>
      </c>
      <c r="D12" s="14" t="n">
        <f aca="false">'Income Statement'!D25</f>
        <v>-1463.96833333333</v>
      </c>
      <c r="E12" s="14" t="n">
        <f aca="false">'Income Statement'!E25</f>
        <v>5546.17409465067</v>
      </c>
      <c r="F12" s="14" t="n">
        <f aca="false">'Income Statement'!F25</f>
        <v>10878.1318577949</v>
      </c>
      <c r="G12" s="14" t="n">
        <f aca="false">'Income Statement'!G25</f>
        <v>16907.8567896045</v>
      </c>
      <c r="H12" s="14" t="n">
        <f aca="false">'Income Statement'!H25</f>
        <v>20360.5415104177</v>
      </c>
    </row>
    <row r="13" customFormat="false" ht="15" hidden="false" customHeight="false" outlineLevel="0" collapsed="false">
      <c r="A13" s="13" t="s">
        <v>37</v>
      </c>
      <c r="C13" s="16" t="n">
        <f aca="false">'Income Statement'!C28</f>
        <v>-1.5196875</v>
      </c>
      <c r="D13" s="16" t="n">
        <f aca="false">'Income Statement'!D28</f>
        <v>-0.68623515625</v>
      </c>
      <c r="E13" s="16" t="n">
        <f aca="false">'Income Statement'!E28</f>
        <v>2.5997691068675</v>
      </c>
      <c r="F13" s="16" t="n">
        <f aca="false">'Income Statement'!F28</f>
        <v>5.09912430834134</v>
      </c>
      <c r="G13" s="16" t="n">
        <f aca="false">'Income Statement'!G28</f>
        <v>7.9255578701271</v>
      </c>
      <c r="H13" s="16" t="n">
        <f aca="false">'Income Statement'!H28</f>
        <v>9.54400383300828</v>
      </c>
    </row>
    <row r="14" customFormat="false" ht="15" hidden="false" customHeight="false" outlineLevel="0" collapsed="false">
      <c r="A14" s="9" t="s">
        <v>38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customFormat="false" ht="15" hidden="false" customHeight="false" outlineLevel="0" collapsed="false">
      <c r="A15" s="11" t="s">
        <v>39</v>
      </c>
      <c r="C15" s="17" t="n">
        <f aca="false">'Income Statement'!C30</f>
        <v>-1.0467934073107</v>
      </c>
      <c r="D15" s="17" t="n">
        <f aca="false">'Income Statement'!D30</f>
        <v>-0.737910080370459</v>
      </c>
      <c r="E15" s="17" t="n">
        <f aca="false">'Income Statement'!E30</f>
        <v>-0.178189076512333</v>
      </c>
      <c r="F15" s="17" t="n">
        <f aca="false">'Income Statement'!F30</f>
        <v>0.236492096265424</v>
      </c>
      <c r="G15" s="17" t="n">
        <f aca="false">'Income Statement'!G30</f>
        <v>0.714833416897784</v>
      </c>
      <c r="H15" s="17" t="n">
        <f aca="false">'Income Statement'!H30</f>
        <v>0.929925847911421</v>
      </c>
    </row>
    <row r="16" customFormat="false" ht="15" hidden="false" customHeight="false" outlineLevel="0" collapsed="false">
      <c r="A16" s="11" t="s">
        <v>40</v>
      </c>
      <c r="C16" s="17" t="n">
        <f aca="false">'Income Statement'!C31</f>
        <v>0.334217526109661</v>
      </c>
      <c r="D16" s="17" t="n">
        <f aca="false">'Income Statement'!D31</f>
        <v>1.70060066653164</v>
      </c>
      <c r="E16" s="17" t="n">
        <f aca="false">'Income Statement'!E31</f>
        <v>3.67044352616276</v>
      </c>
      <c r="F16" s="17" t="n">
        <f aca="false">'Income Statement'!F31</f>
        <v>5.34803004658862</v>
      </c>
      <c r="G16" s="17" t="n">
        <f aca="false">'Income Statement'!G31</f>
        <v>7.17567670847698</v>
      </c>
      <c r="H16" s="17" t="n">
        <f aca="false">'Income Statement'!H31</f>
        <v>8.27780301586964</v>
      </c>
    </row>
    <row r="17" customFormat="false" ht="15" hidden="false" customHeight="false" outlineLevel="0" collapsed="false">
      <c r="A17" s="11" t="s">
        <v>41</v>
      </c>
      <c r="C17" s="17" t="n">
        <f aca="false">'Income Statement'!C32</f>
        <v>-0.807111618798956</v>
      </c>
      <c r="D17" s="17" t="n">
        <f aca="false">'Income Statement'!D32</f>
        <v>-1.64892574241118</v>
      </c>
      <c r="E17" s="17" t="n">
        <f aca="false">'Income Statement'!E32</f>
        <v>-0.892485342782924</v>
      </c>
      <c r="F17" s="17" t="n">
        <f aca="false">'Income Statement'!F32</f>
        <v>-0.485397834512705</v>
      </c>
      <c r="G17" s="17" t="n">
        <f aca="false">'Income Statement'!G32</f>
        <v>0.0350477447523376</v>
      </c>
      <c r="H17" s="17" t="n">
        <f aca="false">'Income Statement'!H32</f>
        <v>0.33627496922722</v>
      </c>
    </row>
    <row r="18" customFormat="false" ht="15" hidden="false" customHeight="false" outlineLevel="0" collapsed="false">
      <c r="A18" s="13" t="s">
        <v>42</v>
      </c>
      <c r="C18" s="16" t="n">
        <f aca="false">'Income Statement'!C28</f>
        <v>-1.5196875</v>
      </c>
      <c r="D18" s="16" t="n">
        <f aca="false">'Income Statement'!D28</f>
        <v>-0.68623515625</v>
      </c>
      <c r="E18" s="16" t="n">
        <f aca="false">'Income Statement'!E28</f>
        <v>2.5997691068675</v>
      </c>
      <c r="F18" s="16" t="n">
        <f aca="false">'Income Statement'!F28</f>
        <v>5.09912430834134</v>
      </c>
      <c r="G18" s="16" t="n">
        <f aca="false">'Income Statement'!G28</f>
        <v>7.9255578701271</v>
      </c>
      <c r="H18" s="16" t="n">
        <f aca="false">'Income Statement'!H28</f>
        <v>9.54400383300828</v>
      </c>
    </row>
    <row r="19" customFormat="false" ht="15" hidden="false" customHeight="false" outlineLevel="0" collapsed="false">
      <c r="A19" s="9" t="s">
        <v>43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customFormat="false" ht="15" hidden="false" customHeight="false" outlineLevel="0" collapsed="false">
      <c r="A20" s="11" t="s">
        <v>44</v>
      </c>
      <c r="C20" s="12" t="n">
        <f aca="false">Schedules!C6</f>
        <v>1680</v>
      </c>
      <c r="D20" s="12" t="n">
        <f aca="false">Schedules!D6</f>
        <v>1996.8</v>
      </c>
      <c r="E20" s="12" t="n">
        <f aca="false">Schedules!E6</f>
        <v>2396.16</v>
      </c>
      <c r="F20" s="12" t="n">
        <f aca="false">Schedules!F6</f>
        <v>2811.4944</v>
      </c>
      <c r="G20" s="12" t="n">
        <f aca="false">Schedules!G6</f>
        <v>3169.32096</v>
      </c>
      <c r="H20" s="12" t="n">
        <f aca="false">Schedules!H6</f>
        <v>3422.8666368</v>
      </c>
    </row>
    <row r="21" customFormat="false" ht="15" hidden="false" customHeight="false" outlineLevel="0" collapsed="false">
      <c r="A21" s="11" t="s">
        <v>45</v>
      </c>
      <c r="C21" s="12" t="n">
        <f aca="false">Schedules!C11</f>
        <v>4104</v>
      </c>
      <c r="D21" s="12" t="n">
        <f aca="false">Schedules!D11</f>
        <v>5503.92</v>
      </c>
      <c r="E21" s="12" t="n">
        <f aca="false">Schedules!E11</f>
        <v>6604.704</v>
      </c>
      <c r="F21" s="12" t="n">
        <f aca="false">Schedules!F11</f>
        <v>7727.50368</v>
      </c>
      <c r="G21" s="12" t="n">
        <f aca="false">Schedules!G11</f>
        <v>8586.1152</v>
      </c>
      <c r="H21" s="12" t="n">
        <f aca="false">Schedules!H11</f>
        <v>9523.432776</v>
      </c>
    </row>
    <row r="22" customFormat="false" ht="15" hidden="false" customHeight="false" outlineLevel="0" collapsed="false">
      <c r="A22" s="11" t="s">
        <v>46</v>
      </c>
      <c r="C22" s="12" t="n">
        <f aca="false">Schedules!C16</f>
        <v>437.5</v>
      </c>
      <c r="D22" s="12" t="n">
        <f aca="false">Schedules!D16</f>
        <v>920.5</v>
      </c>
      <c r="E22" s="12" t="n">
        <f aca="false">Schedules!E16</f>
        <v>1482.975</v>
      </c>
      <c r="F22" s="12" t="n">
        <f aca="false">Schedules!F16</f>
        <v>1979.29375</v>
      </c>
      <c r="G22" s="12" t="n">
        <f aca="false">Schedules!G16</f>
        <v>2368.5525</v>
      </c>
      <c r="H22" s="12" t="n">
        <f aca="false">Schedules!H16</f>
        <v>2764.906425</v>
      </c>
    </row>
    <row r="23" customFormat="false" ht="15" hidden="false" customHeight="false" outlineLevel="0" collapsed="false">
      <c r="A23" s="13" t="s">
        <v>47</v>
      </c>
      <c r="C23" s="14" t="n">
        <f aca="false">Schedules!C21</f>
        <v>6221.5</v>
      </c>
      <c r="D23" s="14" t="n">
        <f aca="false">Schedules!D21</f>
        <v>8421.22</v>
      </c>
      <c r="E23" s="14" t="n">
        <f aca="false">Schedules!E21</f>
        <v>10483.839</v>
      </c>
      <c r="F23" s="14" t="n">
        <f aca="false">Schedules!F21</f>
        <v>12518.29183</v>
      </c>
      <c r="G23" s="14" t="n">
        <f aca="false">Schedules!G21</f>
        <v>14123.98866</v>
      </c>
      <c r="H23" s="14" t="n">
        <f aca="false">Schedules!H21</f>
        <v>15711.2058378</v>
      </c>
    </row>
    <row r="24" customFormat="false" ht="15" hidden="false" customHeight="false" outlineLevel="0" collapsed="false">
      <c r="A24" s="11" t="s">
        <v>48</v>
      </c>
      <c r="C24" s="12" t="n">
        <f aca="false">Schedules!C7</f>
        <v>1260</v>
      </c>
      <c r="D24" s="12" t="n">
        <f aca="false">Schedules!D7</f>
        <v>1260</v>
      </c>
      <c r="E24" s="12" t="n">
        <f aca="false">Schedules!E7</f>
        <v>1326.312</v>
      </c>
      <c r="F24" s="12" t="n">
        <f aca="false">Schedules!F7</f>
        <v>1422.59832</v>
      </c>
      <c r="G24" s="12" t="n">
        <f aca="false">Schedules!G7</f>
        <v>1547.5989672</v>
      </c>
      <c r="H24" s="12" t="n">
        <f aca="false">Schedules!H7</f>
        <v>1693.553946552</v>
      </c>
    </row>
    <row r="25" customFormat="false" ht="15" hidden="false" customHeight="false" outlineLevel="0" collapsed="false">
      <c r="A25" s="11" t="s">
        <v>49</v>
      </c>
      <c r="C25" s="12" t="n">
        <f aca="false">Schedules!C12</f>
        <v>3480</v>
      </c>
      <c r="D25" s="12" t="n">
        <f aca="false">Schedules!D12</f>
        <v>3480</v>
      </c>
      <c r="E25" s="12" t="n">
        <f aca="false">Schedules!E12</f>
        <v>3722.8704</v>
      </c>
      <c r="F25" s="12" t="n">
        <f aca="false">Schedules!F12</f>
        <v>4068.690432</v>
      </c>
      <c r="G25" s="12" t="n">
        <f aca="false">Schedules!G12</f>
        <v>4507.74802176</v>
      </c>
      <c r="H25" s="12" t="n">
        <f aca="false">Schedules!H12</f>
        <v>4997.1520831488</v>
      </c>
    </row>
    <row r="26" customFormat="false" ht="15" hidden="false" customHeight="false" outlineLevel="0" collapsed="false">
      <c r="A26" s="11" t="s">
        <v>50</v>
      </c>
      <c r="C26" s="12" t="n">
        <f aca="false">Schedules!C17</f>
        <v>528</v>
      </c>
      <c r="D26" s="12" t="n">
        <f aca="false">Schedules!D17</f>
        <v>528</v>
      </c>
      <c r="E26" s="12" t="n">
        <f aca="false">Schedules!E17</f>
        <v>590.8</v>
      </c>
      <c r="F26" s="12" t="n">
        <f aca="false">Schedules!F17</f>
        <v>733.548</v>
      </c>
      <c r="G26" s="12" t="n">
        <f aca="false">Schedules!G17</f>
        <v>932.86732</v>
      </c>
      <c r="H26" s="12" t="n">
        <f aca="false">Schedules!H17</f>
        <v>1162.5769488</v>
      </c>
    </row>
    <row r="27" customFormat="false" ht="15" hidden="false" customHeight="false" outlineLevel="0" collapsed="false">
      <c r="A27" s="13" t="s">
        <v>51</v>
      </c>
      <c r="C27" s="14" t="n">
        <f aca="false">Schedules!C22</f>
        <v>5268</v>
      </c>
      <c r="D27" s="14" t="n">
        <f aca="false">Schedules!D22</f>
        <v>5268</v>
      </c>
      <c r="E27" s="14" t="n">
        <f aca="false">Schedules!E22</f>
        <v>5639.9824</v>
      </c>
      <c r="F27" s="14" t="n">
        <f aca="false">Schedules!F22</f>
        <v>6224.836752</v>
      </c>
      <c r="G27" s="14" t="n">
        <f aca="false">Schedules!G22</f>
        <v>6988.21430896</v>
      </c>
      <c r="H27" s="14" t="n">
        <f aca="false">Schedules!H22</f>
        <v>7853.2829785008</v>
      </c>
    </row>
    <row r="28" customFormat="false" ht="15" hidden="false" customHeight="false" outlineLevel="0" collapsed="false">
      <c r="A28" s="13" t="s">
        <v>52</v>
      </c>
      <c r="C28" s="14" t="n">
        <f aca="false">Schedules!C23</f>
        <v>46300</v>
      </c>
      <c r="D28" s="14" t="n">
        <f aca="false">Schedules!D23</f>
        <v>49453.22</v>
      </c>
      <c r="E28" s="14" t="n">
        <f aca="false">Schedules!E23</f>
        <v>54297.0766</v>
      </c>
      <c r="F28" s="14" t="n">
        <f aca="false">Schedules!F23</f>
        <v>60590.531678</v>
      </c>
      <c r="G28" s="14" t="n">
        <f aca="false">Schedules!G23</f>
        <v>67726.30602904</v>
      </c>
      <c r="H28" s="14" t="n">
        <f aca="false">Schedules!H23</f>
        <v>75584.2288883392</v>
      </c>
    </row>
    <row r="29" customFormat="false" ht="15" hidden="false" customHeight="false" outlineLevel="0" collapsed="false">
      <c r="A29" s="9" t="s">
        <v>53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customFormat="false" ht="15" hidden="false" customHeight="false" outlineLevel="0" collapsed="false">
      <c r="A30" s="11" t="s">
        <v>54</v>
      </c>
      <c r="C30" s="12" t="n">
        <f aca="false">'Balance Sheet'!C4</f>
        <v>12000</v>
      </c>
      <c r="D30" s="12" t="n">
        <f aca="false">'Balance Sheet'!G4</f>
        <v>64189.2412</v>
      </c>
      <c r="E30" s="12" t="n">
        <f aca="false">'Balance Sheet'!H4</f>
        <v>69609.934889984</v>
      </c>
      <c r="F30" s="12" t="n">
        <f aca="false">'Balance Sheet'!I4</f>
        <v>79064.8109647122</v>
      </c>
      <c r="G30" s="12" t="n">
        <f aca="false">'Balance Sheet'!J4</f>
        <v>93711.32133483</v>
      </c>
      <c r="H30" s="12" t="n">
        <f aca="false">'Balance Sheet'!K4</f>
        <v>111434.147297166</v>
      </c>
    </row>
    <row r="31" customFormat="false" ht="15" hidden="false" customHeight="false" outlineLevel="0" collapsed="false">
      <c r="A31" s="13" t="s">
        <v>55</v>
      </c>
      <c r="C31" s="14" t="n">
        <f aca="false">'Balance Sheet'!C14</f>
        <v>92100</v>
      </c>
      <c r="D31" s="14" t="n">
        <f aca="false">'Balance Sheet'!G14</f>
        <v>209446.445416667</v>
      </c>
      <c r="E31" s="14" t="n">
        <f aca="false">'Balance Sheet'!H14</f>
        <v>221918.163686317</v>
      </c>
      <c r="F31" s="14" t="n">
        <f aca="false">'Balance Sheet'!I14</f>
        <v>240512.355751612</v>
      </c>
      <c r="G31" s="14" t="n">
        <f aca="false">'Balance Sheet'!J14</f>
        <v>265561.844932467</v>
      </c>
      <c r="H31" s="14" t="n">
        <f aca="false">'Balance Sheet'!K14</f>
        <v>294679.480606459</v>
      </c>
    </row>
    <row r="32" customFormat="false" ht="15" hidden="false" customHeight="false" outlineLevel="0" collapsed="false">
      <c r="A32" s="11" t="s">
        <v>56</v>
      </c>
      <c r="C32" s="12" t="n">
        <f aca="false">'Balance Sheet'!C26</f>
        <v>89500</v>
      </c>
      <c r="D32" s="12" t="n">
        <f aca="false">'Balance Sheet'!G26</f>
        <v>96681.08375</v>
      </c>
      <c r="E32" s="12" t="n">
        <f aca="false">'Balance Sheet'!H26</f>
        <v>101532.939275</v>
      </c>
      <c r="F32" s="12" t="n">
        <f aca="false">'Balance Sheet'!I26</f>
        <v>106748.7230325</v>
      </c>
      <c r="G32" s="12" t="n">
        <f aca="false">'Balance Sheet'!J26</f>
        <v>112034.43729525</v>
      </c>
      <c r="H32" s="12" t="n">
        <f aca="false">'Balance Sheet'!K26</f>
        <v>117684.937546425</v>
      </c>
    </row>
    <row r="33" customFormat="false" ht="15" hidden="false" customHeight="false" outlineLevel="0" collapsed="false">
      <c r="A33" s="13" t="s">
        <v>57</v>
      </c>
      <c r="C33" s="14" t="n">
        <f aca="false">'Balance Sheet'!C30</f>
        <v>2600</v>
      </c>
      <c r="D33" s="14" t="n">
        <f aca="false">'Balance Sheet'!G30</f>
        <v>112765.361666667</v>
      </c>
      <c r="E33" s="14" t="n">
        <f aca="false">'Balance Sheet'!H30</f>
        <v>120385.224411317</v>
      </c>
      <c r="F33" s="14" t="n">
        <f aca="false">'Balance Sheet'!I30</f>
        <v>133763.632719112</v>
      </c>
      <c r="G33" s="14" t="n">
        <f aca="false">'Balance Sheet'!J30</f>
        <v>153527.407637217</v>
      </c>
      <c r="H33" s="14" t="n">
        <f aca="false">'Balance Sheet'!K30</f>
        <v>176994.543060034</v>
      </c>
    </row>
    <row r="34" customFormat="false" ht="15" hidden="false" customHeight="false" outlineLevel="0" collapsed="false">
      <c r="A34" s="9" t="s">
        <v>58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15" hidden="false" customHeight="false" outlineLevel="0" collapsed="false">
      <c r="A35" s="11" t="s">
        <v>59</v>
      </c>
      <c r="D35" s="12" t="n">
        <f aca="false">'Cash Flow'!D18</f>
        <v>7610.4612</v>
      </c>
      <c r="E35" s="12" t="n">
        <f aca="false">'Cash Flow'!E18</f>
        <v>15904.532689984</v>
      </c>
      <c r="F35" s="12" t="n">
        <f aca="false">'Cash Flow'!F18</f>
        <v>22473.1679047282</v>
      </c>
      <c r="G35" s="12" t="n">
        <f aca="false">'Cash Flow'!G18</f>
        <v>29770.4990301178</v>
      </c>
      <c r="H35" s="12" t="n">
        <f aca="false">'Cash Flow'!H18</f>
        <v>34434.0318001358</v>
      </c>
    </row>
    <row r="36" customFormat="false" ht="15" hidden="false" customHeight="false" outlineLevel="0" collapsed="false">
      <c r="A36" s="11" t="s">
        <v>60</v>
      </c>
      <c r="D36" s="12" t="n">
        <f aca="false">'Cash Flow'!D20</f>
        <v>-8421.22</v>
      </c>
      <c r="E36" s="12" t="n">
        <f aca="false">'Cash Flow'!E20</f>
        <v>-10483.839</v>
      </c>
      <c r="F36" s="12" t="n">
        <f aca="false">'Cash Flow'!F20</f>
        <v>-12518.29183</v>
      </c>
      <c r="G36" s="12" t="n">
        <f aca="false">'Cash Flow'!G20</f>
        <v>-14123.98866</v>
      </c>
      <c r="H36" s="12" t="n">
        <f aca="false">'Cash Flow'!H20</f>
        <v>-15711.2058378</v>
      </c>
    </row>
    <row r="37" customFormat="false" ht="15" hidden="false" customHeight="false" outlineLevel="0" collapsed="false">
      <c r="A37" s="13" t="s">
        <v>61</v>
      </c>
      <c r="D37" s="14" t="n">
        <f aca="false">'Cash Flow'!D18+'Cash Flow'!D20</f>
        <v>-810.758800000001</v>
      </c>
      <c r="E37" s="14" t="n">
        <f aca="false">'Cash Flow'!E18+'Cash Flow'!E20</f>
        <v>5420.693689984</v>
      </c>
      <c r="F37" s="14" t="n">
        <f aca="false">'Cash Flow'!F18+'Cash Flow'!F20</f>
        <v>9954.87607472819</v>
      </c>
      <c r="G37" s="14" t="n">
        <f aca="false">'Cash Flow'!G18+'Cash Flow'!G20</f>
        <v>15646.5103701178</v>
      </c>
      <c r="H37" s="14" t="n">
        <f aca="false">'Cash Flow'!H18+'Cash Flow'!H20</f>
        <v>18722.8259623358</v>
      </c>
    </row>
    <row r="38" customFormat="false" ht="15" hidden="false" customHeight="false" outlineLevel="0" collapsed="false">
      <c r="A38" s="11" t="s">
        <v>62</v>
      </c>
      <c r="D38" s="12" t="n">
        <f aca="false">'Cash Flow'!D26</f>
        <v>50000</v>
      </c>
      <c r="E38" s="12" t="n">
        <f aca="false">'Cash Flow'!E26</f>
        <v>0</v>
      </c>
      <c r="F38" s="12" t="n">
        <f aca="false">'Cash Flow'!F26</f>
        <v>-500</v>
      </c>
      <c r="G38" s="12" t="n">
        <f aca="false">'Cash Flow'!G26</f>
        <v>-1000</v>
      </c>
      <c r="H38" s="12" t="n">
        <f aca="false">'Cash Flow'!H26</f>
        <v>-1000</v>
      </c>
    </row>
    <row r="39" customFormat="false" ht="15" hidden="false" customHeight="false" outlineLevel="0" collapsed="false">
      <c r="A39" s="13" t="s">
        <v>63</v>
      </c>
      <c r="D39" s="14" t="n">
        <f aca="false">'Cash Flow'!D29</f>
        <v>64189.2412</v>
      </c>
      <c r="E39" s="14" t="n">
        <f aca="false">'Cash Flow'!E29</f>
        <v>69609.934889984</v>
      </c>
      <c r="F39" s="14" t="n">
        <f aca="false">'Cash Flow'!F29</f>
        <v>79064.8109647122</v>
      </c>
      <c r="G39" s="14" t="n">
        <f aca="false">'Cash Flow'!G29</f>
        <v>93711.32133483</v>
      </c>
      <c r="H39" s="14" t="n">
        <f aca="false">'Cash Flow'!H29</f>
        <v>111434.147297166</v>
      </c>
    </row>
    <row r="40" customFormat="false" ht="15" hidden="false" customHeight="false" outlineLevel="0" collapsed="false">
      <c r="A40" s="9" t="s">
        <v>64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 customFormat="false" ht="15" hidden="false" customHeight="false" outlineLevel="0" collapsed="false">
      <c r="A41" s="11" t="s">
        <v>65</v>
      </c>
      <c r="C41" s="12" t="n">
        <f aca="false">'Deal &amp; PPA'!C4</f>
        <v>60000</v>
      </c>
    </row>
    <row r="42" customFormat="false" ht="15" hidden="false" customHeight="false" outlineLevel="0" collapsed="false">
      <c r="A42" s="11" t="s">
        <v>66</v>
      </c>
      <c r="C42" s="18" t="n">
        <f aca="false">'Deal &amp; PPA'!C6</f>
        <v>133.333333333333</v>
      </c>
    </row>
    <row r="43" customFormat="false" ht="15" hidden="false" customHeight="false" outlineLevel="0" collapsed="false">
      <c r="A43" s="11" t="s">
        <v>67</v>
      </c>
      <c r="C43" s="12" t="n">
        <f aca="false">'Deal &amp; PPA'!C21</f>
        <v>15000</v>
      </c>
    </row>
    <row r="44" customFormat="false" ht="15" hidden="false" customHeight="false" outlineLevel="0" collapsed="false">
      <c r="A44" s="11" t="s">
        <v>68</v>
      </c>
      <c r="C44" s="12" t="n">
        <f aca="false">'Deal &amp; PPA'!C26</f>
        <v>45250</v>
      </c>
    </row>
    <row r="45" customFormat="false" ht="15" hidden="false" customHeight="false" outlineLevel="0" collapsed="false">
      <c r="A45" s="9" t="s">
        <v>69</v>
      </c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 customFormat="false" ht="15" hidden="false" customHeight="false" outlineLevel="0" collapsed="false">
      <c r="A46" s="11" t="s">
        <v>70</v>
      </c>
      <c r="C46" s="18" t="n">
        <f aca="false">Checks!C3</f>
        <v>0</v>
      </c>
      <c r="D46" s="18" t="n">
        <f aca="false">Checks!D3</f>
        <v>0</v>
      </c>
      <c r="E46" s="18" t="n">
        <f aca="false">Checks!E3</f>
        <v>0</v>
      </c>
      <c r="F46" s="18" t="n">
        <f aca="false">Checks!F3</f>
        <v>0</v>
      </c>
      <c r="G46" s="18" t="n">
        <f aca="false">Checks!G3</f>
        <v>0</v>
      </c>
      <c r="H46" s="18" t="n">
        <f aca="false">Checks!H3</f>
        <v>0</v>
      </c>
    </row>
    <row r="47" customFormat="false" ht="15" hidden="false" customHeight="false" outlineLevel="0" collapsed="false">
      <c r="A47" s="11" t="s">
        <v>71</v>
      </c>
      <c r="D47" s="18" t="n">
        <f aca="false">Checks!D4</f>
        <v>0</v>
      </c>
      <c r="E47" s="18" t="n">
        <f aca="false">Checks!E4</f>
        <v>0</v>
      </c>
      <c r="F47" s="18" t="n">
        <f aca="false">Checks!F4</f>
        <v>0</v>
      </c>
      <c r="G47" s="18" t="n">
        <f aca="false">Checks!G4</f>
        <v>0</v>
      </c>
      <c r="H47" s="18" t="n">
        <f aca="false">Checks!H4</f>
        <v>0</v>
      </c>
    </row>
    <row r="48" customFormat="false" ht="15" hidden="false" customHeight="false" outlineLevel="0" collapsed="false">
      <c r="A48" s="11" t="s">
        <v>72</v>
      </c>
      <c r="C48" s="18" t="n">
        <f aca="false">Checks!C6</f>
        <v>0</v>
      </c>
      <c r="D48" s="18" t="n">
        <f aca="false">Checks!D6</f>
        <v>0</v>
      </c>
      <c r="E48" s="18" t="n">
        <f aca="false">Checks!E6</f>
        <v>0</v>
      </c>
      <c r="F48" s="18" t="n">
        <f aca="false">Checks!F6</f>
        <v>0</v>
      </c>
      <c r="G48" s="18" t="n">
        <f aca="false">Checks!G6</f>
        <v>0</v>
      </c>
      <c r="H48" s="18" t="n">
        <f aca="false">Checks!H6</f>
        <v>0</v>
      </c>
    </row>
    <row r="49" customFormat="false" ht="15" hidden="false" customHeight="false" outlineLevel="0" collapsed="false">
      <c r="A49" s="11" t="s">
        <v>73</v>
      </c>
      <c r="C49" s="19" t="n">
        <f aca="false">Checks!C7</f>
        <v>0</v>
      </c>
      <c r="D49" s="19" t="n">
        <f aca="false">Checks!D7</f>
        <v>0</v>
      </c>
      <c r="E49" s="19" t="n">
        <f aca="false">Checks!E7</f>
        <v>0</v>
      </c>
      <c r="F49" s="19" t="n">
        <f aca="false">Checks!F7</f>
        <v>0</v>
      </c>
      <c r="G49" s="19" t="n">
        <f aca="false">Checks!G7</f>
        <v>0</v>
      </c>
      <c r="H49" s="19" t="n">
        <f aca="false">Checks!H7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3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6" t="s">
        <v>74</v>
      </c>
    </row>
    <row r="2" customFormat="false" ht="15" hidden="false" customHeight="false" outlineLevel="0" collapsed="false">
      <c r="C2" s="8" t="s">
        <v>22</v>
      </c>
      <c r="D2" s="8" t="s">
        <v>23</v>
      </c>
      <c r="E2" s="8" t="s">
        <v>24</v>
      </c>
      <c r="F2" s="8" t="s">
        <v>25</v>
      </c>
      <c r="G2" s="8" t="s">
        <v>26</v>
      </c>
      <c r="H2" s="8" t="s">
        <v>27</v>
      </c>
    </row>
    <row r="3" customFormat="false" ht="15" hidden="false" customHeight="false" outlineLevel="0" collapsed="false">
      <c r="A3" s="9" t="s">
        <v>75</v>
      </c>
      <c r="B3" s="10"/>
      <c r="C3" s="10"/>
      <c r="D3" s="10"/>
      <c r="E3" s="10"/>
      <c r="F3" s="10"/>
      <c r="G3" s="10"/>
      <c r="H3" s="10"/>
      <c r="I3" s="10"/>
      <c r="J3" s="10"/>
      <c r="K3" s="10"/>
    </row>
    <row r="4" customFormat="false" ht="15" hidden="false" customHeight="false" outlineLevel="0" collapsed="false">
      <c r="A4" s="4" t="s">
        <v>76</v>
      </c>
    </row>
    <row r="5" customFormat="false" ht="15" hidden="false" customHeight="false" outlineLevel="0" collapsed="false">
      <c r="A5" s="11" t="s">
        <v>77</v>
      </c>
      <c r="C5" s="20" t="n">
        <v>6000</v>
      </c>
    </row>
    <row r="6" customFormat="false" ht="15" hidden="false" customHeight="false" outlineLevel="0" collapsed="false">
      <c r="A6" s="11" t="s">
        <v>78</v>
      </c>
      <c r="D6" s="21" t="n">
        <v>0.28</v>
      </c>
      <c r="E6" s="21" t="n">
        <v>0.3</v>
      </c>
      <c r="F6" s="21" t="n">
        <v>0.28</v>
      </c>
      <c r="G6" s="21" t="n">
        <v>0.24</v>
      </c>
      <c r="H6" s="21" t="n">
        <v>0.2</v>
      </c>
    </row>
    <row r="7" customFormat="false" ht="15" hidden="false" customHeight="false" outlineLevel="0" collapsed="false">
      <c r="A7" s="11" t="s">
        <v>79</v>
      </c>
      <c r="C7" s="21" t="n">
        <v>-0.08</v>
      </c>
      <c r="D7" s="21" t="n">
        <v>0</v>
      </c>
      <c r="E7" s="21" t="n">
        <v>0.08</v>
      </c>
      <c r="F7" s="21" t="n">
        <v>0.14</v>
      </c>
      <c r="G7" s="21" t="n">
        <v>0.19</v>
      </c>
      <c r="H7" s="21" t="n">
        <v>0.24</v>
      </c>
    </row>
    <row r="8" customFormat="false" ht="15" hidden="false" customHeight="false" outlineLevel="0" collapsed="false">
      <c r="A8" s="4" t="s">
        <v>80</v>
      </c>
    </row>
    <row r="9" customFormat="false" ht="15" hidden="false" customHeight="false" outlineLevel="0" collapsed="false">
      <c r="A9" s="11" t="s">
        <v>77</v>
      </c>
      <c r="C9" s="20" t="n">
        <v>11400</v>
      </c>
    </row>
    <row r="10" customFormat="false" ht="15" hidden="false" customHeight="false" outlineLevel="0" collapsed="false">
      <c r="A10" s="11" t="s">
        <v>78</v>
      </c>
      <c r="D10" s="21" t="n">
        <v>0.42</v>
      </c>
      <c r="E10" s="21" t="n">
        <v>0.36</v>
      </c>
      <c r="F10" s="21" t="n">
        <v>0.3</v>
      </c>
      <c r="G10" s="21" t="n">
        <v>0.25</v>
      </c>
      <c r="H10" s="21" t="n">
        <v>0.21</v>
      </c>
    </row>
    <row r="11" customFormat="false" ht="15" hidden="false" customHeight="false" outlineLevel="0" collapsed="false">
      <c r="A11" s="11" t="s">
        <v>79</v>
      </c>
      <c r="C11" s="21" t="n">
        <v>0.45</v>
      </c>
      <c r="D11" s="21" t="n">
        <v>0.48</v>
      </c>
      <c r="E11" s="21" t="n">
        <v>0.51</v>
      </c>
      <c r="F11" s="21" t="n">
        <v>0.53</v>
      </c>
      <c r="G11" s="21" t="n">
        <v>0.55</v>
      </c>
      <c r="H11" s="21" t="n">
        <v>0.57</v>
      </c>
    </row>
    <row r="12" customFormat="false" ht="15" hidden="false" customHeight="false" outlineLevel="0" collapsed="false">
      <c r="A12" s="4" t="s">
        <v>81</v>
      </c>
    </row>
    <row r="13" customFormat="false" ht="15" hidden="false" customHeight="false" outlineLevel="0" collapsed="false">
      <c r="A13" s="11" t="s">
        <v>82</v>
      </c>
      <c r="C13" s="20" t="n">
        <v>1750</v>
      </c>
    </row>
    <row r="14" customFormat="false" ht="15" hidden="false" customHeight="false" outlineLevel="0" collapsed="false">
      <c r="A14" s="11" t="s">
        <v>83</v>
      </c>
      <c r="D14" s="21" t="n">
        <v>0.85</v>
      </c>
      <c r="E14" s="21" t="n">
        <v>0.7</v>
      </c>
      <c r="F14" s="21" t="n">
        <v>0.5</v>
      </c>
      <c r="G14" s="21" t="n">
        <v>0.38</v>
      </c>
      <c r="H14" s="21" t="n">
        <v>0.3</v>
      </c>
    </row>
    <row r="15" customFormat="false" ht="15" hidden="false" customHeight="false" outlineLevel="0" collapsed="false">
      <c r="A15" s="11" t="s">
        <v>84</v>
      </c>
      <c r="C15" s="21" t="n">
        <v>-0.6</v>
      </c>
      <c r="D15" s="21" t="n">
        <v>-0.25</v>
      </c>
      <c r="E15" s="21" t="n">
        <v>-0.02</v>
      </c>
      <c r="F15" s="21" t="n">
        <v>0.08</v>
      </c>
      <c r="G15" s="21" t="n">
        <v>0.16</v>
      </c>
      <c r="H15" s="21" t="n">
        <v>0.22</v>
      </c>
    </row>
    <row r="16" customFormat="false" ht="15" hidden="false" customHeight="false" outlineLevel="0" collapsed="false">
      <c r="A16" s="9" t="s">
        <v>85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customFormat="false" ht="15" hidden="false" customHeight="false" outlineLevel="0" collapsed="false">
      <c r="A17" s="11" t="s">
        <v>86</v>
      </c>
      <c r="C17" s="20" t="n">
        <v>0</v>
      </c>
      <c r="D17" s="20" t="n">
        <v>50</v>
      </c>
      <c r="E17" s="20" t="n">
        <v>200</v>
      </c>
      <c r="F17" s="20" t="n">
        <v>350</v>
      </c>
      <c r="G17" s="20" t="n">
        <v>450</v>
      </c>
      <c r="H17" s="20" t="n">
        <v>550</v>
      </c>
    </row>
    <row r="18" customFormat="false" ht="15" hidden="false" customHeight="false" outlineLevel="0" collapsed="false">
      <c r="A18" s="11" t="s">
        <v>87</v>
      </c>
      <c r="C18" s="20" t="n">
        <v>0</v>
      </c>
      <c r="D18" s="20" t="n">
        <v>100</v>
      </c>
      <c r="E18" s="20" t="n">
        <v>350</v>
      </c>
      <c r="F18" s="20" t="n">
        <v>550</v>
      </c>
      <c r="G18" s="20" t="n">
        <v>700</v>
      </c>
      <c r="H18" s="20" t="n">
        <v>850</v>
      </c>
    </row>
    <row r="19" customFormat="false" ht="15" hidden="false" customHeight="false" outlineLevel="0" collapsed="false">
      <c r="A19" s="11" t="s">
        <v>88</v>
      </c>
      <c r="C19" s="20" t="n">
        <v>0</v>
      </c>
      <c r="D19" s="20" t="n">
        <v>500</v>
      </c>
      <c r="E19" s="20" t="n">
        <v>0</v>
      </c>
      <c r="F19" s="20" t="n">
        <v>0</v>
      </c>
      <c r="G19" s="20" t="n">
        <v>0</v>
      </c>
      <c r="H19" s="20" t="n">
        <v>0</v>
      </c>
    </row>
    <row r="20" customFormat="false" ht="15" hidden="false" customHeight="false" outlineLevel="0" collapsed="false">
      <c r="A20" s="9" t="s">
        <v>89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customFormat="false" ht="15" hidden="false" customHeight="false" outlineLevel="0" collapsed="false">
      <c r="A21" s="11" t="s">
        <v>90</v>
      </c>
      <c r="C21" s="21" t="n">
        <v>0.28</v>
      </c>
      <c r="D21" s="21" t="n">
        <v>0.26</v>
      </c>
      <c r="E21" s="21" t="n">
        <v>0.24</v>
      </c>
      <c r="F21" s="21" t="n">
        <v>0.22</v>
      </c>
      <c r="G21" s="21" t="n">
        <v>0.2</v>
      </c>
      <c r="H21" s="21" t="n">
        <v>0.18</v>
      </c>
    </row>
    <row r="22" customFormat="false" ht="15" hidden="false" customHeight="false" outlineLevel="0" collapsed="false">
      <c r="A22" s="11" t="s">
        <v>91</v>
      </c>
      <c r="C22" s="21" t="n">
        <v>0.36</v>
      </c>
      <c r="D22" s="21" t="n">
        <v>0.34</v>
      </c>
      <c r="E22" s="21" t="n">
        <v>0.3</v>
      </c>
      <c r="F22" s="21" t="n">
        <v>0.27</v>
      </c>
      <c r="G22" s="21" t="n">
        <v>0.24</v>
      </c>
      <c r="H22" s="21" t="n">
        <v>0.22</v>
      </c>
    </row>
    <row r="23" customFormat="false" ht="15" hidden="false" customHeight="false" outlineLevel="0" collapsed="false">
      <c r="A23" s="11" t="s">
        <v>92</v>
      </c>
      <c r="C23" s="21" t="n">
        <v>0.25</v>
      </c>
      <c r="D23" s="21" t="n">
        <v>0.28</v>
      </c>
      <c r="E23" s="21" t="n">
        <v>0.26</v>
      </c>
      <c r="F23" s="21" t="n">
        <v>0.23</v>
      </c>
      <c r="G23" s="21" t="n">
        <v>0.2</v>
      </c>
      <c r="H23" s="21" t="n">
        <v>0.18</v>
      </c>
    </row>
    <row r="24" customFormat="false" ht="15" hidden="false" customHeight="false" outlineLevel="0" collapsed="false">
      <c r="A24" s="11" t="s">
        <v>93</v>
      </c>
      <c r="C24" s="21" t="n">
        <v>0.09</v>
      </c>
    </row>
    <row r="25" customFormat="false" ht="15" hidden="false" customHeight="false" outlineLevel="0" collapsed="false">
      <c r="A25" s="11" t="s">
        <v>94</v>
      </c>
      <c r="C25" s="21" t="n">
        <v>0.12</v>
      </c>
    </row>
    <row r="26" customFormat="false" ht="15" hidden="false" customHeight="false" outlineLevel="0" collapsed="false">
      <c r="A26" s="11" t="s">
        <v>95</v>
      </c>
      <c r="C26" s="21" t="n">
        <v>0.16</v>
      </c>
    </row>
    <row r="27" customFormat="false" ht="15" hidden="false" customHeight="false" outlineLevel="0" collapsed="false">
      <c r="A27" s="11" t="s">
        <v>96</v>
      </c>
      <c r="C27" s="20" t="n">
        <v>14000</v>
      </c>
    </row>
    <row r="28" customFormat="false" ht="15" hidden="false" customHeight="false" outlineLevel="0" collapsed="false">
      <c r="A28" s="11" t="s">
        <v>97</v>
      </c>
      <c r="C28" s="20" t="n">
        <v>3300</v>
      </c>
      <c r="L28" s="7" t="s">
        <v>98</v>
      </c>
    </row>
    <row r="29" customFormat="false" ht="15" hidden="false" customHeight="false" outlineLevel="0" collapsed="false">
      <c r="A29" s="11" t="s">
        <v>99</v>
      </c>
      <c r="C29" s="21" t="n">
        <v>0.06</v>
      </c>
      <c r="D29" s="21" t="n">
        <v>0.06</v>
      </c>
      <c r="E29" s="21" t="n">
        <v>0.055</v>
      </c>
      <c r="F29" s="21" t="n">
        <v>0.05</v>
      </c>
      <c r="G29" s="21" t="n">
        <v>0.045</v>
      </c>
      <c r="H29" s="21" t="n">
        <v>0.04</v>
      </c>
    </row>
    <row r="30" customFormat="false" ht="15" hidden="false" customHeight="false" outlineLevel="0" collapsed="false">
      <c r="A30" s="11" t="s">
        <v>100</v>
      </c>
      <c r="C30" s="20" t="n">
        <v>0</v>
      </c>
      <c r="D30" s="20" t="n">
        <v>2000</v>
      </c>
      <c r="E30" s="20" t="n">
        <v>2000</v>
      </c>
      <c r="F30" s="20" t="n">
        <v>1500</v>
      </c>
      <c r="G30" s="20" t="n">
        <v>1000</v>
      </c>
      <c r="H30" s="20" t="n">
        <v>1000</v>
      </c>
    </row>
    <row r="31" customFormat="false" ht="15" hidden="false" customHeight="false" outlineLevel="0" collapsed="false">
      <c r="A31" s="11" t="s">
        <v>101</v>
      </c>
      <c r="C31" s="20" t="n">
        <v>0</v>
      </c>
      <c r="D31" s="20" t="n">
        <v>-2000</v>
      </c>
      <c r="E31" s="20" t="n">
        <v>-2000</v>
      </c>
      <c r="F31" s="20" t="n">
        <v>-2000</v>
      </c>
      <c r="G31" s="20" t="n">
        <v>-2000</v>
      </c>
      <c r="H31" s="20" t="n">
        <v>-2000</v>
      </c>
    </row>
    <row r="32" customFormat="false" ht="15" hidden="false" customHeight="false" outlineLevel="0" collapsed="false">
      <c r="A32" s="11" t="s">
        <v>102</v>
      </c>
      <c r="C32" s="20" t="n">
        <v>0</v>
      </c>
      <c r="D32" s="20" t="n">
        <v>50000</v>
      </c>
      <c r="E32" s="20" t="n">
        <v>0</v>
      </c>
      <c r="F32" s="20" t="n">
        <v>0</v>
      </c>
      <c r="G32" s="20" t="n">
        <v>0</v>
      </c>
      <c r="H32" s="20" t="n">
        <v>0</v>
      </c>
      <c r="L32" s="7" t="s">
        <v>103</v>
      </c>
    </row>
    <row r="33" customFormat="false" ht="15" hidden="false" customHeight="false" outlineLevel="0" collapsed="false">
      <c r="A33" s="11" t="s">
        <v>104</v>
      </c>
      <c r="C33" s="21" t="n">
        <v>0.065</v>
      </c>
    </row>
    <row r="34" customFormat="false" ht="15" hidden="false" customHeight="false" outlineLevel="0" collapsed="false">
      <c r="A34" s="11" t="s">
        <v>105</v>
      </c>
      <c r="C34" s="21" t="n">
        <v>0.04</v>
      </c>
    </row>
    <row r="35" customFormat="false" ht="15" hidden="false" customHeight="false" outlineLevel="0" collapsed="false">
      <c r="A35" s="11" t="s">
        <v>106</v>
      </c>
      <c r="C35" s="21" t="n">
        <v>0.21</v>
      </c>
    </row>
    <row r="36" customFormat="false" ht="15" hidden="false" customHeight="false" outlineLevel="0" collapsed="false">
      <c r="A36" s="11" t="s">
        <v>107</v>
      </c>
      <c r="C36" s="20" t="n">
        <v>26000</v>
      </c>
      <c r="L36" s="7" t="s">
        <v>108</v>
      </c>
    </row>
    <row r="37" customFormat="false" ht="15" hidden="false" customHeight="false" outlineLevel="0" collapsed="false">
      <c r="A37" s="11" t="s">
        <v>109</v>
      </c>
      <c r="C37" s="21" t="n">
        <v>0.8</v>
      </c>
    </row>
    <row r="38" customFormat="false" ht="15" hidden="false" customHeight="false" outlineLevel="0" collapsed="false">
      <c r="A38" s="11" t="s">
        <v>110</v>
      </c>
      <c r="C38" s="22" t="n">
        <v>2000</v>
      </c>
    </row>
    <row r="39" customFormat="false" ht="15" hidden="false" customHeight="false" outlineLevel="0" collapsed="false">
      <c r="A39" s="11" t="s">
        <v>111</v>
      </c>
      <c r="C39" s="23" t="n">
        <v>450</v>
      </c>
    </row>
    <row r="40" customFormat="false" ht="15" hidden="false" customHeight="false" outlineLevel="0" collapsed="false">
      <c r="A40" s="9" t="s">
        <v>112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 customFormat="false" ht="15" hidden="false" customHeight="false" outlineLevel="0" collapsed="false">
      <c r="A41" s="11" t="s">
        <v>113</v>
      </c>
      <c r="C41" s="21" t="n">
        <v>0.1339</v>
      </c>
    </row>
    <row r="42" customFormat="false" ht="15" hidden="false" customHeight="false" outlineLevel="0" collapsed="false">
      <c r="A42" s="11" t="s">
        <v>114</v>
      </c>
      <c r="C42" s="21" t="n">
        <v>0.1499</v>
      </c>
    </row>
    <row r="43" customFormat="false" ht="15" hidden="false" customHeight="false" outlineLevel="0" collapsed="false">
      <c r="A43" s="11" t="s">
        <v>115</v>
      </c>
      <c r="C43" s="21" t="n">
        <v>0.0803</v>
      </c>
    </row>
    <row r="44" customFormat="false" ht="15" hidden="false" customHeight="false" outlineLevel="0" collapsed="false">
      <c r="A44" s="11" t="s">
        <v>116</v>
      </c>
      <c r="C44" s="21" t="n">
        <v>0.1499</v>
      </c>
    </row>
    <row r="45" customFormat="false" ht="15" hidden="false" customHeight="false" outlineLevel="0" collapsed="false">
      <c r="A45" s="11" t="s">
        <v>117</v>
      </c>
      <c r="C45" s="21" t="n">
        <v>0.091</v>
      </c>
    </row>
    <row r="46" customFormat="false" ht="15" hidden="false" customHeight="false" outlineLevel="0" collapsed="false">
      <c r="A46" s="11" t="s">
        <v>118</v>
      </c>
      <c r="C46" s="21" t="n">
        <v>0.1499</v>
      </c>
    </row>
    <row r="47" customFormat="false" ht="15" hidden="false" customHeight="false" outlineLevel="0" collapsed="false">
      <c r="A47" s="11" t="s">
        <v>119</v>
      </c>
      <c r="C47" s="21" t="n">
        <v>0.1017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3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6" t="s">
        <v>120</v>
      </c>
    </row>
    <row r="2" customFormat="false" ht="15" hidden="false" customHeight="false" outlineLevel="0" collapsed="false">
      <c r="A2" s="7" t="s">
        <v>121</v>
      </c>
    </row>
    <row r="3" customFormat="false" ht="15" hidden="false" customHeight="false" outlineLevel="0" collapsed="false">
      <c r="C3" s="8" t="s">
        <v>22</v>
      </c>
      <c r="D3" s="8" t="s">
        <v>23</v>
      </c>
      <c r="E3" s="8" t="s">
        <v>24</v>
      </c>
      <c r="F3" s="8" t="s">
        <v>25</v>
      </c>
      <c r="G3" s="8" t="s">
        <v>26</v>
      </c>
      <c r="H3" s="8" t="s">
        <v>27</v>
      </c>
    </row>
    <row r="4" customFormat="false" ht="15" hidden="false" customHeight="false" outlineLevel="0" collapsed="false">
      <c r="A4" s="9" t="s">
        <v>122</v>
      </c>
      <c r="B4" s="10"/>
      <c r="C4" s="10"/>
      <c r="D4" s="10"/>
      <c r="E4" s="10"/>
      <c r="F4" s="10"/>
      <c r="G4" s="10"/>
      <c r="H4" s="10"/>
      <c r="I4" s="10"/>
      <c r="J4" s="10"/>
      <c r="K4" s="10"/>
    </row>
    <row r="5" customFormat="false" ht="15" hidden="false" customHeight="false" outlineLevel="0" collapsed="false">
      <c r="A5" s="11" t="s">
        <v>39</v>
      </c>
      <c r="C5" s="12" t="n">
        <f aca="false">Assumptions!C5</f>
        <v>6000</v>
      </c>
      <c r="D5" s="12" t="n">
        <f aca="false">Segments!C5*(1+Assumptions!D6)</f>
        <v>7680</v>
      </c>
      <c r="E5" s="12" t="n">
        <f aca="false">Segments!D5*(1+Assumptions!E6)</f>
        <v>9984</v>
      </c>
      <c r="F5" s="12" t="n">
        <f aca="false">Segments!E5*(1+Assumptions!F6)</f>
        <v>12779.52</v>
      </c>
      <c r="G5" s="12" t="n">
        <f aca="false">Segments!F5*(1+Assumptions!G6)</f>
        <v>15846.6048</v>
      </c>
      <c r="H5" s="12" t="n">
        <f aca="false">Segments!G5*(1+Assumptions!H6)</f>
        <v>19015.92576</v>
      </c>
    </row>
    <row r="6" customFormat="false" ht="15" hidden="false" customHeight="false" outlineLevel="0" collapsed="false">
      <c r="A6" s="11" t="s">
        <v>40</v>
      </c>
      <c r="C6" s="12" t="n">
        <f aca="false">Assumptions!C9</f>
        <v>11400</v>
      </c>
      <c r="D6" s="12" t="n">
        <f aca="false">Segments!C6*(1+Assumptions!D10)</f>
        <v>16188</v>
      </c>
      <c r="E6" s="12" t="n">
        <f aca="false">Segments!D6*(1+Assumptions!E10)</f>
        <v>22015.68</v>
      </c>
      <c r="F6" s="12" t="n">
        <f aca="false">Segments!E6*(1+Assumptions!F10)</f>
        <v>28620.384</v>
      </c>
      <c r="G6" s="12" t="n">
        <f aca="false">Segments!F6*(1+Assumptions!G10)</f>
        <v>35775.48</v>
      </c>
      <c r="H6" s="12" t="n">
        <f aca="false">Segments!G6*(1+Assumptions!H10)</f>
        <v>43288.3308</v>
      </c>
    </row>
    <row r="7" customFormat="false" ht="15" hidden="false" customHeight="false" outlineLevel="0" collapsed="false">
      <c r="A7" s="11" t="s">
        <v>123</v>
      </c>
      <c r="C7" s="12" t="n">
        <f aca="false">Assumptions!C13</f>
        <v>1750</v>
      </c>
      <c r="D7" s="12" t="n">
        <f aca="false">Segments!C7*(1+Assumptions!D14)</f>
        <v>3237.5</v>
      </c>
      <c r="E7" s="12" t="n">
        <f aca="false">Segments!D7*(1+Assumptions!E14)</f>
        <v>5503.75</v>
      </c>
      <c r="F7" s="12" t="n">
        <f aca="false">Segments!E7*(1+Assumptions!F14)</f>
        <v>8255.625</v>
      </c>
      <c r="G7" s="12" t="n">
        <f aca="false">Segments!F7*(1+Assumptions!G14)</f>
        <v>11392.7625</v>
      </c>
      <c r="H7" s="12" t="n">
        <f aca="false">Segments!G7*(1+Assumptions!H14)</f>
        <v>14810.59125</v>
      </c>
    </row>
    <row r="8" customFormat="false" ht="15" hidden="false" customHeight="false" outlineLevel="0" collapsed="false">
      <c r="A8" s="11" t="s">
        <v>124</v>
      </c>
      <c r="C8" s="12" t="n">
        <f aca="false">Assumptions!C17</f>
        <v>0</v>
      </c>
      <c r="D8" s="12" t="n">
        <f aca="false">Assumptions!D17</f>
        <v>50</v>
      </c>
      <c r="E8" s="12" t="n">
        <f aca="false">Assumptions!E17</f>
        <v>200</v>
      </c>
      <c r="F8" s="12" t="n">
        <f aca="false">Assumptions!F17</f>
        <v>350</v>
      </c>
      <c r="G8" s="12" t="n">
        <f aca="false">Assumptions!G17</f>
        <v>450</v>
      </c>
      <c r="H8" s="12" t="n">
        <f aca="false">Assumptions!H17</f>
        <v>550</v>
      </c>
    </row>
    <row r="9" customFormat="false" ht="15" hidden="false" customHeight="false" outlineLevel="0" collapsed="false">
      <c r="A9" s="11" t="s">
        <v>125</v>
      </c>
      <c r="C9" s="12" t="n">
        <f aca="false">Segments!C7+Segments!C8</f>
        <v>1750</v>
      </c>
      <c r="D9" s="12" t="n">
        <f aca="false">Segments!D7+Segments!D8</f>
        <v>3287.5</v>
      </c>
      <c r="E9" s="12" t="n">
        <f aca="false">Segments!E7+Segments!E8</f>
        <v>5703.75</v>
      </c>
      <c r="F9" s="12" t="n">
        <f aca="false">Segments!F7+Segments!F8</f>
        <v>8605.625</v>
      </c>
      <c r="G9" s="12" t="n">
        <f aca="false">Segments!G7+Segments!G8</f>
        <v>11842.7625</v>
      </c>
      <c r="H9" s="12" t="n">
        <f aca="false">Segments!H7+Segments!H8</f>
        <v>15360.59125</v>
      </c>
    </row>
    <row r="10" customFormat="false" ht="15" hidden="false" customHeight="false" outlineLevel="0" collapsed="false">
      <c r="A10" s="4" t="s">
        <v>32</v>
      </c>
      <c r="C10" s="14" t="n">
        <f aca="false">Segments!C5+Segments!C6+Segments!C9</f>
        <v>19150</v>
      </c>
      <c r="D10" s="14" t="n">
        <f aca="false">Segments!D5+Segments!D6+Segments!D9</f>
        <v>27155.5</v>
      </c>
      <c r="E10" s="14" t="n">
        <f aca="false">Segments!E5+Segments!E6+Segments!E9</f>
        <v>37703.43</v>
      </c>
      <c r="F10" s="14" t="n">
        <f aca="false">Segments!F5+Segments!F6+Segments!F9</f>
        <v>50005.529</v>
      </c>
      <c r="G10" s="14" t="n">
        <f aca="false">Segments!G5+Segments!G6+Segments!G9</f>
        <v>63464.8473</v>
      </c>
      <c r="H10" s="14" t="n">
        <f aca="false">Segments!H5+Segments!H6+Segments!H9</f>
        <v>77664.84781</v>
      </c>
    </row>
    <row r="11" customFormat="false" ht="15" hidden="false" customHeight="false" outlineLevel="0" collapsed="false">
      <c r="A11" s="9" t="s">
        <v>126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customFormat="false" ht="15" hidden="false" customHeight="false" outlineLevel="0" collapsed="false">
      <c r="A12" s="11" t="s">
        <v>39</v>
      </c>
      <c r="C12" s="12" t="n">
        <f aca="false">Segments!C5*Assumptions!C7</f>
        <v>-480</v>
      </c>
      <c r="D12" s="12" t="n">
        <f aca="false">Segments!D5*Assumptions!D7</f>
        <v>0</v>
      </c>
      <c r="E12" s="12" t="n">
        <f aca="false">Segments!E5*Assumptions!E7</f>
        <v>798.72</v>
      </c>
      <c r="F12" s="12" t="n">
        <f aca="false">Segments!F5*Assumptions!F7</f>
        <v>1789.1328</v>
      </c>
      <c r="G12" s="12" t="n">
        <f aca="false">Segments!G5*Assumptions!G7</f>
        <v>3010.854912</v>
      </c>
      <c r="H12" s="12" t="n">
        <f aca="false">Segments!H5*Assumptions!H7</f>
        <v>4563.8221824</v>
      </c>
    </row>
    <row r="13" customFormat="false" ht="15" hidden="false" customHeight="false" outlineLevel="0" collapsed="false">
      <c r="A13" s="11" t="s">
        <v>40</v>
      </c>
      <c r="C13" s="12" t="n">
        <f aca="false">Segments!C6*Assumptions!C11</f>
        <v>5130</v>
      </c>
      <c r="D13" s="12" t="n">
        <f aca="false">Segments!D6*Assumptions!D11</f>
        <v>7770.24</v>
      </c>
      <c r="E13" s="12" t="n">
        <f aca="false">Segments!E6*Assumptions!E11</f>
        <v>11227.9968</v>
      </c>
      <c r="F13" s="12" t="n">
        <f aca="false">Segments!F6*Assumptions!F11</f>
        <v>15168.80352</v>
      </c>
      <c r="G13" s="12" t="n">
        <f aca="false">Segments!G6*Assumptions!G11</f>
        <v>19676.514</v>
      </c>
      <c r="H13" s="12" t="n">
        <f aca="false">Segments!H6*Assumptions!H11</f>
        <v>24674.348556</v>
      </c>
    </row>
    <row r="14" customFormat="false" ht="15" hidden="false" customHeight="false" outlineLevel="0" collapsed="false">
      <c r="A14" s="11" t="s">
        <v>127</v>
      </c>
      <c r="C14" s="12" t="n">
        <f aca="false">Segments!C9*Assumptions!C15+Assumptions!C18-Assumptions!C19</f>
        <v>-1050</v>
      </c>
      <c r="D14" s="12" t="n">
        <f aca="false">Segments!D9*Assumptions!D15+Assumptions!D18-Assumptions!D19</f>
        <v>-1221.875</v>
      </c>
      <c r="E14" s="12" t="n">
        <f aca="false">Segments!E9*Assumptions!E15+Assumptions!E18-Assumptions!E19</f>
        <v>235.925</v>
      </c>
      <c r="F14" s="12" t="n">
        <f aca="false">Segments!F9*Assumptions!F15+Assumptions!F18-Assumptions!F19</f>
        <v>1238.45</v>
      </c>
      <c r="G14" s="12" t="n">
        <f aca="false">Segments!G9*Assumptions!G15+Assumptions!G18-Assumptions!G19</f>
        <v>2594.842</v>
      </c>
      <c r="H14" s="12" t="n">
        <f aca="false">Segments!H9*Assumptions!H15+Assumptions!H18-Assumptions!H19</f>
        <v>4229.330075</v>
      </c>
    </row>
    <row r="15" customFormat="false" ht="15" hidden="false" customHeight="false" outlineLevel="0" collapsed="false">
      <c r="A15" s="4" t="s">
        <v>33</v>
      </c>
      <c r="C15" s="14" t="n">
        <f aca="false">Segments!C12+Segments!C13+Segments!C14</f>
        <v>3600</v>
      </c>
      <c r="D15" s="14" t="n">
        <f aca="false">Segments!D12+Segments!D13+Segments!D14</f>
        <v>6548.365</v>
      </c>
      <c r="E15" s="14" t="n">
        <f aca="false">Segments!E12+Segments!E13+Segments!E14</f>
        <v>12262.6418</v>
      </c>
      <c r="F15" s="14" t="n">
        <f aca="false">Segments!F12+Segments!F13+Segments!F14</f>
        <v>18196.38632</v>
      </c>
      <c r="G15" s="14" t="n">
        <f aca="false">Segments!G12+Segments!G13+Segments!G14</f>
        <v>25282.210912</v>
      </c>
      <c r="H15" s="14" t="n">
        <f aca="false">Segments!H12+Segments!H13+Segments!H14</f>
        <v>33467.5008134</v>
      </c>
    </row>
    <row r="16" customFormat="false" ht="15" hidden="false" customHeight="false" outlineLevel="0" collapsed="false">
      <c r="A16" s="11" t="s">
        <v>128</v>
      </c>
      <c r="C16" s="15" t="n">
        <f aca="false">Segments!C15/Segments!C10</f>
        <v>0.18798955613577</v>
      </c>
      <c r="D16" s="15" t="n">
        <f aca="false">Segments!D15/Segments!D10</f>
        <v>0.241143230653091</v>
      </c>
      <c r="E16" s="15" t="n">
        <f aca="false">Segments!E15/Segments!E10</f>
        <v>0.325239422514079</v>
      </c>
      <c r="F16" s="15" t="n">
        <f aca="false">Segments!F15/Segments!F10</f>
        <v>0.363887487721608</v>
      </c>
      <c r="G16" s="15" t="n">
        <f aca="false">Segments!G15/Segments!G10</f>
        <v>0.398365583273057</v>
      </c>
      <c r="H16" s="15" t="n">
        <f aca="false">Segments!H15/Segments!H10</f>
        <v>0.430922119300037</v>
      </c>
    </row>
    <row r="17" customFormat="false" ht="15" hidden="false" customHeight="false" outlineLevel="0" collapsed="false">
      <c r="A17" s="9" t="s">
        <v>129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customFormat="false" ht="15" hidden="false" customHeight="false" outlineLevel="0" collapsed="false">
      <c r="A18" s="24" t="s">
        <v>130</v>
      </c>
    </row>
    <row r="19" customFormat="false" ht="15" hidden="false" customHeight="false" outlineLevel="0" collapsed="false">
      <c r="A19" s="4" t="s">
        <v>39</v>
      </c>
    </row>
    <row r="20" customFormat="false" ht="15" hidden="false" customHeight="false" outlineLevel="0" collapsed="false">
      <c r="A20" s="11" t="s">
        <v>131</v>
      </c>
      <c r="C20" s="12" t="n">
        <f aca="false">Segments!C12</f>
        <v>-480</v>
      </c>
      <c r="D20" s="12" t="n">
        <f aca="false">Segments!D12</f>
        <v>0</v>
      </c>
      <c r="E20" s="12" t="n">
        <f aca="false">Segments!E12</f>
        <v>798.72</v>
      </c>
      <c r="F20" s="12" t="n">
        <f aca="false">Segments!F12</f>
        <v>1789.1328</v>
      </c>
      <c r="G20" s="12" t="n">
        <f aca="false">Segments!G12</f>
        <v>3010.854912</v>
      </c>
      <c r="H20" s="12" t="n">
        <f aca="false">Segments!H12</f>
        <v>4563.8221824</v>
      </c>
    </row>
    <row r="21" customFormat="false" ht="15" hidden="false" customHeight="false" outlineLevel="0" collapsed="false">
      <c r="A21" s="11" t="s">
        <v>132</v>
      </c>
      <c r="C21" s="12" t="n">
        <f aca="false">-Schedules!C7</f>
        <v>-1260</v>
      </c>
      <c r="D21" s="12" t="n">
        <f aca="false">-Schedules!D7</f>
        <v>-1260</v>
      </c>
      <c r="E21" s="12" t="n">
        <f aca="false">-Schedules!E7</f>
        <v>-1326.312</v>
      </c>
      <c r="F21" s="12" t="n">
        <f aca="false">-Schedules!F7</f>
        <v>-1422.59832</v>
      </c>
      <c r="G21" s="12" t="n">
        <f aca="false">-Schedules!G7</f>
        <v>-1547.5989672</v>
      </c>
      <c r="H21" s="12" t="n">
        <f aca="false">-Schedules!H7</f>
        <v>-1693.553946552</v>
      </c>
    </row>
    <row r="22" customFormat="false" ht="15" hidden="false" customHeight="false" outlineLevel="0" collapsed="false">
      <c r="A22" s="11" t="s">
        <v>133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</row>
    <row r="23" customFormat="false" ht="15" hidden="false" customHeight="false" outlineLevel="0" collapsed="false">
      <c r="A23" s="13" t="s">
        <v>134</v>
      </c>
      <c r="C23" s="14" t="n">
        <f aca="false">Segments!C20+Segments!C21+Segments!C22</f>
        <v>-1740</v>
      </c>
      <c r="D23" s="14" t="n">
        <f aca="false">Segments!D20+Segments!D21+Segments!D22</f>
        <v>-1260</v>
      </c>
      <c r="E23" s="14" t="n">
        <f aca="false">Segments!E20+Segments!E21+Segments!E22</f>
        <v>-527.592</v>
      </c>
      <c r="F23" s="14" t="n">
        <f aca="false">Segments!F20+Segments!F21+Segments!F22</f>
        <v>366.534480000001</v>
      </c>
      <c r="G23" s="14" t="n">
        <f aca="false">Segments!G20+Segments!G21+Segments!G22</f>
        <v>1463.2559448</v>
      </c>
      <c r="H23" s="14" t="n">
        <f aca="false">Segments!H20+Segments!H21+Segments!H22</f>
        <v>2870.268235848</v>
      </c>
    </row>
    <row r="24" customFormat="false" ht="15" hidden="false" customHeight="false" outlineLevel="0" collapsed="false">
      <c r="A24" s="11" t="s">
        <v>135</v>
      </c>
      <c r="C24" s="12" t="n">
        <f aca="false">('Income Statement'!C20+'Income Statement'!C21)*(Segments!C5/Segments!C10)</f>
        <v>-493.159268929504</v>
      </c>
      <c r="D24" s="12" t="n">
        <f aca="false">('Income Statement'!D20+'Income Statement'!D21)*(Segments!D5/Segments!D10)</f>
        <v>-411.213934562059</v>
      </c>
      <c r="E24" s="12" t="n">
        <f aca="false">('Income Statement'!E20+'Income Statement'!E21)*(Segments!E5/Segments!E10)</f>
        <v>135.995037205687</v>
      </c>
      <c r="F24" s="12" t="n">
        <f aca="false">('Income Statement'!F20+'Income Statement'!F21)*(Segments!F5/Segments!F10)</f>
        <v>186.661921424928</v>
      </c>
      <c r="G24" s="12" t="n">
        <f aca="false">('Income Statement'!G20+'Income Statement'!G21)*(Segments!G5/Segments!G10)</f>
        <v>284.92057704171</v>
      </c>
      <c r="H24" s="12" t="n">
        <f aca="false">('Income Statement'!H20+'Income Statement'!H21)*(Segments!H5/Segments!H10)</f>
        <v>438.752452189287</v>
      </c>
    </row>
    <row r="25" customFormat="false" ht="15" hidden="false" customHeight="false" outlineLevel="0" collapsed="false">
      <c r="A25" s="11" t="s">
        <v>136</v>
      </c>
      <c r="C25" s="12" t="n">
        <f aca="false">Segments!C23+Segments!C24</f>
        <v>-2233.1592689295</v>
      </c>
      <c r="D25" s="12" t="n">
        <f aca="false">Segments!D23+Segments!D24</f>
        <v>-1671.21393456206</v>
      </c>
      <c r="E25" s="12" t="n">
        <f aca="false">Segments!E23+Segments!E24</f>
        <v>-391.596962794313</v>
      </c>
      <c r="F25" s="12" t="n">
        <f aca="false">Segments!F23+Segments!F24</f>
        <v>553.196401424928</v>
      </c>
      <c r="G25" s="12" t="n">
        <f aca="false">Segments!G23+Segments!G24</f>
        <v>1748.17652184171</v>
      </c>
      <c r="H25" s="12" t="n">
        <f aca="false">Segments!H23+Segments!H24</f>
        <v>3309.02068803729</v>
      </c>
    </row>
    <row r="26" customFormat="false" ht="15" hidden="false" customHeight="false" outlineLevel="0" collapsed="false">
      <c r="A26" s="11" t="s">
        <v>137</v>
      </c>
      <c r="C26" s="12" t="n">
        <f aca="false">('Income Statement'!C23+'Income Statement'!C24)*(Segments!C5/Segments!C10)</f>
        <v>-0</v>
      </c>
      <c r="D26" s="12" t="n">
        <f aca="false">('Income Statement'!D23+'Income Statement'!D24)*(Segments!D5/Segments!D10)</f>
        <v>97.00576310508</v>
      </c>
      <c r="E26" s="12" t="n">
        <f aca="false">('Income Statement'!E23+'Income Statement'!E24)*(Segments!E5/Segments!E10)</f>
        <v>11.4602662346704</v>
      </c>
      <c r="F26" s="12" t="n">
        <f aca="false">('Income Statement'!F23+'Income Statement'!F24)*(Segments!F5/Segments!F10)</f>
        <v>-48.679929392024</v>
      </c>
      <c r="G26" s="12" t="n">
        <f aca="false">('Income Statement'!G23+'Income Statement'!G24)*(Segments!G5/Segments!G10)</f>
        <v>-223.198565793106</v>
      </c>
      <c r="H26" s="12" t="n">
        <f aca="false">('Income Statement'!H23+'Income Statement'!H24)*(Segments!H5/Segments!H10)</f>
        <v>-1325.17887915959</v>
      </c>
    </row>
    <row r="27" customFormat="false" ht="15" hidden="false" customHeight="false" outlineLevel="0" collapsed="false">
      <c r="A27" s="13" t="s">
        <v>138</v>
      </c>
      <c r="C27" s="14" t="n">
        <f aca="false">Segments!C25+Segments!C26</f>
        <v>-2233.1592689295</v>
      </c>
      <c r="D27" s="14" t="n">
        <f aca="false">Segments!D25+Segments!D26</f>
        <v>-1574.20817145698</v>
      </c>
      <c r="E27" s="14" t="n">
        <f aca="false">Segments!E25+Segments!E26</f>
        <v>-380.136696559643</v>
      </c>
      <c r="F27" s="14" t="n">
        <f aca="false">Segments!F25+Segments!F26</f>
        <v>504.516472032904</v>
      </c>
      <c r="G27" s="14" t="n">
        <f aca="false">Segments!G25+Segments!G26</f>
        <v>1524.97795604861</v>
      </c>
      <c r="H27" s="14" t="n">
        <f aca="false">Segments!H25+Segments!H26</f>
        <v>1983.8418088777</v>
      </c>
    </row>
    <row r="28" customFormat="false" ht="15" hidden="false" customHeight="false" outlineLevel="0" collapsed="false">
      <c r="A28" s="11" t="s">
        <v>139</v>
      </c>
      <c r="C28" s="17" t="n">
        <f aca="false">Segments!C27/'Income Statement'!C27</f>
        <v>-1.0467934073107</v>
      </c>
      <c r="D28" s="17" t="n">
        <f aca="false">Segments!D27/'Income Statement'!D27</f>
        <v>-0.737910080370459</v>
      </c>
      <c r="E28" s="17" t="n">
        <f aca="false">Segments!E27/'Income Statement'!E27</f>
        <v>-0.178189076512333</v>
      </c>
      <c r="F28" s="17" t="n">
        <f aca="false">Segments!F27/'Income Statement'!F27</f>
        <v>0.236492096265424</v>
      </c>
      <c r="G28" s="17" t="n">
        <f aca="false">Segments!G27/'Income Statement'!G27</f>
        <v>0.714833416897784</v>
      </c>
      <c r="H28" s="17" t="n">
        <f aca="false">Segments!H27/'Income Statement'!H27</f>
        <v>0.929925847911421</v>
      </c>
    </row>
    <row r="29" customFormat="false" ht="15" hidden="false" customHeight="false" outlineLevel="0" collapsed="false">
      <c r="A29" s="4" t="s">
        <v>40</v>
      </c>
    </row>
    <row r="30" customFormat="false" ht="15" hidden="false" customHeight="false" outlineLevel="0" collapsed="false">
      <c r="A30" s="11" t="s">
        <v>131</v>
      </c>
      <c r="C30" s="12" t="n">
        <f aca="false">Segments!C13</f>
        <v>5130</v>
      </c>
      <c r="D30" s="12" t="n">
        <f aca="false">Segments!D13</f>
        <v>7770.24</v>
      </c>
      <c r="E30" s="12" t="n">
        <f aca="false">Segments!E13</f>
        <v>11227.9968</v>
      </c>
      <c r="F30" s="12" t="n">
        <f aca="false">Segments!F13</f>
        <v>15168.80352</v>
      </c>
      <c r="G30" s="12" t="n">
        <f aca="false">Segments!G13</f>
        <v>19676.514</v>
      </c>
      <c r="H30" s="12" t="n">
        <f aca="false">Segments!H13</f>
        <v>24674.348556</v>
      </c>
    </row>
    <row r="31" customFormat="false" ht="15" hidden="false" customHeight="false" outlineLevel="0" collapsed="false">
      <c r="A31" s="11" t="s">
        <v>132</v>
      </c>
      <c r="C31" s="12" t="n">
        <f aca="false">-Schedules!C12</f>
        <v>-3480</v>
      </c>
      <c r="D31" s="12" t="n">
        <f aca="false">-Schedules!D12</f>
        <v>-3480</v>
      </c>
      <c r="E31" s="12" t="n">
        <f aca="false">-Schedules!E12</f>
        <v>-3722.8704</v>
      </c>
      <c r="F31" s="12" t="n">
        <f aca="false">-Schedules!F12</f>
        <v>-4068.690432</v>
      </c>
      <c r="G31" s="12" t="n">
        <f aca="false">-Schedules!G12</f>
        <v>-4507.74802176</v>
      </c>
      <c r="H31" s="12" t="n">
        <f aca="false">-Schedules!H12</f>
        <v>-4997.1520831488</v>
      </c>
    </row>
    <row r="32" customFormat="false" ht="15" hidden="false" customHeight="false" outlineLevel="0" collapsed="false">
      <c r="A32" s="11" t="s">
        <v>133</v>
      </c>
      <c r="C32" s="12" t="n">
        <v>0</v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</row>
    <row r="33" customFormat="false" ht="15" hidden="false" customHeight="false" outlineLevel="0" collapsed="false">
      <c r="A33" s="13" t="s">
        <v>134</v>
      </c>
      <c r="C33" s="14" t="n">
        <f aca="false">Segments!C30+Segments!C31+Segments!C32</f>
        <v>1650</v>
      </c>
      <c r="D33" s="14" t="n">
        <f aca="false">Segments!D30+Segments!D31+Segments!D32</f>
        <v>4290.24</v>
      </c>
      <c r="E33" s="14" t="n">
        <f aca="false">Segments!E30+Segments!E31+Segments!E32</f>
        <v>7505.1264</v>
      </c>
      <c r="F33" s="14" t="n">
        <f aca="false">Segments!F30+Segments!F31+Segments!F32</f>
        <v>11100.113088</v>
      </c>
      <c r="G33" s="14" t="n">
        <f aca="false">Segments!G30+Segments!G31+Segments!G32</f>
        <v>15168.76597824</v>
      </c>
      <c r="H33" s="14" t="n">
        <f aca="false">Segments!H30+Segments!H31+Segments!H32</f>
        <v>19677.1964728512</v>
      </c>
    </row>
    <row r="34" customFormat="false" ht="15" hidden="false" customHeight="false" outlineLevel="0" collapsed="false">
      <c r="A34" s="11" t="s">
        <v>135</v>
      </c>
      <c r="C34" s="12" t="n">
        <f aca="false">('Income Statement'!C20+'Income Statement'!C21)*(Segments!C6/Segments!C10)</f>
        <v>-937.002610966057</v>
      </c>
      <c r="D34" s="12" t="n">
        <f aca="false">('Income Statement'!D20+'Income Statement'!D21)*(Segments!D6/Segments!D10)</f>
        <v>-866.761871444091</v>
      </c>
      <c r="E34" s="12" t="n">
        <f aca="false">('Income Statement'!E20+'Income Statement'!E21)*(Segments!E6/Segments!E10)</f>
        <v>299.882133484424</v>
      </c>
      <c r="F34" s="12" t="n">
        <f aca="false">('Income Statement'!F20+'Income Statement'!F21)*(Segments!F6/Segments!F10)</f>
        <v>418.038851956823</v>
      </c>
      <c r="G34" s="12" t="n">
        <f aca="false">('Income Statement'!G20+'Income Statement'!G21)*(Segments!G6/Segments!G10)</f>
        <v>643.240021076576</v>
      </c>
      <c r="H34" s="12" t="n">
        <f aca="false">('Income Statement'!H20+'Income Statement'!H21)*(Segments!H6/Segments!H10)</f>
        <v>998.787097162133</v>
      </c>
    </row>
    <row r="35" customFormat="false" ht="15" hidden="false" customHeight="false" outlineLevel="0" collapsed="false">
      <c r="A35" s="11" t="s">
        <v>136</v>
      </c>
      <c r="C35" s="12" t="n">
        <f aca="false">Segments!C33+Segments!C34</f>
        <v>712.997389033943</v>
      </c>
      <c r="D35" s="12" t="n">
        <f aca="false">Segments!D33+Segments!D34</f>
        <v>3423.47812855591</v>
      </c>
      <c r="E35" s="12" t="n">
        <f aca="false">Segments!E33+Segments!E34</f>
        <v>7805.00853348442</v>
      </c>
      <c r="F35" s="12" t="n">
        <f aca="false">Segments!F33+Segments!F34</f>
        <v>11518.1519399568</v>
      </c>
      <c r="G35" s="12" t="n">
        <f aca="false">Segments!G33+Segments!G34</f>
        <v>15812.0059993166</v>
      </c>
      <c r="H35" s="12" t="n">
        <f aca="false">Segments!H33+Segments!H34</f>
        <v>20675.9835700133</v>
      </c>
    </row>
    <row r="36" customFormat="false" ht="15" hidden="false" customHeight="false" outlineLevel="0" collapsed="false">
      <c r="A36" s="11" t="s">
        <v>137</v>
      </c>
      <c r="C36" s="12" t="n">
        <f aca="false">('Income Statement'!C23+'Income Statement'!C24)*(Segments!C6/Segments!C10)</f>
        <v>-0</v>
      </c>
      <c r="D36" s="12" t="n">
        <f aca="false">('Income Statement'!D23+'Income Statement'!D24)*(Segments!D6/Segments!D10)</f>
        <v>204.469960044926</v>
      </c>
      <c r="E36" s="12" t="n">
        <f aca="false">('Income Statement'!E23+'Income Statement'!E24)*(Segments!E6/Segments!E10)</f>
        <v>25.2709889961246</v>
      </c>
      <c r="F36" s="12" t="n">
        <f aca="false">('Income Statement'!F23+'Income Statement'!F24)*(Segments!F6/Segments!F10)</f>
        <v>-109.021173901102</v>
      </c>
      <c r="G36" s="12" t="n">
        <f aca="false">('Income Statement'!G23+'Income Statement'!G24)*(Segments!G6/Segments!G10)</f>
        <v>-503.895687899022</v>
      </c>
      <c r="H36" s="12" t="n">
        <f aca="false">('Income Statement'!H23+'Income Statement'!H24)*(Segments!H6/Segments!H10)</f>
        <v>-3016.67046949144</v>
      </c>
    </row>
    <row r="37" customFormat="false" ht="15" hidden="false" customHeight="false" outlineLevel="0" collapsed="false">
      <c r="A37" s="13" t="s">
        <v>138</v>
      </c>
      <c r="C37" s="14" t="n">
        <f aca="false">Segments!C35+Segments!C36</f>
        <v>712.997389033943</v>
      </c>
      <c r="D37" s="14" t="n">
        <f aca="false">Segments!D35+Segments!D36</f>
        <v>3627.94808860084</v>
      </c>
      <c r="E37" s="14" t="n">
        <f aca="false">Segments!E35+Segments!E36</f>
        <v>7830.27952248055</v>
      </c>
      <c r="F37" s="14" t="n">
        <f aca="false">Segments!F35+Segments!F36</f>
        <v>11409.1307660557</v>
      </c>
      <c r="G37" s="14" t="n">
        <f aca="false">Segments!G35+Segments!G36</f>
        <v>15308.1103114176</v>
      </c>
      <c r="H37" s="14" t="n">
        <f aca="false">Segments!H35+Segments!H36</f>
        <v>17659.3131005219</v>
      </c>
    </row>
    <row r="38" customFormat="false" ht="15" hidden="false" customHeight="false" outlineLevel="0" collapsed="false">
      <c r="A38" s="11" t="s">
        <v>139</v>
      </c>
      <c r="C38" s="17" t="n">
        <f aca="false">Segments!C37/'Income Statement'!C27</f>
        <v>0.334217526109661</v>
      </c>
      <c r="D38" s="17" t="n">
        <f aca="false">Segments!D37/'Income Statement'!D27</f>
        <v>1.70060066653164</v>
      </c>
      <c r="E38" s="17" t="n">
        <f aca="false">Segments!E37/'Income Statement'!E27</f>
        <v>3.67044352616276</v>
      </c>
      <c r="F38" s="17" t="n">
        <f aca="false">Segments!F37/'Income Statement'!F27</f>
        <v>5.34803004658862</v>
      </c>
      <c r="G38" s="17" t="n">
        <f aca="false">Segments!G37/'Income Statement'!G27</f>
        <v>7.17567670847698</v>
      </c>
      <c r="H38" s="17" t="n">
        <f aca="false">Segments!H37/'Income Statement'!H27</f>
        <v>8.27780301586964</v>
      </c>
    </row>
    <row r="39" customFormat="false" ht="15" hidden="false" customHeight="false" outlineLevel="0" collapsed="false">
      <c r="A39" s="4" t="s">
        <v>41</v>
      </c>
    </row>
    <row r="40" customFormat="false" ht="15" hidden="false" customHeight="false" outlineLevel="0" collapsed="false">
      <c r="A40" s="11" t="s">
        <v>131</v>
      </c>
      <c r="C40" s="12" t="n">
        <f aca="false">Segments!C14</f>
        <v>-1050</v>
      </c>
      <c r="D40" s="12" t="n">
        <f aca="false">Segments!D14</f>
        <v>-1221.875</v>
      </c>
      <c r="E40" s="12" t="n">
        <f aca="false">Segments!E14</f>
        <v>235.925</v>
      </c>
      <c r="F40" s="12" t="n">
        <f aca="false">Segments!F14</f>
        <v>1238.45</v>
      </c>
      <c r="G40" s="12" t="n">
        <f aca="false">Segments!G14</f>
        <v>2594.842</v>
      </c>
      <c r="H40" s="12" t="n">
        <f aca="false">Segments!H14</f>
        <v>4229.330075</v>
      </c>
    </row>
    <row r="41" customFormat="false" ht="15" hidden="false" customHeight="false" outlineLevel="0" collapsed="false">
      <c r="A41" s="11" t="s">
        <v>132</v>
      </c>
      <c r="C41" s="12" t="n">
        <f aca="false">-Schedules!C17</f>
        <v>-528</v>
      </c>
      <c r="D41" s="12" t="n">
        <f aca="false">-Schedules!D17</f>
        <v>-528</v>
      </c>
      <c r="E41" s="12" t="n">
        <f aca="false">-Schedules!E17</f>
        <v>-590.8</v>
      </c>
      <c r="F41" s="12" t="n">
        <f aca="false">-Schedules!F17</f>
        <v>-733.548</v>
      </c>
      <c r="G41" s="12" t="n">
        <f aca="false">-Schedules!G17</f>
        <v>-932.86732</v>
      </c>
      <c r="H41" s="12" t="n">
        <f aca="false">-Schedules!H17</f>
        <v>-1162.5769488</v>
      </c>
    </row>
    <row r="42" customFormat="false" ht="15" hidden="false" customHeight="false" outlineLevel="0" collapsed="false">
      <c r="A42" s="11" t="s">
        <v>133</v>
      </c>
      <c r="C42" s="12" t="n">
        <f aca="false">-'Income Statement'!C17</f>
        <v>-0</v>
      </c>
      <c r="D42" s="12" t="n">
        <f aca="false">-'Income Statement'!D17</f>
        <v>-1633.33333333333</v>
      </c>
      <c r="E42" s="12" t="n">
        <f aca="false">-'Income Statement'!E17</f>
        <v>-1633.33333333333</v>
      </c>
      <c r="F42" s="12" t="n">
        <f aca="false">-'Income Statement'!F17</f>
        <v>-1633.33333333333</v>
      </c>
      <c r="G42" s="12" t="n">
        <f aca="false">-'Income Statement'!G17</f>
        <v>-1633.33333333333</v>
      </c>
      <c r="H42" s="12" t="n">
        <f aca="false">-'Income Statement'!H17</f>
        <v>-1633.33333333333</v>
      </c>
    </row>
    <row r="43" customFormat="false" ht="15" hidden="false" customHeight="false" outlineLevel="0" collapsed="false">
      <c r="A43" s="13" t="s">
        <v>134</v>
      </c>
      <c r="C43" s="14" t="n">
        <f aca="false">Segments!C40+Segments!C41+Segments!C42</f>
        <v>-1578</v>
      </c>
      <c r="D43" s="14" t="n">
        <f aca="false">Segments!D40+Segments!D41+Segments!D42</f>
        <v>-3383.20833333333</v>
      </c>
      <c r="E43" s="14" t="n">
        <f aca="false">Segments!E40+Segments!E41+Segments!E42</f>
        <v>-1988.20833333333</v>
      </c>
      <c r="F43" s="14" t="n">
        <f aca="false">Segments!F40+Segments!F41+Segments!F42</f>
        <v>-1128.43133333333</v>
      </c>
      <c r="G43" s="14" t="n">
        <f aca="false">Segments!G40+Segments!G41+Segments!G42</f>
        <v>28.6413466666663</v>
      </c>
      <c r="H43" s="14" t="n">
        <f aca="false">Segments!H40+Segments!H41+Segments!H42</f>
        <v>1433.41979286667</v>
      </c>
    </row>
    <row r="44" customFormat="false" ht="15" hidden="false" customHeight="false" outlineLevel="0" collapsed="false">
      <c r="A44" s="11" t="s">
        <v>135</v>
      </c>
      <c r="C44" s="12" t="n">
        <f aca="false">('Income Statement'!C20+'Income Statement'!C21)*(Segments!C9/Segments!C10)</f>
        <v>-143.838120104439</v>
      </c>
      <c r="D44" s="12" t="n">
        <f aca="false">('Income Statement'!D20+'Income Statement'!D21)*(Segments!D9/Segments!D10)</f>
        <v>-176.02419399385</v>
      </c>
      <c r="E44" s="12" t="n">
        <f aca="false">('Income Statement'!E20+'Income Statement'!E21)*(Segments!E9/Segments!E10)</f>
        <v>77.6924773098894</v>
      </c>
      <c r="F44" s="12" t="n">
        <f aca="false">('Income Statement'!F20+'Income Statement'!F21)*(Segments!F9/Segments!F10)</f>
        <v>125.69662221761</v>
      </c>
      <c r="G44" s="12" t="n">
        <f aca="false">('Income Statement'!G20+'Income Statement'!G21)*(Segments!G9/Segments!G10)</f>
        <v>212.931840470201</v>
      </c>
      <c r="H44" s="12" t="n">
        <f aca="false">('Income Statement'!H20+'Income Statement'!H21)*(Segments!H9/Segments!H10)</f>
        <v>354.41330404178</v>
      </c>
    </row>
    <row r="45" customFormat="false" ht="15" hidden="false" customHeight="false" outlineLevel="0" collapsed="false">
      <c r="A45" s="11" t="s">
        <v>136</v>
      </c>
      <c r="C45" s="12" t="n">
        <f aca="false">Segments!C43+Segments!C44</f>
        <v>-1721.83812010444</v>
      </c>
      <c r="D45" s="12" t="n">
        <f aca="false">Segments!D43+Segments!D44</f>
        <v>-3559.23252732718</v>
      </c>
      <c r="E45" s="12" t="n">
        <f aca="false">Segments!E43+Segments!E44</f>
        <v>-1910.51585602344</v>
      </c>
      <c r="F45" s="12" t="n">
        <f aca="false">Segments!F43+Segments!F44</f>
        <v>-1002.73471111572</v>
      </c>
      <c r="G45" s="12" t="n">
        <f aca="false">Segments!G43+Segments!G44</f>
        <v>241.573187136868</v>
      </c>
      <c r="H45" s="12" t="n">
        <f aca="false">Segments!H43+Segments!H44</f>
        <v>1787.83309690845</v>
      </c>
    </row>
    <row r="46" customFormat="false" ht="15" hidden="false" customHeight="false" outlineLevel="0" collapsed="false">
      <c r="A46" s="11" t="s">
        <v>137</v>
      </c>
      <c r="C46" s="12" t="n">
        <f aca="false">('Income Statement'!C23+'Income Statement'!C24)*(Segments!C9/Segments!C10)</f>
        <v>-0</v>
      </c>
      <c r="D46" s="12" t="n">
        <f aca="false">('Income Statement'!D23+'Income Statement'!D24)*(Segments!D9/Segments!D10)</f>
        <v>41.5242768499936</v>
      </c>
      <c r="E46" s="12" t="n">
        <f aca="false">('Income Statement'!E23+'Income Statement'!E24)*(Segments!E9/Segments!E10)</f>
        <v>6.54712475320524</v>
      </c>
      <c r="F46" s="12" t="n">
        <f aca="false">('Income Statement'!F23+'Income Statement'!F24)*(Segments!F9/Segments!F10)</f>
        <v>-32.7806691780471</v>
      </c>
      <c r="G46" s="12" t="n">
        <f aca="false">('Income Statement'!G23+'Income Statement'!G24)*(Segments!G9/Segments!G10)</f>
        <v>-166.804664998548</v>
      </c>
      <c r="H46" s="12" t="n">
        <f aca="false">('Income Statement'!H23+'Income Statement'!H24)*(Segments!H9/Segments!H10)</f>
        <v>-1070.44649589038</v>
      </c>
    </row>
    <row r="47" customFormat="false" ht="15" hidden="false" customHeight="false" outlineLevel="0" collapsed="false">
      <c r="A47" s="13" t="s">
        <v>138</v>
      </c>
      <c r="C47" s="14" t="n">
        <f aca="false">Segments!C45+Segments!C46</f>
        <v>-1721.83812010444</v>
      </c>
      <c r="D47" s="14" t="n">
        <f aca="false">Segments!D45+Segments!D46</f>
        <v>-3517.70825047719</v>
      </c>
      <c r="E47" s="14" t="n">
        <f aca="false">Segments!E45+Segments!E46</f>
        <v>-1903.96873127024</v>
      </c>
      <c r="F47" s="14" t="n">
        <f aca="false">Segments!F45+Segments!F46</f>
        <v>-1035.51538029377</v>
      </c>
      <c r="G47" s="14" t="n">
        <f aca="false">Segments!G45+Segments!G46</f>
        <v>74.7685221383202</v>
      </c>
      <c r="H47" s="14" t="n">
        <f aca="false">Segments!H45+Segments!H46</f>
        <v>717.386601018069</v>
      </c>
    </row>
    <row r="48" customFormat="false" ht="15" hidden="false" customHeight="false" outlineLevel="0" collapsed="false">
      <c r="A48" s="11" t="s">
        <v>139</v>
      </c>
      <c r="C48" s="17" t="n">
        <f aca="false">Segments!C47/'Income Statement'!C27</f>
        <v>-0.807111618798956</v>
      </c>
      <c r="D48" s="17" t="n">
        <f aca="false">Segments!D47/'Income Statement'!D27</f>
        <v>-1.64892574241118</v>
      </c>
      <c r="E48" s="17" t="n">
        <f aca="false">Segments!E47/'Income Statement'!E27</f>
        <v>-0.892485342782924</v>
      </c>
      <c r="F48" s="17" t="n">
        <f aca="false">Segments!F47/'Income Statement'!F27</f>
        <v>-0.485397834512705</v>
      </c>
      <c r="G48" s="17" t="n">
        <f aca="false">Segments!G47/'Income Statement'!G27</f>
        <v>0.0350477447523376</v>
      </c>
      <c r="H48" s="17" t="n">
        <f aca="false">Segments!H47/'Income Statement'!H27</f>
        <v>0.33627496922722</v>
      </c>
    </row>
    <row r="49" customFormat="false" ht="15" hidden="false" customHeight="false" outlineLevel="0" collapsed="false">
      <c r="A49" s="4" t="s">
        <v>140</v>
      </c>
      <c r="C49" s="14" t="n">
        <f aca="false">Segments!C27+Segments!C37+Segments!C47</f>
        <v>-3242</v>
      </c>
      <c r="D49" s="14" t="n">
        <f aca="false">Segments!D27+Segments!D37+Segments!D47</f>
        <v>-1463.96833333333</v>
      </c>
      <c r="E49" s="14" t="n">
        <f aca="false">Segments!E27+Segments!E37+Segments!E47</f>
        <v>5546.17409465067</v>
      </c>
      <c r="F49" s="14" t="n">
        <f aca="false">Segments!F27+Segments!F37+Segments!F47</f>
        <v>10878.1318577949</v>
      </c>
      <c r="G49" s="14" t="n">
        <f aca="false">Segments!G27+Segments!G37+Segments!G47</f>
        <v>16907.8567896045</v>
      </c>
      <c r="H49" s="14" t="n">
        <f aca="false">Segments!H27+Segments!H37+Segments!H47</f>
        <v>20360.5415104177</v>
      </c>
    </row>
    <row r="50" customFormat="false" ht="15" hidden="false" customHeight="false" outlineLevel="0" collapsed="false">
      <c r="A50" s="4" t="s">
        <v>42</v>
      </c>
      <c r="C50" s="16" t="n">
        <f aca="false">Segments!C28+Segments!C38+Segments!C48</f>
        <v>-1.5196875</v>
      </c>
      <c r="D50" s="16" t="n">
        <f aca="false">Segments!D28+Segments!D38+Segments!D48</f>
        <v>-0.68623515625</v>
      </c>
      <c r="E50" s="16" t="n">
        <f aca="false">Segments!E28+Segments!E38+Segments!E48</f>
        <v>2.5997691068675</v>
      </c>
      <c r="F50" s="16" t="n">
        <f aca="false">Segments!F28+Segments!F38+Segments!F48</f>
        <v>5.09912430834134</v>
      </c>
      <c r="G50" s="16" t="n">
        <f aca="false">Segments!G28+Segments!G38+Segments!G48</f>
        <v>7.9255578701271</v>
      </c>
      <c r="H50" s="16" t="n">
        <f aca="false">Segments!H28+Segments!H38+Segments!H48</f>
        <v>9.54400383300828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3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6" t="s">
        <v>141</v>
      </c>
    </row>
    <row r="2" customFormat="false" ht="15" hidden="false" customHeight="false" outlineLevel="0" collapsed="false">
      <c r="A2" s="7" t="s">
        <v>142</v>
      </c>
    </row>
    <row r="3" customFormat="false" ht="15" hidden="false" customHeight="false" outlineLevel="0" collapsed="false">
      <c r="A3" s="9" t="s">
        <v>143</v>
      </c>
      <c r="B3" s="10"/>
      <c r="C3" s="10"/>
      <c r="D3" s="10"/>
      <c r="E3" s="10"/>
      <c r="F3" s="10"/>
      <c r="G3" s="10"/>
      <c r="H3" s="10"/>
      <c r="I3" s="10"/>
      <c r="J3" s="10"/>
      <c r="K3" s="10"/>
    </row>
    <row r="4" customFormat="false" ht="15" hidden="false" customHeight="false" outlineLevel="0" collapsed="false">
      <c r="A4" s="11" t="s">
        <v>144</v>
      </c>
      <c r="C4" s="20" t="n">
        <v>60000</v>
      </c>
    </row>
    <row r="5" customFormat="false" ht="15" hidden="false" customHeight="false" outlineLevel="0" collapsed="false">
      <c r="A5" s="0" t="s">
        <v>145</v>
      </c>
      <c r="C5" s="17" t="n">
        <f aca="false">Assumptions!C39</f>
        <v>450</v>
      </c>
    </row>
    <row r="6" customFormat="false" ht="15" hidden="false" customHeight="false" outlineLevel="0" collapsed="false">
      <c r="A6" s="0" t="s">
        <v>66</v>
      </c>
      <c r="C6" s="18" t="n">
        <f aca="false">'Deal &amp; PPA'!C4/'Deal &amp; PPA'!C5</f>
        <v>133.333333333333</v>
      </c>
    </row>
    <row r="7" customFormat="false" ht="15" hidden="false" customHeight="false" outlineLevel="0" collapsed="false">
      <c r="A7" s="9" t="s">
        <v>146</v>
      </c>
      <c r="B7" s="10"/>
      <c r="C7" s="10"/>
      <c r="D7" s="10"/>
      <c r="E7" s="10"/>
      <c r="F7" s="10"/>
      <c r="G7" s="10"/>
      <c r="H7" s="10"/>
      <c r="I7" s="10"/>
      <c r="J7" s="10"/>
      <c r="K7" s="10"/>
    </row>
    <row r="8" customFormat="false" ht="15" hidden="false" customHeight="false" outlineLevel="0" collapsed="false">
      <c r="A8" s="11" t="s">
        <v>147</v>
      </c>
      <c r="C8" s="20" t="n">
        <v>3000</v>
      </c>
    </row>
    <row r="9" customFormat="false" ht="15" hidden="false" customHeight="false" outlineLevel="0" collapsed="false">
      <c r="A9" s="11" t="s">
        <v>148</v>
      </c>
      <c r="C9" s="20" t="n">
        <v>250</v>
      </c>
    </row>
    <row r="10" customFormat="false" ht="15" hidden="false" customHeight="false" outlineLevel="0" collapsed="false">
      <c r="A10" s="11" t="s">
        <v>149</v>
      </c>
      <c r="C10" s="20" t="n">
        <v>150</v>
      </c>
    </row>
    <row r="11" customFormat="false" ht="15" hidden="false" customHeight="false" outlineLevel="0" collapsed="false">
      <c r="A11" s="11" t="s">
        <v>150</v>
      </c>
      <c r="C11" s="20" t="n">
        <v>300</v>
      </c>
    </row>
    <row r="12" customFormat="false" ht="15" hidden="false" customHeight="false" outlineLevel="0" collapsed="false">
      <c r="A12" s="11" t="s">
        <v>151</v>
      </c>
      <c r="C12" s="20" t="n">
        <v>-800</v>
      </c>
    </row>
    <row r="13" customFormat="false" ht="15" hidden="false" customHeight="false" outlineLevel="0" collapsed="false">
      <c r="A13" s="4" t="s">
        <v>152</v>
      </c>
      <c r="C13" s="14" t="n">
        <f aca="false">'Deal &amp; PPA'!C8+'Deal &amp; PPA'!C9+'Deal &amp; PPA'!C10+'Deal &amp; PPA'!C11+'Deal &amp; PPA'!C12</f>
        <v>2900</v>
      </c>
    </row>
    <row r="14" customFormat="false" ht="15" hidden="false" customHeight="false" outlineLevel="0" collapsed="false">
      <c r="A14" s="9" t="s">
        <v>153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customFormat="false" ht="15" hidden="false" customHeight="false" outlineLevel="0" collapsed="false">
      <c r="A15" s="11" t="s">
        <v>154</v>
      </c>
      <c r="C15" s="20" t="n">
        <v>8000</v>
      </c>
    </row>
    <row r="16" customFormat="false" ht="15" hidden="false" customHeight="false" outlineLevel="0" collapsed="false">
      <c r="A16" s="11" t="s">
        <v>155</v>
      </c>
      <c r="C16" s="25" t="n">
        <v>8</v>
      </c>
    </row>
    <row r="17" customFormat="false" ht="15" hidden="false" customHeight="false" outlineLevel="0" collapsed="false">
      <c r="A17" s="11" t="s">
        <v>156</v>
      </c>
      <c r="C17" s="20" t="n">
        <v>5000</v>
      </c>
    </row>
    <row r="18" customFormat="false" ht="15" hidden="false" customHeight="false" outlineLevel="0" collapsed="false">
      <c r="A18" s="11" t="s">
        <v>155</v>
      </c>
      <c r="C18" s="25" t="n">
        <v>10</v>
      </c>
    </row>
    <row r="19" customFormat="false" ht="15" hidden="false" customHeight="false" outlineLevel="0" collapsed="false">
      <c r="A19" s="11" t="s">
        <v>157</v>
      </c>
      <c r="C19" s="20" t="n">
        <v>2000</v>
      </c>
    </row>
    <row r="20" customFormat="false" ht="15" hidden="false" customHeight="false" outlineLevel="0" collapsed="false">
      <c r="A20" s="11" t="s">
        <v>155</v>
      </c>
      <c r="C20" s="25" t="n">
        <v>15</v>
      </c>
    </row>
    <row r="21" customFormat="false" ht="15" hidden="false" customHeight="false" outlineLevel="0" collapsed="false">
      <c r="A21" s="4" t="s">
        <v>158</v>
      </c>
      <c r="C21" s="14" t="n">
        <f aca="false">'Deal &amp; PPA'!C15+'Deal &amp; PPA'!C17+'Deal &amp; PPA'!C19</f>
        <v>15000</v>
      </c>
    </row>
    <row r="22" customFormat="false" ht="15" hidden="false" customHeight="false" outlineLevel="0" collapsed="false">
      <c r="A22" s="4" t="s">
        <v>159</v>
      </c>
      <c r="C22" s="14" t="n">
        <f aca="false">'Deal &amp; PPA'!C15/'Deal &amp; PPA'!C16+'Deal &amp; PPA'!C17/'Deal &amp; PPA'!C18+'Deal &amp; PPA'!C19/'Deal &amp; PPA'!C20</f>
        <v>1633.33333333333</v>
      </c>
    </row>
    <row r="23" customFormat="false" ht="15" hidden="false" customHeight="false" outlineLevel="0" collapsed="false">
      <c r="A23" s="9" t="s">
        <v>160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 customFormat="false" ht="15" hidden="false" customHeight="false" outlineLevel="0" collapsed="false">
      <c r="A24" s="11" t="s">
        <v>161</v>
      </c>
      <c r="C24" s="12" t="n">
        <f aca="false">Assumptions!C35*'Deal &amp; PPA'!C21</f>
        <v>3150</v>
      </c>
    </row>
    <row r="25" customFormat="false" ht="15" hidden="false" customHeight="false" outlineLevel="0" collapsed="false">
      <c r="A25" s="4" t="s">
        <v>162</v>
      </c>
      <c r="C25" s="14" t="n">
        <f aca="false">'Deal &amp; PPA'!C13+'Deal &amp; PPA'!C21-'Deal &amp; PPA'!C24</f>
        <v>14750</v>
      </c>
    </row>
    <row r="26" customFormat="false" ht="15" hidden="false" customHeight="false" outlineLevel="0" collapsed="false">
      <c r="A26" s="4" t="s">
        <v>163</v>
      </c>
      <c r="C26" s="26" t="n">
        <f aca="false">'Deal &amp; PPA'!C4-'Deal &amp; PPA'!C25</f>
        <v>45250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3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6" t="s">
        <v>164</v>
      </c>
    </row>
    <row r="2" customFormat="false" ht="15" hidden="false" customHeight="false" outlineLevel="0" collapsed="false">
      <c r="C2" s="8" t="s">
        <v>22</v>
      </c>
      <c r="D2" s="8" t="s">
        <v>23</v>
      </c>
      <c r="E2" s="8" t="s">
        <v>24</v>
      </c>
      <c r="F2" s="8" t="s">
        <v>25</v>
      </c>
      <c r="G2" s="8" t="s">
        <v>26</v>
      </c>
      <c r="H2" s="8" t="s">
        <v>27</v>
      </c>
    </row>
    <row r="3" customFormat="false" ht="15" hidden="false" customHeight="false" outlineLevel="0" collapsed="false">
      <c r="A3" s="9" t="s">
        <v>165</v>
      </c>
      <c r="B3" s="10"/>
      <c r="C3" s="10"/>
      <c r="D3" s="10"/>
      <c r="E3" s="10"/>
      <c r="F3" s="10"/>
      <c r="G3" s="10"/>
      <c r="H3" s="10"/>
      <c r="I3" s="10"/>
      <c r="J3" s="10"/>
      <c r="K3" s="10"/>
    </row>
    <row r="4" customFormat="false" ht="15" hidden="false" customHeight="false" outlineLevel="0" collapsed="false">
      <c r="A4" s="4" t="s">
        <v>39</v>
      </c>
    </row>
    <row r="5" customFormat="false" ht="15" hidden="false" customHeight="false" outlineLevel="0" collapsed="false">
      <c r="A5" s="11" t="s">
        <v>166</v>
      </c>
      <c r="C5" s="12" t="n">
        <f aca="false">Assumptions!C27</f>
        <v>14000</v>
      </c>
      <c r="D5" s="12" t="n">
        <f aca="false">Assumptions!C27</f>
        <v>14000</v>
      </c>
      <c r="E5" s="12" t="n">
        <f aca="false">Schedules!D8</f>
        <v>14736.8</v>
      </c>
      <c r="F5" s="12" t="n">
        <f aca="false">Schedules!E8</f>
        <v>15806.648</v>
      </c>
      <c r="G5" s="12" t="n">
        <f aca="false">Schedules!F8</f>
        <v>17195.54408</v>
      </c>
      <c r="H5" s="12" t="n">
        <f aca="false">Schedules!G8</f>
        <v>18817.2660728</v>
      </c>
    </row>
    <row r="6" customFormat="false" ht="15" hidden="false" customHeight="false" outlineLevel="0" collapsed="false">
      <c r="A6" s="11" t="s">
        <v>167</v>
      </c>
      <c r="C6" s="12" t="n">
        <f aca="false">Assumptions!C21*Segments!C5</f>
        <v>1680</v>
      </c>
      <c r="D6" s="12" t="n">
        <f aca="false">Assumptions!D21*Segments!D5</f>
        <v>1996.8</v>
      </c>
      <c r="E6" s="12" t="n">
        <f aca="false">Assumptions!E21*Segments!E5</f>
        <v>2396.16</v>
      </c>
      <c r="F6" s="12" t="n">
        <f aca="false">Assumptions!F21*Segments!F5</f>
        <v>2811.4944</v>
      </c>
      <c r="G6" s="12" t="n">
        <f aca="false">Assumptions!G21*Segments!G5</f>
        <v>3169.32096</v>
      </c>
      <c r="H6" s="12" t="n">
        <f aca="false">Assumptions!H21*Segments!H5</f>
        <v>3422.8666368</v>
      </c>
    </row>
    <row r="7" customFormat="false" ht="15" hidden="false" customHeight="false" outlineLevel="0" collapsed="false">
      <c r="A7" s="11" t="s">
        <v>168</v>
      </c>
      <c r="C7" s="12" t="n">
        <f aca="false">Schedules!C5*Assumptions!C24</f>
        <v>1260</v>
      </c>
      <c r="D7" s="12" t="n">
        <f aca="false">Schedules!D5*Assumptions!C24</f>
        <v>1260</v>
      </c>
      <c r="E7" s="12" t="n">
        <f aca="false">Schedules!E5*Assumptions!C24</f>
        <v>1326.312</v>
      </c>
      <c r="F7" s="12" t="n">
        <f aca="false">Schedules!F5*Assumptions!C24</f>
        <v>1422.59832</v>
      </c>
      <c r="G7" s="12" t="n">
        <f aca="false">Schedules!G5*Assumptions!C24</f>
        <v>1547.5989672</v>
      </c>
      <c r="H7" s="12" t="n">
        <f aca="false">Schedules!H5*Assumptions!C24</f>
        <v>1693.553946552</v>
      </c>
    </row>
    <row r="8" customFormat="false" ht="15" hidden="false" customHeight="false" outlineLevel="0" collapsed="false">
      <c r="A8" s="4" t="s">
        <v>169</v>
      </c>
      <c r="C8" s="14" t="n">
        <f aca="false">Schedules!C5</f>
        <v>14000</v>
      </c>
      <c r="D8" s="14" t="n">
        <f aca="false">Schedules!D5+Schedules!D6-Schedules!D7</f>
        <v>14736.8</v>
      </c>
      <c r="E8" s="14" t="n">
        <f aca="false">Schedules!E5+Schedules!E6-Schedules!E7</f>
        <v>15806.648</v>
      </c>
      <c r="F8" s="14" t="n">
        <f aca="false">Schedules!F5+Schedules!F6-Schedules!F7</f>
        <v>17195.54408</v>
      </c>
      <c r="G8" s="14" t="n">
        <f aca="false">Schedules!G5+Schedules!G6-Schedules!G7</f>
        <v>18817.2660728</v>
      </c>
      <c r="H8" s="14" t="n">
        <f aca="false">Schedules!H5+Schedules!H6-Schedules!H7</f>
        <v>20546.578763048</v>
      </c>
    </row>
    <row r="9" customFormat="false" ht="15" hidden="false" customHeight="false" outlineLevel="0" collapsed="false">
      <c r="A9" s="4" t="s">
        <v>40</v>
      </c>
    </row>
    <row r="10" customFormat="false" ht="15" hidden="false" customHeight="false" outlineLevel="0" collapsed="false">
      <c r="A10" s="11" t="s">
        <v>166</v>
      </c>
      <c r="C10" s="12" t="n">
        <f aca="false">'Balance Sheet'!F9-Assumptions!C27-Assumptions!C28</f>
        <v>29000</v>
      </c>
      <c r="D10" s="12" t="n">
        <f aca="false">'Balance Sheet'!F9-Assumptions!C27-Assumptions!C28</f>
        <v>29000</v>
      </c>
      <c r="E10" s="12" t="n">
        <f aca="false">Schedules!D13</f>
        <v>31023.92</v>
      </c>
      <c r="F10" s="12" t="n">
        <f aca="false">Schedules!E13</f>
        <v>33905.7536</v>
      </c>
      <c r="G10" s="12" t="n">
        <f aca="false">Schedules!F13</f>
        <v>37564.566848</v>
      </c>
      <c r="H10" s="12" t="n">
        <f aca="false">Schedules!G13</f>
        <v>41642.93402624</v>
      </c>
    </row>
    <row r="11" customFormat="false" ht="15" hidden="false" customHeight="false" outlineLevel="0" collapsed="false">
      <c r="A11" s="11" t="s">
        <v>167</v>
      </c>
      <c r="C11" s="12" t="n">
        <f aca="false">Assumptions!C22*Segments!C6</f>
        <v>4104</v>
      </c>
      <c r="D11" s="12" t="n">
        <f aca="false">Assumptions!D22*Segments!D6</f>
        <v>5503.92</v>
      </c>
      <c r="E11" s="12" t="n">
        <f aca="false">Assumptions!E22*Segments!E6</f>
        <v>6604.704</v>
      </c>
      <c r="F11" s="12" t="n">
        <f aca="false">Assumptions!F22*Segments!F6</f>
        <v>7727.50368</v>
      </c>
      <c r="G11" s="12" t="n">
        <f aca="false">Assumptions!G22*Segments!G6</f>
        <v>8586.1152</v>
      </c>
      <c r="H11" s="12" t="n">
        <f aca="false">Assumptions!H22*Segments!H6</f>
        <v>9523.432776</v>
      </c>
    </row>
    <row r="12" customFormat="false" ht="15" hidden="false" customHeight="false" outlineLevel="0" collapsed="false">
      <c r="A12" s="11" t="s">
        <v>168</v>
      </c>
      <c r="C12" s="12" t="n">
        <f aca="false">Schedules!C10*Assumptions!C25</f>
        <v>3480</v>
      </c>
      <c r="D12" s="12" t="n">
        <f aca="false">Schedules!D10*Assumptions!C25</f>
        <v>3480</v>
      </c>
      <c r="E12" s="12" t="n">
        <f aca="false">Schedules!E10*Assumptions!C25</f>
        <v>3722.8704</v>
      </c>
      <c r="F12" s="12" t="n">
        <f aca="false">Schedules!F10*Assumptions!C25</f>
        <v>4068.690432</v>
      </c>
      <c r="G12" s="12" t="n">
        <f aca="false">Schedules!G10*Assumptions!C25</f>
        <v>4507.74802176</v>
      </c>
      <c r="H12" s="12" t="n">
        <f aca="false">Schedules!H10*Assumptions!C25</f>
        <v>4997.1520831488</v>
      </c>
    </row>
    <row r="13" customFormat="false" ht="15" hidden="false" customHeight="false" outlineLevel="0" collapsed="false">
      <c r="A13" s="4" t="s">
        <v>169</v>
      </c>
      <c r="C13" s="14" t="n">
        <f aca="false">Schedules!C10</f>
        <v>29000</v>
      </c>
      <c r="D13" s="14" t="n">
        <f aca="false">Schedules!D10+Schedules!D11-Schedules!D12</f>
        <v>31023.92</v>
      </c>
      <c r="E13" s="14" t="n">
        <f aca="false">Schedules!E10+Schedules!E11-Schedules!E12</f>
        <v>33905.7536</v>
      </c>
      <c r="F13" s="14" t="n">
        <f aca="false">Schedules!F10+Schedules!F11-Schedules!F12</f>
        <v>37564.566848</v>
      </c>
      <c r="G13" s="14" t="n">
        <f aca="false">Schedules!G10+Schedules!G11-Schedules!G12</f>
        <v>41642.93402624</v>
      </c>
      <c r="H13" s="14" t="n">
        <f aca="false">Schedules!H10+Schedules!H11-Schedules!H12</f>
        <v>46169.2147190912</v>
      </c>
    </row>
    <row r="14" customFormat="false" ht="15" hidden="false" customHeight="false" outlineLevel="0" collapsed="false">
      <c r="A14" s="4" t="s">
        <v>41</v>
      </c>
    </row>
    <row r="15" customFormat="false" ht="15" hidden="false" customHeight="false" outlineLevel="0" collapsed="false">
      <c r="A15" s="11" t="s">
        <v>166</v>
      </c>
      <c r="C15" s="12" t="n">
        <f aca="false">Assumptions!C28</f>
        <v>3300</v>
      </c>
      <c r="D15" s="12" t="n">
        <f aca="false">Assumptions!C28</f>
        <v>3300</v>
      </c>
      <c r="E15" s="12" t="n">
        <f aca="false">Schedules!D18</f>
        <v>3692.5</v>
      </c>
      <c r="F15" s="12" t="n">
        <f aca="false">Schedules!E18</f>
        <v>4584.675</v>
      </c>
      <c r="G15" s="12" t="n">
        <f aca="false">Schedules!F18</f>
        <v>5830.42075</v>
      </c>
      <c r="H15" s="12" t="n">
        <f aca="false">Schedules!G18</f>
        <v>7266.10593</v>
      </c>
    </row>
    <row r="16" customFormat="false" ht="15" hidden="false" customHeight="false" outlineLevel="0" collapsed="false">
      <c r="A16" s="11" t="s">
        <v>167</v>
      </c>
      <c r="C16" s="12" t="n">
        <f aca="false">Assumptions!C23*Segments!C9</f>
        <v>437.5</v>
      </c>
      <c r="D16" s="12" t="n">
        <f aca="false">Assumptions!D23*Segments!D9</f>
        <v>920.5</v>
      </c>
      <c r="E16" s="12" t="n">
        <f aca="false">Assumptions!E23*Segments!E9</f>
        <v>1482.975</v>
      </c>
      <c r="F16" s="12" t="n">
        <f aca="false">Assumptions!F23*Segments!F9</f>
        <v>1979.29375</v>
      </c>
      <c r="G16" s="12" t="n">
        <f aca="false">Assumptions!G23*Segments!G9</f>
        <v>2368.5525</v>
      </c>
      <c r="H16" s="12" t="n">
        <f aca="false">Assumptions!H23*Segments!H9</f>
        <v>2764.906425</v>
      </c>
    </row>
    <row r="17" customFormat="false" ht="15" hidden="false" customHeight="false" outlineLevel="0" collapsed="false">
      <c r="A17" s="11" t="s">
        <v>168</v>
      </c>
      <c r="C17" s="12" t="n">
        <f aca="false">Schedules!C15*Assumptions!C26</f>
        <v>528</v>
      </c>
      <c r="D17" s="12" t="n">
        <f aca="false">Schedules!D15*Assumptions!C26</f>
        <v>528</v>
      </c>
      <c r="E17" s="12" t="n">
        <f aca="false">Schedules!E15*Assumptions!C26</f>
        <v>590.8</v>
      </c>
      <c r="F17" s="12" t="n">
        <f aca="false">Schedules!F15*Assumptions!C26</f>
        <v>733.548</v>
      </c>
      <c r="G17" s="12" t="n">
        <f aca="false">Schedules!G15*Assumptions!C26</f>
        <v>932.86732</v>
      </c>
      <c r="H17" s="12" t="n">
        <f aca="false">Schedules!H15*Assumptions!C26</f>
        <v>1162.5769488</v>
      </c>
    </row>
    <row r="18" customFormat="false" ht="15" hidden="false" customHeight="false" outlineLevel="0" collapsed="false">
      <c r="A18" s="4" t="s">
        <v>169</v>
      </c>
      <c r="C18" s="14" t="n">
        <f aca="false">Schedules!C15</f>
        <v>3300</v>
      </c>
      <c r="D18" s="14" t="n">
        <f aca="false">Schedules!D15+Schedules!D16-Schedules!D17</f>
        <v>3692.5</v>
      </c>
      <c r="E18" s="14" t="n">
        <f aca="false">Schedules!E15+Schedules!E16-Schedules!E17</f>
        <v>4584.675</v>
      </c>
      <c r="F18" s="14" t="n">
        <f aca="false">Schedules!F15+Schedules!F16-Schedules!F17</f>
        <v>5830.42075</v>
      </c>
      <c r="G18" s="14" t="n">
        <f aca="false">Schedules!G15+Schedules!G16-Schedules!G17</f>
        <v>7266.10593</v>
      </c>
      <c r="H18" s="14" t="n">
        <f aca="false">Schedules!H15+Schedules!H16-Schedules!H17</f>
        <v>8868.4354062</v>
      </c>
    </row>
    <row r="19" customFormat="false" ht="15" hidden="false" customHeight="false" outlineLevel="0" collapsed="false">
      <c r="A19" s="4" t="s">
        <v>170</v>
      </c>
    </row>
    <row r="20" customFormat="false" ht="15" hidden="false" customHeight="false" outlineLevel="0" collapsed="false">
      <c r="A20" s="11" t="s">
        <v>171</v>
      </c>
      <c r="C20" s="12" t="n">
        <f aca="false">Schedules!C5+Schedules!C10+Schedules!C15</f>
        <v>46300</v>
      </c>
      <c r="D20" s="12" t="n">
        <f aca="false">Schedules!D5+Schedules!D10+Schedules!D15</f>
        <v>46300</v>
      </c>
      <c r="E20" s="12" t="n">
        <f aca="false">Schedules!E5+Schedules!E10+Schedules!E15</f>
        <v>49453.22</v>
      </c>
      <c r="F20" s="12" t="n">
        <f aca="false">Schedules!F5+Schedules!F10+Schedules!F15</f>
        <v>54297.0766</v>
      </c>
      <c r="G20" s="12" t="n">
        <f aca="false">Schedules!G5+Schedules!G10+Schedules!G15</f>
        <v>60590.531678</v>
      </c>
      <c r="H20" s="12" t="n">
        <f aca="false">Schedules!H5+Schedules!H10+Schedules!H15</f>
        <v>67726.30602904</v>
      </c>
    </row>
    <row r="21" customFormat="false" ht="15" hidden="false" customHeight="false" outlineLevel="0" collapsed="false">
      <c r="A21" s="11" t="s">
        <v>172</v>
      </c>
      <c r="C21" s="12" t="n">
        <f aca="false">Schedules!C6+Schedules!C11+Schedules!C16</f>
        <v>6221.5</v>
      </c>
      <c r="D21" s="12" t="n">
        <f aca="false">Schedules!D6+Schedules!D11+Schedules!D16</f>
        <v>8421.22</v>
      </c>
      <c r="E21" s="12" t="n">
        <f aca="false">Schedules!E6+Schedules!E11+Schedules!E16</f>
        <v>10483.839</v>
      </c>
      <c r="F21" s="12" t="n">
        <f aca="false">Schedules!F6+Schedules!F11+Schedules!F16</f>
        <v>12518.29183</v>
      </c>
      <c r="G21" s="12" t="n">
        <f aca="false">Schedules!G6+Schedules!G11+Schedules!G16</f>
        <v>14123.98866</v>
      </c>
      <c r="H21" s="12" t="n">
        <f aca="false">Schedules!H6+Schedules!H11+Schedules!H16</f>
        <v>15711.2058378</v>
      </c>
    </row>
    <row r="22" customFormat="false" ht="15" hidden="false" customHeight="false" outlineLevel="0" collapsed="false">
      <c r="A22" s="11" t="s">
        <v>173</v>
      </c>
      <c r="C22" s="12" t="n">
        <f aca="false">Schedules!C7+Schedules!C12+Schedules!C17</f>
        <v>5268</v>
      </c>
      <c r="D22" s="12" t="n">
        <f aca="false">Schedules!D7+Schedules!D12+Schedules!D17</f>
        <v>5268</v>
      </c>
      <c r="E22" s="12" t="n">
        <f aca="false">Schedules!E7+Schedules!E12+Schedules!E17</f>
        <v>5639.9824</v>
      </c>
      <c r="F22" s="12" t="n">
        <f aca="false">Schedules!F7+Schedules!F12+Schedules!F17</f>
        <v>6224.836752</v>
      </c>
      <c r="G22" s="12" t="n">
        <f aca="false">Schedules!G7+Schedules!G12+Schedules!G17</f>
        <v>6988.21430896</v>
      </c>
      <c r="H22" s="12" t="n">
        <f aca="false">Schedules!H7+Schedules!H12+Schedules!H17</f>
        <v>7853.2829785008</v>
      </c>
    </row>
    <row r="23" customFormat="false" ht="15" hidden="false" customHeight="false" outlineLevel="0" collapsed="false">
      <c r="A23" s="4" t="s">
        <v>174</v>
      </c>
      <c r="C23" s="14" t="n">
        <f aca="false">Schedules!C8+Schedules!C13+Schedules!C18</f>
        <v>46300</v>
      </c>
      <c r="D23" s="14" t="n">
        <f aca="false">Schedules!D8+Schedules!D13+Schedules!D18</f>
        <v>49453.22</v>
      </c>
      <c r="E23" s="14" t="n">
        <f aca="false">Schedules!E8+Schedules!E13+Schedules!E18</f>
        <v>54297.0766</v>
      </c>
      <c r="F23" s="14" t="n">
        <f aca="false">Schedules!F8+Schedules!F13+Schedules!F18</f>
        <v>60590.531678</v>
      </c>
      <c r="G23" s="14" t="n">
        <f aca="false">Schedules!G8+Schedules!G13+Schedules!G18</f>
        <v>67726.30602904</v>
      </c>
      <c r="H23" s="14" t="n">
        <f aca="false">Schedules!H8+Schedules!H13+Schedules!H18</f>
        <v>75584.2288883392</v>
      </c>
    </row>
    <row r="24" customFormat="false" ht="15" hidden="false" customHeight="false" outlineLevel="0" collapsed="false">
      <c r="A24" s="9" t="s">
        <v>175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 customFormat="false" ht="15" hidden="false" customHeight="false" outlineLevel="0" collapsed="false">
      <c r="A25" s="11" t="s">
        <v>176</v>
      </c>
      <c r="C25" s="12" t="n">
        <v>0</v>
      </c>
      <c r="D25" s="12" t="n">
        <f aca="false">'Deal &amp; PPA'!C21</f>
        <v>15000</v>
      </c>
      <c r="E25" s="12" t="n">
        <f aca="false">Schedules!D27</f>
        <v>13366.6666666667</v>
      </c>
      <c r="F25" s="12" t="n">
        <f aca="false">Schedules!E27</f>
        <v>11733.3333333333</v>
      </c>
      <c r="G25" s="12" t="n">
        <f aca="false">Schedules!F27</f>
        <v>10100</v>
      </c>
      <c r="H25" s="12" t="n">
        <f aca="false">Schedules!G27</f>
        <v>8466.66666666666</v>
      </c>
    </row>
    <row r="26" customFormat="false" ht="15" hidden="false" customHeight="false" outlineLevel="0" collapsed="false">
      <c r="A26" s="11" t="s">
        <v>177</v>
      </c>
      <c r="C26" s="12" t="n">
        <v>0</v>
      </c>
      <c r="D26" s="12" t="n">
        <f aca="false">MIN(Schedules!D25,'Deal &amp; PPA'!C22)</f>
        <v>1633.33333333333</v>
      </c>
      <c r="E26" s="12" t="n">
        <f aca="false">MIN(Schedules!E25,'Deal &amp; PPA'!C22)</f>
        <v>1633.33333333333</v>
      </c>
      <c r="F26" s="12" t="n">
        <f aca="false">MIN(Schedules!F25,'Deal &amp; PPA'!C22)</f>
        <v>1633.33333333333</v>
      </c>
      <c r="G26" s="12" t="n">
        <f aca="false">MIN(Schedules!G25,'Deal &amp; PPA'!C22)</f>
        <v>1633.33333333333</v>
      </c>
      <c r="H26" s="12" t="n">
        <f aca="false">MIN(Schedules!H25,'Deal &amp; PPA'!C22)</f>
        <v>1633.33333333333</v>
      </c>
    </row>
    <row r="27" customFormat="false" ht="15" hidden="false" customHeight="false" outlineLevel="0" collapsed="false">
      <c r="A27" s="4" t="s">
        <v>178</v>
      </c>
      <c r="C27" s="12" t="n">
        <v>0</v>
      </c>
      <c r="D27" s="14" t="n">
        <f aca="false">Schedules!D25-Schedules!D26</f>
        <v>13366.6666666667</v>
      </c>
      <c r="E27" s="14" t="n">
        <f aca="false">Schedules!E25-Schedules!E26</f>
        <v>11733.3333333333</v>
      </c>
      <c r="F27" s="14" t="n">
        <f aca="false">Schedules!F25-Schedules!F26</f>
        <v>10100</v>
      </c>
      <c r="G27" s="14" t="n">
        <f aca="false">Schedules!G25-Schedules!G26</f>
        <v>8466.66666666666</v>
      </c>
      <c r="H27" s="14" t="n">
        <f aca="false">Schedules!H25-Schedules!H26</f>
        <v>6833.33333333333</v>
      </c>
    </row>
    <row r="28" customFormat="false" ht="15" hidden="false" customHeight="false" outlineLevel="0" collapsed="false">
      <c r="A28" s="11" t="s">
        <v>179</v>
      </c>
      <c r="C28" s="12" t="n">
        <v>0</v>
      </c>
      <c r="D28" s="12" t="n">
        <f aca="false">'Deal &amp; PPA'!C24</f>
        <v>3150</v>
      </c>
      <c r="E28" s="12" t="n">
        <f aca="false">Schedules!D30</f>
        <v>2807</v>
      </c>
      <c r="F28" s="12" t="n">
        <f aca="false">Schedules!E30</f>
        <v>2464</v>
      </c>
      <c r="G28" s="12" t="n">
        <f aca="false">Schedules!F30</f>
        <v>2121</v>
      </c>
      <c r="H28" s="12" t="n">
        <f aca="false">Schedules!G30</f>
        <v>1778</v>
      </c>
    </row>
    <row r="29" customFormat="false" ht="15" hidden="false" customHeight="false" outlineLevel="0" collapsed="false">
      <c r="A29" s="11" t="s">
        <v>180</v>
      </c>
      <c r="C29" s="12" t="n">
        <v>0</v>
      </c>
      <c r="D29" s="12" t="n">
        <f aca="false">-Assumptions!C35*Schedules!D26</f>
        <v>-343</v>
      </c>
      <c r="E29" s="12" t="n">
        <f aca="false">-Assumptions!C35*Schedules!E26</f>
        <v>-343</v>
      </c>
      <c r="F29" s="12" t="n">
        <f aca="false">-Assumptions!C35*Schedules!F26</f>
        <v>-343</v>
      </c>
      <c r="G29" s="12" t="n">
        <f aca="false">-Assumptions!C35*Schedules!G26</f>
        <v>-343</v>
      </c>
      <c r="H29" s="12" t="n">
        <f aca="false">-Assumptions!C35*Schedules!H26</f>
        <v>-343</v>
      </c>
    </row>
    <row r="30" customFormat="false" ht="15" hidden="false" customHeight="false" outlineLevel="0" collapsed="false">
      <c r="A30" s="4" t="s">
        <v>181</v>
      </c>
      <c r="C30" s="12" t="n">
        <v>0</v>
      </c>
      <c r="D30" s="14" t="n">
        <f aca="false">Schedules!D28+Schedules!D29</f>
        <v>2807</v>
      </c>
      <c r="E30" s="14" t="n">
        <f aca="false">Schedules!E28+Schedules!E29</f>
        <v>2464</v>
      </c>
      <c r="F30" s="14" t="n">
        <f aca="false">Schedules!F28+Schedules!F29</f>
        <v>2121</v>
      </c>
      <c r="G30" s="14" t="n">
        <f aca="false">Schedules!G28+Schedules!G29</f>
        <v>1778</v>
      </c>
      <c r="H30" s="14" t="n">
        <f aca="false">Schedules!H28+Schedules!H29</f>
        <v>1435</v>
      </c>
    </row>
    <row r="31" customFormat="false" ht="15" hidden="false" customHeight="false" outlineLevel="0" collapsed="false">
      <c r="A31" s="9" t="s">
        <v>182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customFormat="false" ht="15" hidden="false" customHeight="false" outlineLevel="0" collapsed="false">
      <c r="A32" s="11" t="s">
        <v>183</v>
      </c>
      <c r="C32" s="12" t="n">
        <v>12000</v>
      </c>
      <c r="D32" s="12" t="n">
        <f aca="false">'Balance Sheet'!F21</f>
        <v>12000</v>
      </c>
      <c r="E32" s="12" t="n">
        <f aca="false">Schedules!D34</f>
        <v>14000</v>
      </c>
      <c r="F32" s="12" t="n">
        <f aca="false">Schedules!E34</f>
        <v>16000</v>
      </c>
      <c r="G32" s="12" t="n">
        <f aca="false">Schedules!F34</f>
        <v>17500</v>
      </c>
      <c r="H32" s="12" t="n">
        <f aca="false">Schedules!G34</f>
        <v>18500</v>
      </c>
    </row>
    <row r="33" customFormat="false" ht="15" hidden="false" customHeight="false" outlineLevel="0" collapsed="false">
      <c r="A33" s="11" t="s">
        <v>184</v>
      </c>
      <c r="C33" s="12" t="n">
        <v>0</v>
      </c>
      <c r="D33" s="12" t="n">
        <f aca="false">Assumptions!D30</f>
        <v>2000</v>
      </c>
      <c r="E33" s="12" t="n">
        <f aca="false">Assumptions!E30</f>
        <v>2000</v>
      </c>
      <c r="F33" s="12" t="n">
        <f aca="false">Assumptions!F30</f>
        <v>1500</v>
      </c>
      <c r="G33" s="12" t="n">
        <f aca="false">Assumptions!G30</f>
        <v>1000</v>
      </c>
      <c r="H33" s="12" t="n">
        <f aca="false">Assumptions!H30</f>
        <v>1000</v>
      </c>
    </row>
    <row r="34" customFormat="false" ht="15" hidden="false" customHeight="false" outlineLevel="0" collapsed="false">
      <c r="A34" s="4" t="s">
        <v>185</v>
      </c>
      <c r="C34" s="14" t="n">
        <v>12000</v>
      </c>
      <c r="D34" s="14" t="n">
        <f aca="false">Schedules!D32+Schedules!D33</f>
        <v>14000</v>
      </c>
      <c r="E34" s="14" t="n">
        <f aca="false">Schedules!E32+Schedules!E33</f>
        <v>16000</v>
      </c>
      <c r="F34" s="14" t="n">
        <f aca="false">Schedules!F32+Schedules!F33</f>
        <v>17500</v>
      </c>
      <c r="G34" s="14" t="n">
        <f aca="false">Schedules!G32+Schedules!G33</f>
        <v>18500</v>
      </c>
      <c r="H34" s="14" t="n">
        <f aca="false">Schedules!H32+Schedules!H33</f>
        <v>19500</v>
      </c>
    </row>
    <row r="35" customFormat="false" ht="15" hidden="false" customHeight="false" outlineLevel="0" collapsed="false">
      <c r="A35" s="11" t="s">
        <v>186</v>
      </c>
      <c r="C35" s="12" t="n">
        <v>19600</v>
      </c>
      <c r="D35" s="12" t="n">
        <f aca="false">'Balance Sheet'!F22</f>
        <v>19600</v>
      </c>
      <c r="E35" s="12" t="n">
        <f aca="false">Schedules!D37</f>
        <v>17600</v>
      </c>
      <c r="F35" s="12" t="n">
        <f aca="false">Schedules!E37</f>
        <v>15600</v>
      </c>
      <c r="G35" s="12" t="n">
        <f aca="false">Schedules!F37</f>
        <v>13600</v>
      </c>
      <c r="H35" s="12" t="n">
        <f aca="false">Schedules!G37</f>
        <v>11600</v>
      </c>
    </row>
    <row r="36" customFormat="false" ht="15" hidden="false" customHeight="false" outlineLevel="0" collapsed="false">
      <c r="A36" s="11" t="s">
        <v>187</v>
      </c>
      <c r="C36" s="12" t="n">
        <v>0</v>
      </c>
      <c r="D36" s="12" t="n">
        <f aca="false">Assumptions!D31</f>
        <v>-2000</v>
      </c>
      <c r="E36" s="12" t="n">
        <f aca="false">Assumptions!E31</f>
        <v>-2000</v>
      </c>
      <c r="F36" s="12" t="n">
        <f aca="false">Assumptions!F31</f>
        <v>-2000</v>
      </c>
      <c r="G36" s="12" t="n">
        <f aca="false">Assumptions!G31</f>
        <v>-2000</v>
      </c>
      <c r="H36" s="12" t="n">
        <f aca="false">Assumptions!H31</f>
        <v>-2000</v>
      </c>
    </row>
    <row r="37" customFormat="false" ht="15" hidden="false" customHeight="false" outlineLevel="0" collapsed="false">
      <c r="A37" s="4" t="s">
        <v>188</v>
      </c>
      <c r="C37" s="14" t="n">
        <v>19600</v>
      </c>
      <c r="D37" s="14" t="n">
        <f aca="false">Schedules!D35+Schedules!D36</f>
        <v>17600</v>
      </c>
      <c r="E37" s="14" t="n">
        <f aca="false">Schedules!E35+Schedules!E36</f>
        <v>15600</v>
      </c>
      <c r="F37" s="14" t="n">
        <f aca="false">Schedules!F35+Schedules!F36</f>
        <v>13600</v>
      </c>
      <c r="G37" s="14" t="n">
        <f aca="false">Schedules!G35+Schedules!G36</f>
        <v>11600</v>
      </c>
      <c r="H37" s="14" t="n">
        <f aca="false">Schedules!H35+Schedules!H36</f>
        <v>9600</v>
      </c>
    </row>
    <row r="38" customFormat="false" ht="15" hidden="false" customHeight="false" outlineLevel="0" collapsed="false">
      <c r="A38" s="4" t="s">
        <v>189</v>
      </c>
      <c r="C38" s="14" t="n">
        <f aca="false">(Schedules!C32+Schedules!C35)*Assumptions!C33</f>
        <v>2054</v>
      </c>
      <c r="D38" s="14" t="n">
        <f aca="false">(Schedules!D32+Schedules!D35)*Assumptions!C33</f>
        <v>2054</v>
      </c>
      <c r="E38" s="14" t="n">
        <f aca="false">(Schedules!E32+Schedules!E35)*Assumptions!C33</f>
        <v>2054</v>
      </c>
      <c r="F38" s="14" t="n">
        <f aca="false">(Schedules!F32+Schedules!F35)*Assumptions!C33</f>
        <v>2054</v>
      </c>
      <c r="G38" s="14" t="n">
        <f aca="false">(Schedules!G32+Schedules!G35)*Assumptions!C33</f>
        <v>2021.5</v>
      </c>
      <c r="H38" s="14" t="n">
        <f aca="false">(Schedules!H32+Schedules!H35)*Assumptions!C33</f>
        <v>1956.5</v>
      </c>
    </row>
    <row r="39" customFormat="false" ht="15" hidden="false" customHeight="false" outlineLevel="0" collapsed="false">
      <c r="A39" s="9" t="s">
        <v>190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 customFormat="false" ht="15" hidden="false" customHeight="false" outlineLevel="0" collapsed="false">
      <c r="A40" s="11" t="s">
        <v>191</v>
      </c>
      <c r="C40" s="12" t="n">
        <f aca="false">'Income Statement'!C22</f>
        <v>-3242</v>
      </c>
      <c r="D40" s="12" t="n">
        <f aca="false">'Income Statement'!D22</f>
        <v>-1806.96833333333</v>
      </c>
      <c r="E40" s="12" t="n">
        <f aca="false">'Income Statement'!E22</f>
        <v>5502.89571466667</v>
      </c>
      <c r="F40" s="12" t="n">
        <f aca="false">'Income Statement'!F22</f>
        <v>11068.613630266</v>
      </c>
      <c r="G40" s="12" t="n">
        <f aca="false">'Income Statement'!G22</f>
        <v>17801.7557082952</v>
      </c>
      <c r="H40" s="12" t="n">
        <f aca="false">'Income Statement'!H22</f>
        <v>25772.8373549591</v>
      </c>
    </row>
    <row r="41" customFormat="false" ht="15" hidden="false" customHeight="false" outlineLevel="0" collapsed="false">
      <c r="A41" s="11" t="s">
        <v>192</v>
      </c>
      <c r="C41" s="12" t="n">
        <f aca="false">Schedules!C40+Schedules!C26</f>
        <v>-3242</v>
      </c>
      <c r="D41" s="12" t="n">
        <f aca="false">Schedules!D40+Schedules!D26</f>
        <v>-173.635</v>
      </c>
      <c r="E41" s="12" t="n">
        <f aca="false">Schedules!E40+Schedules!E26</f>
        <v>7136.229048</v>
      </c>
      <c r="F41" s="12" t="n">
        <f aca="false">Schedules!F40+Schedules!F26</f>
        <v>12701.9469635994</v>
      </c>
      <c r="G41" s="12" t="n">
        <f aca="false">Schedules!G40+Schedules!G26</f>
        <v>19435.0890416285</v>
      </c>
      <c r="H41" s="12" t="n">
        <f aca="false">Schedules!H40+Schedules!H26</f>
        <v>27406.1706882924</v>
      </c>
    </row>
    <row r="42" customFormat="false" ht="15" hidden="false" customHeight="false" outlineLevel="0" collapsed="false">
      <c r="A42" s="11" t="s">
        <v>193</v>
      </c>
      <c r="C42" s="12" t="n">
        <f aca="false">Assumptions!C36</f>
        <v>26000</v>
      </c>
      <c r="D42" s="12" t="n">
        <f aca="false">Schedules!C45</f>
        <v>29242</v>
      </c>
      <c r="E42" s="12" t="n">
        <f aca="false">Schedules!D45</f>
        <v>29415.635</v>
      </c>
      <c r="F42" s="12" t="n">
        <f aca="false">Schedules!E45</f>
        <v>23706.6517616</v>
      </c>
      <c r="G42" s="12" t="n">
        <f aca="false">Schedules!F45</f>
        <v>13545.0941907205</v>
      </c>
      <c r="H42" s="12" t="n">
        <f aca="false">Schedules!G45</f>
        <v>0</v>
      </c>
    </row>
    <row r="43" customFormat="false" ht="15" hidden="false" customHeight="false" outlineLevel="0" collapsed="false">
      <c r="A43" s="11" t="s">
        <v>194</v>
      </c>
      <c r="C43" s="12" t="n">
        <f aca="false">MIN(Schedules!C42,Assumptions!C37*MAX(0,Schedules!C41))</f>
        <v>0</v>
      </c>
      <c r="D43" s="12" t="n">
        <f aca="false">MIN(Schedules!D42,Assumptions!C37*MAX(0,Schedules!D41))</f>
        <v>0</v>
      </c>
      <c r="E43" s="12" t="n">
        <f aca="false">MIN(Schedules!E42,Assumptions!C37*MAX(0,Schedules!E41))</f>
        <v>5708.9832384</v>
      </c>
      <c r="F43" s="12" t="n">
        <f aca="false">MIN(Schedules!F42,Assumptions!C37*MAX(0,Schedules!F41))</f>
        <v>10161.5575708795</v>
      </c>
      <c r="G43" s="12" t="n">
        <f aca="false">MIN(Schedules!G42,Assumptions!C37*MAX(0,Schedules!G41))</f>
        <v>13545.0941907205</v>
      </c>
      <c r="H43" s="12" t="n">
        <f aca="false">MIN(Schedules!H42,Assumptions!C37*MAX(0,Schedules!H41))</f>
        <v>0</v>
      </c>
    </row>
    <row r="44" customFormat="false" ht="15" hidden="false" customHeight="false" outlineLevel="0" collapsed="false">
      <c r="A44" s="11" t="s">
        <v>195</v>
      </c>
      <c r="C44" s="12" t="n">
        <f aca="false">MAX(0,-Schedules!C41)</f>
        <v>3242</v>
      </c>
      <c r="D44" s="12" t="n">
        <f aca="false">MAX(0,-Schedules!D41)</f>
        <v>173.635</v>
      </c>
      <c r="E44" s="12" t="n">
        <f aca="false">MAX(0,-Schedules!E41)</f>
        <v>0</v>
      </c>
      <c r="F44" s="12" t="n">
        <f aca="false">MAX(0,-Schedules!F41)</f>
        <v>0</v>
      </c>
      <c r="G44" s="12" t="n">
        <f aca="false">MAX(0,-Schedules!G41)</f>
        <v>0</v>
      </c>
      <c r="H44" s="12" t="n">
        <f aca="false">MAX(0,-Schedules!H41)</f>
        <v>0</v>
      </c>
    </row>
    <row r="45" customFormat="false" ht="15" hidden="false" customHeight="false" outlineLevel="0" collapsed="false">
      <c r="A45" s="4" t="s">
        <v>196</v>
      </c>
      <c r="C45" s="14" t="n">
        <f aca="false">Schedules!C42-Schedules!C43+Schedules!C44</f>
        <v>29242</v>
      </c>
      <c r="D45" s="14" t="n">
        <f aca="false">Schedules!D42-Schedules!D43+Schedules!D44</f>
        <v>29415.635</v>
      </c>
      <c r="E45" s="14" t="n">
        <f aca="false">Schedules!E42-Schedules!E43+Schedules!E44</f>
        <v>23706.6517616</v>
      </c>
      <c r="F45" s="14" t="n">
        <f aca="false">Schedules!F42-Schedules!F43+Schedules!F44</f>
        <v>13545.0941907205</v>
      </c>
      <c r="G45" s="14" t="n">
        <f aca="false">Schedules!G42-Schedules!G43+Schedules!G44</f>
        <v>0</v>
      </c>
      <c r="H45" s="14" t="n">
        <f aca="false">Schedules!H42-Schedules!H43+Schedules!H44</f>
        <v>0</v>
      </c>
    </row>
    <row r="46" customFormat="false" ht="15" hidden="false" customHeight="false" outlineLevel="0" collapsed="false">
      <c r="A46" s="4" t="s">
        <v>197</v>
      </c>
      <c r="C46" s="14" t="n">
        <f aca="false">Assumptions!C35*MAX(0,Schedules!C41-Schedules!C43)</f>
        <v>0</v>
      </c>
      <c r="D46" s="14" t="n">
        <f aca="false">Assumptions!C35*MAX(0,Schedules!D41-Schedules!D43)</f>
        <v>0</v>
      </c>
      <c r="E46" s="14" t="n">
        <f aca="false">Assumptions!C35*MAX(0,Schedules!E41-Schedules!E43)</f>
        <v>299.721620016</v>
      </c>
      <c r="F46" s="14" t="n">
        <f aca="false">Assumptions!C35*MAX(0,Schedules!F41-Schedules!F43)</f>
        <v>533.481772471173</v>
      </c>
      <c r="G46" s="14" t="n">
        <f aca="false">Assumptions!C35*MAX(0,Schedules!G41-Schedules!G43)</f>
        <v>1236.89891869068</v>
      </c>
      <c r="H46" s="14" t="n">
        <f aca="false">Assumptions!C35*MAX(0,Schedules!H41-Schedules!H43)</f>
        <v>5755.2958445414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3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6" t="s">
        <v>198</v>
      </c>
    </row>
    <row r="2" customFormat="false" ht="15" hidden="false" customHeight="false" outlineLevel="0" collapsed="false">
      <c r="A2" s="7" t="s">
        <v>199</v>
      </c>
    </row>
    <row r="3" customFormat="false" ht="15" hidden="false" customHeight="false" outlineLevel="0" collapsed="false">
      <c r="C3" s="8" t="s">
        <v>22</v>
      </c>
      <c r="D3" s="8" t="s">
        <v>23</v>
      </c>
      <c r="E3" s="8" t="s">
        <v>24</v>
      </c>
      <c r="F3" s="8" t="s">
        <v>25</v>
      </c>
      <c r="G3" s="8" t="s">
        <v>26</v>
      </c>
      <c r="H3" s="8" t="s">
        <v>27</v>
      </c>
    </row>
    <row r="4" customFormat="false" ht="15" hidden="false" customHeight="false" outlineLevel="0" collapsed="false">
      <c r="A4" s="9" t="s">
        <v>122</v>
      </c>
      <c r="B4" s="10"/>
      <c r="C4" s="10"/>
      <c r="D4" s="10"/>
      <c r="E4" s="10"/>
      <c r="F4" s="10"/>
      <c r="G4" s="10"/>
      <c r="H4" s="10"/>
      <c r="I4" s="10"/>
      <c r="J4" s="10"/>
      <c r="K4" s="10"/>
    </row>
    <row r="5" customFormat="false" ht="15" hidden="false" customHeight="false" outlineLevel="0" collapsed="false">
      <c r="A5" s="11" t="s">
        <v>39</v>
      </c>
      <c r="C5" s="12" t="n">
        <f aca="false">Segments!C5</f>
        <v>6000</v>
      </c>
      <c r="D5" s="12" t="n">
        <f aca="false">Segments!D5</f>
        <v>7680</v>
      </c>
      <c r="E5" s="12" t="n">
        <f aca="false">Segments!E5</f>
        <v>9984</v>
      </c>
      <c r="F5" s="12" t="n">
        <f aca="false">Segments!F5</f>
        <v>12779.52</v>
      </c>
      <c r="G5" s="12" t="n">
        <f aca="false">Segments!G5</f>
        <v>15846.6048</v>
      </c>
      <c r="H5" s="12" t="n">
        <f aca="false">Segments!H5</f>
        <v>19015.92576</v>
      </c>
    </row>
    <row r="6" customFormat="false" ht="15" hidden="false" customHeight="false" outlineLevel="0" collapsed="false">
      <c r="A6" s="11" t="s">
        <v>40</v>
      </c>
      <c r="C6" s="12" t="n">
        <f aca="false">Segments!C6</f>
        <v>11400</v>
      </c>
      <c r="D6" s="12" t="n">
        <f aca="false">Segments!D6</f>
        <v>16188</v>
      </c>
      <c r="E6" s="12" t="n">
        <f aca="false">Segments!E6</f>
        <v>22015.68</v>
      </c>
      <c r="F6" s="12" t="n">
        <f aca="false">Segments!F6</f>
        <v>28620.384</v>
      </c>
      <c r="G6" s="12" t="n">
        <f aca="false">Segments!G6</f>
        <v>35775.48</v>
      </c>
      <c r="H6" s="12" t="n">
        <f aca="false">Segments!H6</f>
        <v>43288.3308</v>
      </c>
    </row>
    <row r="7" customFormat="false" ht="15" hidden="false" customHeight="false" outlineLevel="0" collapsed="false">
      <c r="A7" s="11" t="s">
        <v>41</v>
      </c>
      <c r="C7" s="12" t="n">
        <f aca="false">Segments!C9</f>
        <v>1750</v>
      </c>
      <c r="D7" s="12" t="n">
        <f aca="false">Segments!D9</f>
        <v>3287.5</v>
      </c>
      <c r="E7" s="12" t="n">
        <f aca="false">Segments!E9</f>
        <v>5703.75</v>
      </c>
      <c r="F7" s="12" t="n">
        <f aca="false">Segments!F9</f>
        <v>8605.625</v>
      </c>
      <c r="G7" s="12" t="n">
        <f aca="false">Segments!G9</f>
        <v>11842.7625</v>
      </c>
      <c r="H7" s="12" t="n">
        <f aca="false">Segments!H9</f>
        <v>15360.59125</v>
      </c>
    </row>
    <row r="8" customFormat="false" ht="15" hidden="false" customHeight="false" outlineLevel="0" collapsed="false">
      <c r="A8" s="4" t="s">
        <v>200</v>
      </c>
      <c r="C8" s="14" t="n">
        <f aca="false">Segments!C10</f>
        <v>19150</v>
      </c>
      <c r="D8" s="14" t="n">
        <f aca="false">Segments!D10</f>
        <v>27155.5</v>
      </c>
      <c r="E8" s="14" t="n">
        <f aca="false">Segments!E10</f>
        <v>37703.43</v>
      </c>
      <c r="F8" s="14" t="n">
        <f aca="false">Segments!F10</f>
        <v>50005.529</v>
      </c>
      <c r="G8" s="14" t="n">
        <f aca="false">Segments!G10</f>
        <v>63464.8473</v>
      </c>
      <c r="H8" s="14" t="n">
        <f aca="false">Segments!H10</f>
        <v>77664.84781</v>
      </c>
    </row>
    <row r="9" customFormat="false" ht="15" hidden="false" customHeight="false" outlineLevel="0" collapsed="false">
      <c r="A9" s="9" t="s">
        <v>126</v>
      </c>
      <c r="B9" s="10"/>
      <c r="C9" s="10"/>
      <c r="D9" s="10"/>
      <c r="E9" s="10"/>
      <c r="F9" s="10"/>
      <c r="G9" s="10"/>
      <c r="H9" s="10"/>
      <c r="I9" s="10"/>
      <c r="J9" s="10"/>
      <c r="K9" s="10"/>
    </row>
    <row r="10" customFormat="false" ht="15" hidden="false" customHeight="false" outlineLevel="0" collapsed="false">
      <c r="A10" s="11" t="s">
        <v>39</v>
      </c>
      <c r="C10" s="12" t="n">
        <f aca="false">Segments!C12</f>
        <v>-480</v>
      </c>
      <c r="D10" s="12" t="n">
        <f aca="false">Segments!D12</f>
        <v>0</v>
      </c>
      <c r="E10" s="12" t="n">
        <f aca="false">Segments!E12</f>
        <v>798.72</v>
      </c>
      <c r="F10" s="12" t="n">
        <f aca="false">Segments!F12</f>
        <v>1789.1328</v>
      </c>
      <c r="G10" s="12" t="n">
        <f aca="false">Segments!G12</f>
        <v>3010.854912</v>
      </c>
      <c r="H10" s="12" t="n">
        <f aca="false">Segments!H12</f>
        <v>4563.8221824</v>
      </c>
    </row>
    <row r="11" customFormat="false" ht="15" hidden="false" customHeight="false" outlineLevel="0" collapsed="false">
      <c r="A11" s="11" t="s">
        <v>40</v>
      </c>
      <c r="C11" s="12" t="n">
        <f aca="false">Segments!C13</f>
        <v>5130</v>
      </c>
      <c r="D11" s="12" t="n">
        <f aca="false">Segments!D13</f>
        <v>7770.24</v>
      </c>
      <c r="E11" s="12" t="n">
        <f aca="false">Segments!E13</f>
        <v>11227.9968</v>
      </c>
      <c r="F11" s="12" t="n">
        <f aca="false">Segments!F13</f>
        <v>15168.80352</v>
      </c>
      <c r="G11" s="12" t="n">
        <f aca="false">Segments!G13</f>
        <v>19676.514</v>
      </c>
      <c r="H11" s="12" t="n">
        <f aca="false">Segments!H13</f>
        <v>24674.348556</v>
      </c>
    </row>
    <row r="12" customFormat="false" ht="15" hidden="false" customHeight="false" outlineLevel="0" collapsed="false">
      <c r="A12" s="11" t="s">
        <v>201</v>
      </c>
      <c r="C12" s="12" t="n">
        <f aca="false">Segments!C14</f>
        <v>-1050</v>
      </c>
      <c r="D12" s="12" t="n">
        <f aca="false">Segments!D14</f>
        <v>-1221.875</v>
      </c>
      <c r="E12" s="12" t="n">
        <f aca="false">Segments!E14</f>
        <v>235.925</v>
      </c>
      <c r="F12" s="12" t="n">
        <f aca="false">Segments!F14</f>
        <v>1238.45</v>
      </c>
      <c r="G12" s="12" t="n">
        <f aca="false">Segments!G14</f>
        <v>2594.842</v>
      </c>
      <c r="H12" s="12" t="n">
        <f aca="false">Segments!H14</f>
        <v>4229.330075</v>
      </c>
    </row>
    <row r="13" customFormat="false" ht="15" hidden="false" customHeight="false" outlineLevel="0" collapsed="false">
      <c r="A13" s="4" t="s">
        <v>202</v>
      </c>
      <c r="C13" s="14" t="n">
        <f aca="false">Segments!C15</f>
        <v>3600</v>
      </c>
      <c r="D13" s="14" t="n">
        <f aca="false">Segments!D15</f>
        <v>6548.365</v>
      </c>
      <c r="E13" s="14" t="n">
        <f aca="false">Segments!E15</f>
        <v>12262.6418</v>
      </c>
      <c r="F13" s="14" t="n">
        <f aca="false">Segments!F15</f>
        <v>18196.38632</v>
      </c>
      <c r="G13" s="14" t="n">
        <f aca="false">Segments!G15</f>
        <v>25282.210912</v>
      </c>
      <c r="H13" s="14" t="n">
        <f aca="false">Segments!H15</f>
        <v>33467.5008134</v>
      </c>
    </row>
    <row r="14" customFormat="false" ht="15" hidden="false" customHeight="false" outlineLevel="0" collapsed="false">
      <c r="A14" s="11" t="s">
        <v>34</v>
      </c>
      <c r="C14" s="15" t="n">
        <f aca="false">'Income Statement'!C13/'Income Statement'!C8</f>
        <v>0.18798955613577</v>
      </c>
      <c r="D14" s="15" t="n">
        <f aca="false">'Income Statement'!D13/'Income Statement'!D8</f>
        <v>0.241143230653091</v>
      </c>
      <c r="E14" s="15" t="n">
        <f aca="false">'Income Statement'!E13/'Income Statement'!E8</f>
        <v>0.325239422514079</v>
      </c>
      <c r="F14" s="15" t="n">
        <f aca="false">'Income Statement'!F13/'Income Statement'!F8</f>
        <v>0.363887487721608</v>
      </c>
      <c r="G14" s="15" t="n">
        <f aca="false">'Income Statement'!G13/'Income Statement'!G8</f>
        <v>0.398365583273057</v>
      </c>
      <c r="H14" s="15" t="n">
        <f aca="false">'Income Statement'!H13/'Income Statement'!H8</f>
        <v>0.430922119300037</v>
      </c>
    </row>
    <row r="15" customFormat="false" ht="15" hidden="false" customHeight="false" outlineLevel="0" collapsed="false">
      <c r="A15" s="9" t="s">
        <v>203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customFormat="false" ht="15" hidden="false" customHeight="false" outlineLevel="0" collapsed="false">
      <c r="A16" s="11" t="s">
        <v>204</v>
      </c>
      <c r="C16" s="12" t="n">
        <f aca="false">Schedules!C22</f>
        <v>5268</v>
      </c>
      <c r="D16" s="12" t="n">
        <f aca="false">Schedules!D22</f>
        <v>5268</v>
      </c>
      <c r="E16" s="12" t="n">
        <f aca="false">Schedules!E22</f>
        <v>5639.9824</v>
      </c>
      <c r="F16" s="12" t="n">
        <f aca="false">Schedules!F22</f>
        <v>6224.836752</v>
      </c>
      <c r="G16" s="12" t="n">
        <f aca="false">Schedules!G22</f>
        <v>6988.21430896</v>
      </c>
      <c r="H16" s="12" t="n">
        <f aca="false">Schedules!H22</f>
        <v>7853.2829785008</v>
      </c>
    </row>
    <row r="17" customFormat="false" ht="15" hidden="false" customHeight="false" outlineLevel="0" collapsed="false">
      <c r="A17" s="11" t="s">
        <v>205</v>
      </c>
      <c r="C17" s="12" t="n">
        <f aca="false">Schedules!C26</f>
        <v>0</v>
      </c>
      <c r="D17" s="12" t="n">
        <f aca="false">Schedules!D26</f>
        <v>1633.33333333333</v>
      </c>
      <c r="E17" s="12" t="n">
        <f aca="false">Schedules!E26</f>
        <v>1633.33333333333</v>
      </c>
      <c r="F17" s="12" t="n">
        <f aca="false">Schedules!F26</f>
        <v>1633.33333333333</v>
      </c>
      <c r="G17" s="12" t="n">
        <f aca="false">Schedules!G26</f>
        <v>1633.33333333333</v>
      </c>
      <c r="H17" s="12" t="n">
        <f aca="false">Schedules!H26</f>
        <v>1633.33333333333</v>
      </c>
    </row>
    <row r="18" customFormat="false" ht="15" hidden="false" customHeight="false" outlineLevel="0" collapsed="false">
      <c r="A18" s="4" t="s">
        <v>206</v>
      </c>
      <c r="C18" s="14" t="n">
        <f aca="false">'Income Statement'!C13-'Income Statement'!C16-'Income Statement'!C17</f>
        <v>-1668</v>
      </c>
      <c r="D18" s="14" t="n">
        <f aca="false">'Income Statement'!D13-'Income Statement'!D16-'Income Statement'!D17</f>
        <v>-352.968333333334</v>
      </c>
      <c r="E18" s="14" t="n">
        <f aca="false">'Income Statement'!E13-'Income Statement'!E16-'Income Statement'!E17</f>
        <v>4989.32606666667</v>
      </c>
      <c r="F18" s="14" t="n">
        <f aca="false">'Income Statement'!F13-'Income Statement'!F16-'Income Statement'!F17</f>
        <v>10338.2162346667</v>
      </c>
      <c r="G18" s="14" t="n">
        <f aca="false">'Income Statement'!G13-'Income Statement'!G16-'Income Statement'!G17</f>
        <v>16660.6632697067</v>
      </c>
      <c r="H18" s="14" t="n">
        <f aca="false">'Income Statement'!H13-'Income Statement'!H16-'Income Statement'!H17</f>
        <v>23980.8845015659</v>
      </c>
    </row>
    <row r="19" customFormat="false" ht="15" hidden="false" customHeight="false" outlineLevel="0" collapsed="false">
      <c r="A19" s="11" t="s">
        <v>207</v>
      </c>
      <c r="C19" s="15" t="n">
        <f aca="false">'Income Statement'!C18/'Income Statement'!C8</f>
        <v>-0.0871018276762402</v>
      </c>
      <c r="D19" s="15" t="n">
        <f aca="false">'Income Statement'!D18/'Income Statement'!D8</f>
        <v>-0.0129980421400208</v>
      </c>
      <c r="E19" s="15" t="n">
        <f aca="false">'Income Statement'!E18/'Income Statement'!E8</f>
        <v>0.13233082684166</v>
      </c>
      <c r="F19" s="15" t="n">
        <f aca="false">'Income Statement'!F18/'Income Statement'!F8</f>
        <v>0.20674146322233</v>
      </c>
      <c r="G19" s="15" t="n">
        <f aca="false">'Income Statement'!G18/'Income Statement'!G8</f>
        <v>0.262517976147509</v>
      </c>
      <c r="H19" s="15" t="n">
        <f aca="false">'Income Statement'!H18/'Income Statement'!H8</f>
        <v>0.308773984341448</v>
      </c>
    </row>
    <row r="20" customFormat="false" ht="15" hidden="false" customHeight="false" outlineLevel="0" collapsed="false">
      <c r="A20" s="11" t="s">
        <v>208</v>
      </c>
      <c r="C20" s="12" t="n">
        <f aca="false">-Schedules!C38</f>
        <v>-2054</v>
      </c>
      <c r="D20" s="12" t="n">
        <f aca="false">-Schedules!D38</f>
        <v>-2054</v>
      </c>
      <c r="E20" s="12" t="n">
        <f aca="false">-Schedules!E38</f>
        <v>-2054</v>
      </c>
      <c r="F20" s="12" t="n">
        <f aca="false">-Schedules!F38</f>
        <v>-2054</v>
      </c>
      <c r="G20" s="12" t="n">
        <f aca="false">-Schedules!G38</f>
        <v>-2021.5</v>
      </c>
      <c r="H20" s="12" t="n">
        <f aca="false">-Schedules!H38</f>
        <v>-1956.5</v>
      </c>
    </row>
    <row r="21" customFormat="false" ht="15" hidden="false" customHeight="false" outlineLevel="0" collapsed="false">
      <c r="A21" s="11" t="s">
        <v>209</v>
      </c>
      <c r="C21" s="12" t="n">
        <f aca="false">12000*Assumptions!C34</f>
        <v>480</v>
      </c>
      <c r="D21" s="12" t="n">
        <f aca="false">'Balance Sheet'!F4*Assumptions!C34</f>
        <v>600</v>
      </c>
      <c r="E21" s="12" t="n">
        <f aca="false">'Balance Sheet'!G4*Assumptions!C34</f>
        <v>2567.569648</v>
      </c>
      <c r="F21" s="12" t="n">
        <f aca="false">'Balance Sheet'!H4*Assumptions!C34</f>
        <v>2784.39739559936</v>
      </c>
      <c r="G21" s="12" t="n">
        <f aca="false">'Balance Sheet'!I4*Assumptions!C34</f>
        <v>3162.59243858849</v>
      </c>
      <c r="H21" s="12" t="n">
        <f aca="false">'Balance Sheet'!J4*Assumptions!C34</f>
        <v>3748.4528533932</v>
      </c>
    </row>
    <row r="22" customFormat="false" ht="15" hidden="false" customHeight="false" outlineLevel="0" collapsed="false">
      <c r="A22" s="4" t="s">
        <v>210</v>
      </c>
      <c r="C22" s="14" t="n">
        <f aca="false">'Income Statement'!C18+'Income Statement'!C20+'Income Statement'!C21</f>
        <v>-3242</v>
      </c>
      <c r="D22" s="14" t="n">
        <f aca="false">'Income Statement'!D18+'Income Statement'!D20+'Income Statement'!D21</f>
        <v>-1806.96833333333</v>
      </c>
      <c r="E22" s="14" t="n">
        <f aca="false">'Income Statement'!E18+'Income Statement'!E20+'Income Statement'!E21</f>
        <v>5502.89571466667</v>
      </c>
      <c r="F22" s="14" t="n">
        <f aca="false">'Income Statement'!F18+'Income Statement'!F20+'Income Statement'!F21</f>
        <v>11068.613630266</v>
      </c>
      <c r="G22" s="14" t="n">
        <f aca="false">'Income Statement'!G18+'Income Statement'!G20+'Income Statement'!G21</f>
        <v>17801.7557082952</v>
      </c>
      <c r="H22" s="14" t="n">
        <f aca="false">'Income Statement'!H18+'Income Statement'!H20+'Income Statement'!H21</f>
        <v>25772.8373549591</v>
      </c>
    </row>
    <row r="23" customFormat="false" ht="15" hidden="false" customHeight="false" outlineLevel="0" collapsed="false">
      <c r="A23" s="11" t="s">
        <v>211</v>
      </c>
      <c r="C23" s="12" t="n">
        <f aca="false">-Schedules!C46</f>
        <v>-0</v>
      </c>
      <c r="D23" s="12" t="n">
        <f aca="false">-Schedules!D46</f>
        <v>-0</v>
      </c>
      <c r="E23" s="12" t="n">
        <f aca="false">-Schedules!E46</f>
        <v>-299.721620016</v>
      </c>
      <c r="F23" s="12" t="n">
        <f aca="false">-Schedules!F46</f>
        <v>-533.481772471173</v>
      </c>
      <c r="G23" s="12" t="n">
        <f aca="false">-Schedules!G46</f>
        <v>-1236.89891869068</v>
      </c>
      <c r="H23" s="12" t="n">
        <f aca="false">-Schedules!H46</f>
        <v>-5755.2958445414</v>
      </c>
    </row>
    <row r="24" customFormat="false" ht="15" hidden="false" customHeight="false" outlineLevel="0" collapsed="false">
      <c r="A24" s="11" t="s">
        <v>212</v>
      </c>
      <c r="C24" s="12" t="n">
        <f aca="false">-Schedules!C29</f>
        <v>-0</v>
      </c>
      <c r="D24" s="12" t="n">
        <f aca="false">-Schedules!D29</f>
        <v>343</v>
      </c>
      <c r="E24" s="12" t="n">
        <f aca="false">-Schedules!E29</f>
        <v>343</v>
      </c>
      <c r="F24" s="12" t="n">
        <f aca="false">-Schedules!F29</f>
        <v>343</v>
      </c>
      <c r="G24" s="12" t="n">
        <f aca="false">-Schedules!G29</f>
        <v>343</v>
      </c>
      <c r="H24" s="12" t="n">
        <f aca="false">-Schedules!H29</f>
        <v>343</v>
      </c>
    </row>
    <row r="25" customFormat="false" ht="15" hidden="false" customHeight="false" outlineLevel="0" collapsed="false">
      <c r="A25" s="4" t="s">
        <v>213</v>
      </c>
      <c r="C25" s="14" t="n">
        <f aca="false">'Income Statement'!C22+'Income Statement'!C23+'Income Statement'!C24</f>
        <v>-3242</v>
      </c>
      <c r="D25" s="14" t="n">
        <f aca="false">'Income Statement'!D22+'Income Statement'!D23+'Income Statement'!D24</f>
        <v>-1463.96833333333</v>
      </c>
      <c r="E25" s="14" t="n">
        <f aca="false">'Income Statement'!E22+'Income Statement'!E23+'Income Statement'!E24</f>
        <v>5546.17409465067</v>
      </c>
      <c r="F25" s="14" t="n">
        <f aca="false">'Income Statement'!F22+'Income Statement'!F23+'Income Statement'!F24</f>
        <v>10878.1318577949</v>
      </c>
      <c r="G25" s="14" t="n">
        <f aca="false">'Income Statement'!G22+'Income Statement'!G23+'Income Statement'!G24</f>
        <v>16907.8567896045</v>
      </c>
      <c r="H25" s="14" t="n">
        <f aca="false">'Income Statement'!H22+'Income Statement'!H23+'Income Statement'!H24</f>
        <v>20360.5415104177</v>
      </c>
    </row>
    <row r="26" customFormat="false" ht="15" hidden="false" customHeight="false" outlineLevel="0" collapsed="false">
      <c r="A26" s="11" t="s">
        <v>214</v>
      </c>
      <c r="C26" s="15" t="n">
        <f aca="false">'Income Statement'!C25/'Income Statement'!C8</f>
        <v>-0.169295039164491</v>
      </c>
      <c r="D26" s="15" t="n">
        <f aca="false">'Income Statement'!D25/'Income Statement'!D8</f>
        <v>-0.0539105644651483</v>
      </c>
      <c r="E26" s="15" t="n">
        <f aca="false">'Income Statement'!E25/'Income Statement'!E8</f>
        <v>0.147099987843299</v>
      </c>
      <c r="F26" s="15" t="n">
        <f aca="false">'Income Statement'!F25/'Income Statement'!F8</f>
        <v>0.217538581739528</v>
      </c>
      <c r="G26" s="15" t="n">
        <f aca="false">'Income Statement'!G25/'Income Statement'!G8</f>
        <v>0.266412943683305</v>
      </c>
      <c r="H26" s="15" t="n">
        <f aca="false">'Income Statement'!H25/'Income Statement'!H8</f>
        <v>0.262159034422212</v>
      </c>
    </row>
    <row r="27" customFormat="false" ht="15" hidden="false" customHeight="false" outlineLevel="0" collapsed="false">
      <c r="A27" s="11" t="s">
        <v>215</v>
      </c>
      <c r="C27" s="18" t="n">
        <f aca="false">Assumptions!C38+'Deal &amp; PPA'!C6</f>
        <v>2133.33333333333</v>
      </c>
      <c r="D27" s="18" t="n">
        <f aca="false">Assumptions!C38+'Deal &amp; PPA'!C6</f>
        <v>2133.33333333333</v>
      </c>
      <c r="E27" s="18" t="n">
        <f aca="false">Assumptions!C38+'Deal &amp; PPA'!C6</f>
        <v>2133.33333333333</v>
      </c>
      <c r="F27" s="18" t="n">
        <f aca="false">Assumptions!C38+'Deal &amp; PPA'!C6</f>
        <v>2133.33333333333</v>
      </c>
      <c r="G27" s="18" t="n">
        <f aca="false">Assumptions!C38+'Deal &amp; PPA'!C6</f>
        <v>2133.33333333333</v>
      </c>
      <c r="H27" s="18" t="n">
        <f aca="false">Assumptions!C38+'Deal &amp; PPA'!C6</f>
        <v>2133.33333333333</v>
      </c>
    </row>
    <row r="28" customFormat="false" ht="15" hidden="false" customHeight="false" outlineLevel="0" collapsed="false">
      <c r="A28" s="4" t="s">
        <v>216</v>
      </c>
      <c r="C28" s="16" t="n">
        <f aca="false">'Income Statement'!C25/'Income Statement'!C27</f>
        <v>-1.5196875</v>
      </c>
      <c r="D28" s="16" t="n">
        <f aca="false">'Income Statement'!D25/'Income Statement'!D27</f>
        <v>-0.68623515625</v>
      </c>
      <c r="E28" s="16" t="n">
        <f aca="false">'Income Statement'!E25/'Income Statement'!E27</f>
        <v>2.5997691068675</v>
      </c>
      <c r="F28" s="16" t="n">
        <f aca="false">'Income Statement'!F25/'Income Statement'!F27</f>
        <v>5.09912430834134</v>
      </c>
      <c r="G28" s="16" t="n">
        <f aca="false">'Income Statement'!G25/'Income Statement'!G27</f>
        <v>7.9255578701271</v>
      </c>
      <c r="H28" s="16" t="n">
        <f aca="false">'Income Statement'!H25/'Income Statement'!H27</f>
        <v>9.54400383300828</v>
      </c>
    </row>
    <row r="29" customFormat="false" ht="15" hidden="false" customHeight="false" outlineLevel="0" collapsed="false">
      <c r="A29" s="9" t="s">
        <v>38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customFormat="false" ht="15" hidden="false" customHeight="false" outlineLevel="0" collapsed="false">
      <c r="A30" s="11" t="s">
        <v>39</v>
      </c>
      <c r="C30" s="17" t="n">
        <f aca="false">Segments!C28</f>
        <v>-1.0467934073107</v>
      </c>
      <c r="D30" s="17" t="n">
        <f aca="false">Segments!D28</f>
        <v>-0.737910080370459</v>
      </c>
      <c r="E30" s="17" t="n">
        <f aca="false">Segments!E28</f>
        <v>-0.178189076512333</v>
      </c>
      <c r="F30" s="17" t="n">
        <f aca="false">Segments!F28</f>
        <v>0.236492096265424</v>
      </c>
      <c r="G30" s="17" t="n">
        <f aca="false">Segments!G28</f>
        <v>0.714833416897784</v>
      </c>
      <c r="H30" s="17" t="n">
        <f aca="false">Segments!H28</f>
        <v>0.929925847911421</v>
      </c>
    </row>
    <row r="31" customFormat="false" ht="15" hidden="false" customHeight="false" outlineLevel="0" collapsed="false">
      <c r="A31" s="11" t="s">
        <v>40</v>
      </c>
      <c r="C31" s="17" t="n">
        <f aca="false">Segments!C38</f>
        <v>0.334217526109661</v>
      </c>
      <c r="D31" s="17" t="n">
        <f aca="false">Segments!D38</f>
        <v>1.70060066653164</v>
      </c>
      <c r="E31" s="17" t="n">
        <f aca="false">Segments!E38</f>
        <v>3.67044352616276</v>
      </c>
      <c r="F31" s="17" t="n">
        <f aca="false">Segments!F38</f>
        <v>5.34803004658862</v>
      </c>
      <c r="G31" s="17" t="n">
        <f aca="false">Segments!G38</f>
        <v>7.17567670847698</v>
      </c>
      <c r="H31" s="17" t="n">
        <f aca="false">Segments!H38</f>
        <v>8.27780301586964</v>
      </c>
    </row>
    <row r="32" customFormat="false" ht="15" hidden="false" customHeight="false" outlineLevel="0" collapsed="false">
      <c r="A32" s="11" t="s">
        <v>41</v>
      </c>
      <c r="C32" s="17" t="n">
        <f aca="false">Segments!C48</f>
        <v>-0.807111618798956</v>
      </c>
      <c r="D32" s="17" t="n">
        <f aca="false">Segments!D48</f>
        <v>-1.64892574241118</v>
      </c>
      <c r="E32" s="17" t="n">
        <f aca="false">Segments!E48</f>
        <v>-0.892485342782924</v>
      </c>
      <c r="F32" s="17" t="n">
        <f aca="false">Segments!F48</f>
        <v>-0.485397834512705</v>
      </c>
      <c r="G32" s="17" t="n">
        <f aca="false">Segments!G48</f>
        <v>0.0350477447523376</v>
      </c>
      <c r="H32" s="17" t="n">
        <f aca="false">Segments!H48</f>
        <v>0.33627496922722</v>
      </c>
    </row>
    <row r="33" customFormat="false" ht="15" hidden="false" customHeight="false" outlineLevel="0" collapsed="false">
      <c r="A33" s="4" t="s">
        <v>217</v>
      </c>
      <c r="C33" s="16" t="n">
        <f aca="false">Segments!C50</f>
        <v>-1.5196875</v>
      </c>
      <c r="D33" s="16" t="n">
        <f aca="false">Segments!D50</f>
        <v>-0.68623515625</v>
      </c>
      <c r="E33" s="16" t="n">
        <f aca="false">Segments!E50</f>
        <v>2.5997691068675</v>
      </c>
      <c r="F33" s="16" t="n">
        <f aca="false">Segments!F50</f>
        <v>5.09912430834134</v>
      </c>
      <c r="G33" s="16" t="n">
        <f aca="false">Segments!G50</f>
        <v>7.9255578701271</v>
      </c>
      <c r="H33" s="16" t="n">
        <f aca="false">Segments!H50</f>
        <v>9.54400383300828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3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6" t="s">
        <v>218</v>
      </c>
    </row>
    <row r="2" customFormat="false" ht="31.3" hidden="false" customHeight="false" outlineLevel="0" collapsed="false">
      <c r="C2" s="27" t="s">
        <v>219</v>
      </c>
      <c r="D2" s="27" t="s">
        <v>220</v>
      </c>
      <c r="E2" s="27" t="s">
        <v>221</v>
      </c>
      <c r="F2" s="27" t="s">
        <v>222</v>
      </c>
      <c r="G2" s="27" t="s">
        <v>23</v>
      </c>
      <c r="H2" s="27" t="s">
        <v>24</v>
      </c>
      <c r="I2" s="27" t="s">
        <v>25</v>
      </c>
      <c r="J2" s="27" t="s">
        <v>26</v>
      </c>
      <c r="K2" s="27" t="s">
        <v>27</v>
      </c>
    </row>
    <row r="3" customFormat="false" ht="15" hidden="false" customHeight="false" outlineLevel="0" collapsed="false">
      <c r="A3" s="9" t="s">
        <v>223</v>
      </c>
      <c r="B3" s="10"/>
      <c r="C3" s="10"/>
      <c r="D3" s="10"/>
      <c r="E3" s="10"/>
      <c r="F3" s="10"/>
      <c r="G3" s="10"/>
      <c r="H3" s="10"/>
      <c r="I3" s="10"/>
      <c r="J3" s="10"/>
      <c r="K3" s="10"/>
    </row>
    <row r="4" customFormat="false" ht="15" hidden="false" customHeight="false" outlineLevel="0" collapsed="false">
      <c r="A4" s="11" t="s">
        <v>224</v>
      </c>
      <c r="C4" s="12" t="n">
        <v>12000</v>
      </c>
      <c r="D4" s="12" t="n">
        <v>3000</v>
      </c>
      <c r="E4" s="12" t="n">
        <v>0</v>
      </c>
      <c r="F4" s="12" t="n">
        <f aca="false">'Balance Sheet'!C4+'Balance Sheet'!D4+'Balance Sheet'!E4</f>
        <v>15000</v>
      </c>
      <c r="G4" s="12" t="n">
        <f aca="false">'Cash Flow'!D29</f>
        <v>64189.2412</v>
      </c>
      <c r="H4" s="12" t="n">
        <f aca="false">'Cash Flow'!E29</f>
        <v>69609.934889984</v>
      </c>
      <c r="I4" s="12" t="n">
        <f aca="false">'Cash Flow'!F29</f>
        <v>79064.8109647122</v>
      </c>
      <c r="J4" s="12" t="n">
        <f aca="false">'Cash Flow'!G29</f>
        <v>93711.32133483</v>
      </c>
      <c r="K4" s="12" t="n">
        <f aca="false">'Cash Flow'!H29</f>
        <v>111434.147297166</v>
      </c>
    </row>
    <row r="5" customFormat="false" ht="15" hidden="false" customHeight="false" outlineLevel="0" collapsed="false">
      <c r="A5" s="11" t="s">
        <v>225</v>
      </c>
      <c r="C5" s="12" t="n">
        <v>2500</v>
      </c>
      <c r="D5" s="12" t="n">
        <v>250</v>
      </c>
      <c r="E5" s="12" t="n">
        <v>0</v>
      </c>
      <c r="F5" s="12" t="n">
        <f aca="false">'Balance Sheet'!C5+'Balance Sheet'!D5+'Balance Sheet'!E5</f>
        <v>2750</v>
      </c>
      <c r="G5" s="12" t="n">
        <f aca="false">'Income Statement'!D8*Assumptions!C41</f>
        <v>3636.12145</v>
      </c>
      <c r="H5" s="12" t="n">
        <f aca="false">'Income Statement'!E8*Assumptions!C41</f>
        <v>5048.489277</v>
      </c>
      <c r="I5" s="12" t="n">
        <f aca="false">'Income Statement'!F8*Assumptions!C41</f>
        <v>6695.7403331</v>
      </c>
      <c r="J5" s="12" t="n">
        <f aca="false">'Income Statement'!G8*Assumptions!C41</f>
        <v>8497.94305347</v>
      </c>
      <c r="K5" s="12" t="n">
        <f aca="false">'Income Statement'!H8*Assumptions!C41</f>
        <v>10399.323121759</v>
      </c>
    </row>
    <row r="6" customFormat="false" ht="15" hidden="false" customHeight="false" outlineLevel="0" collapsed="false">
      <c r="A6" s="11" t="s">
        <v>226</v>
      </c>
      <c r="C6" s="12" t="n">
        <v>2800</v>
      </c>
      <c r="D6" s="12" t="n">
        <v>0</v>
      </c>
      <c r="E6" s="12" t="n">
        <v>0</v>
      </c>
      <c r="F6" s="12" t="n">
        <f aca="false">'Balance Sheet'!C6+'Balance Sheet'!D6+'Balance Sheet'!E6</f>
        <v>2800</v>
      </c>
      <c r="G6" s="12" t="n">
        <f aca="false">'Income Statement'!D8*Assumptions!C42</f>
        <v>4070.60945</v>
      </c>
      <c r="H6" s="12" t="n">
        <f aca="false">'Income Statement'!E8*Assumptions!C42</f>
        <v>5651.744157</v>
      </c>
      <c r="I6" s="12" t="n">
        <f aca="false">'Income Statement'!F8*Assumptions!C42</f>
        <v>7495.8287971</v>
      </c>
      <c r="J6" s="12" t="n">
        <f aca="false">'Income Statement'!G8*Assumptions!C42</f>
        <v>9513.38061027</v>
      </c>
      <c r="K6" s="12" t="n">
        <f aca="false">'Income Statement'!H8*Assumptions!C42</f>
        <v>11641.960686719</v>
      </c>
    </row>
    <row r="7" customFormat="false" ht="15" hidden="false" customHeight="false" outlineLevel="0" collapsed="false">
      <c r="A7" s="11" t="s">
        <v>227</v>
      </c>
      <c r="C7" s="12" t="n">
        <v>1500</v>
      </c>
      <c r="D7" s="12" t="n">
        <v>150</v>
      </c>
      <c r="E7" s="12" t="n">
        <v>0</v>
      </c>
      <c r="F7" s="12" t="n">
        <f aca="false">'Balance Sheet'!C7+'Balance Sheet'!D7+'Balance Sheet'!E7</f>
        <v>1650</v>
      </c>
      <c r="G7" s="12" t="n">
        <f aca="false">'Income Statement'!D8*Assumptions!C43</f>
        <v>2180.58665</v>
      </c>
      <c r="H7" s="12" t="n">
        <f aca="false">'Income Statement'!E8*Assumptions!C43</f>
        <v>3027.585429</v>
      </c>
      <c r="I7" s="12" t="n">
        <f aca="false">'Income Statement'!F8*Assumptions!C43</f>
        <v>4015.4439787</v>
      </c>
      <c r="J7" s="12" t="n">
        <f aca="false">'Income Statement'!G8*Assumptions!C43</f>
        <v>5096.22723819</v>
      </c>
      <c r="K7" s="12" t="n">
        <f aca="false">'Income Statement'!H8*Assumptions!C43</f>
        <v>6236.487279143</v>
      </c>
    </row>
    <row r="8" customFormat="false" ht="15" hidden="false" customHeight="false" outlineLevel="0" collapsed="false">
      <c r="A8" s="4" t="s">
        <v>228</v>
      </c>
      <c r="C8" s="26" t="n">
        <f aca="false">'Balance Sheet'!C4+'Balance Sheet'!C5+'Balance Sheet'!C6+'Balance Sheet'!C7</f>
        <v>18800</v>
      </c>
      <c r="D8" s="26" t="n">
        <f aca="false">'Balance Sheet'!D4+'Balance Sheet'!D5+'Balance Sheet'!D6+'Balance Sheet'!D7</f>
        <v>3400</v>
      </c>
      <c r="E8" s="26" t="n">
        <f aca="false">'Balance Sheet'!E4+'Balance Sheet'!E5+'Balance Sheet'!E6+'Balance Sheet'!E7</f>
        <v>0</v>
      </c>
      <c r="F8" s="26" t="n">
        <f aca="false">'Balance Sheet'!F4+'Balance Sheet'!F5+'Balance Sheet'!F6+'Balance Sheet'!F7</f>
        <v>22200</v>
      </c>
      <c r="G8" s="26" t="n">
        <f aca="false">'Balance Sheet'!G4+'Balance Sheet'!G5+'Balance Sheet'!G6+'Balance Sheet'!G7</f>
        <v>74076.55875</v>
      </c>
      <c r="H8" s="26" t="n">
        <f aca="false">'Balance Sheet'!H4+'Balance Sheet'!H5+'Balance Sheet'!H6+'Balance Sheet'!H7</f>
        <v>83337.753752984</v>
      </c>
      <c r="I8" s="26" t="n">
        <f aca="false">'Balance Sheet'!I4+'Balance Sheet'!I5+'Balance Sheet'!I6+'Balance Sheet'!I7</f>
        <v>97271.8240736122</v>
      </c>
      <c r="J8" s="26" t="n">
        <f aca="false">'Balance Sheet'!J4+'Balance Sheet'!J5+'Balance Sheet'!J6+'Balance Sheet'!J7</f>
        <v>116818.87223676</v>
      </c>
      <c r="K8" s="26" t="n">
        <f aca="false">'Balance Sheet'!K4+'Balance Sheet'!K5+'Balance Sheet'!K6+'Balance Sheet'!K7</f>
        <v>139711.918384787</v>
      </c>
    </row>
    <row r="9" customFormat="false" ht="15" hidden="false" customHeight="false" outlineLevel="0" collapsed="false">
      <c r="A9" s="11" t="s">
        <v>229</v>
      </c>
      <c r="C9" s="12" t="n">
        <v>46000</v>
      </c>
      <c r="D9" s="12" t="n">
        <v>300</v>
      </c>
      <c r="E9" s="12" t="n">
        <v>0</v>
      </c>
      <c r="F9" s="12" t="n">
        <f aca="false">'Balance Sheet'!C9+'Balance Sheet'!D9+'Balance Sheet'!E9</f>
        <v>46300</v>
      </c>
      <c r="G9" s="12" t="n">
        <f aca="false">Schedules!D23</f>
        <v>49453.22</v>
      </c>
      <c r="H9" s="12" t="n">
        <f aca="false">Schedules!E23</f>
        <v>54297.0766</v>
      </c>
      <c r="I9" s="12" t="n">
        <f aca="false">Schedules!F23</f>
        <v>60590.531678</v>
      </c>
      <c r="J9" s="12" t="n">
        <f aca="false">Schedules!G23</f>
        <v>67726.30602904</v>
      </c>
      <c r="K9" s="12" t="n">
        <f aca="false">Schedules!H23</f>
        <v>75584.2288883392</v>
      </c>
    </row>
    <row r="10" customFormat="false" ht="15" hidden="false" customHeight="false" outlineLevel="0" collapsed="false">
      <c r="A10" s="11" t="s">
        <v>230</v>
      </c>
      <c r="C10" s="12" t="n">
        <v>0</v>
      </c>
      <c r="D10" s="12" t="n">
        <v>0</v>
      </c>
      <c r="E10" s="12" t="n">
        <f aca="false">'Deal &amp; PPA'!C21</f>
        <v>15000</v>
      </c>
      <c r="F10" s="12" t="n">
        <f aca="false">'Balance Sheet'!C10+'Balance Sheet'!D10+'Balance Sheet'!E10</f>
        <v>15000</v>
      </c>
      <c r="G10" s="12" t="n">
        <f aca="false">Schedules!D27</f>
        <v>13366.6666666667</v>
      </c>
      <c r="H10" s="12" t="n">
        <f aca="false">Schedules!E27</f>
        <v>11733.3333333333</v>
      </c>
      <c r="I10" s="12" t="n">
        <f aca="false">Schedules!F27</f>
        <v>10100</v>
      </c>
      <c r="J10" s="12" t="n">
        <f aca="false">Schedules!G27</f>
        <v>8466.66666666666</v>
      </c>
      <c r="K10" s="12" t="n">
        <f aca="false">Schedules!H27</f>
        <v>6833.33333333333</v>
      </c>
    </row>
    <row r="11" customFormat="false" ht="15" hidden="false" customHeight="false" outlineLevel="0" collapsed="false">
      <c r="A11" s="11" t="s">
        <v>231</v>
      </c>
      <c r="C11" s="12" t="n">
        <v>0</v>
      </c>
      <c r="D11" s="12" t="n">
        <v>0</v>
      </c>
      <c r="E11" s="12" t="n">
        <f aca="false">'Deal &amp; PPA'!C26</f>
        <v>45250</v>
      </c>
      <c r="F11" s="12" t="n">
        <f aca="false">'Balance Sheet'!C11+'Balance Sheet'!D11+'Balance Sheet'!E11</f>
        <v>45250</v>
      </c>
      <c r="G11" s="12" t="n">
        <f aca="false">'Balance Sheet'!F11</f>
        <v>45250</v>
      </c>
      <c r="H11" s="12" t="n">
        <f aca="false">'Balance Sheet'!G11</f>
        <v>45250</v>
      </c>
      <c r="I11" s="12" t="n">
        <f aca="false">'Balance Sheet'!H11</f>
        <v>45250</v>
      </c>
      <c r="J11" s="12" t="n">
        <f aca="false">'Balance Sheet'!I11</f>
        <v>45250</v>
      </c>
      <c r="K11" s="12" t="n">
        <f aca="false">'Balance Sheet'!J11</f>
        <v>45250</v>
      </c>
    </row>
    <row r="12" customFormat="false" ht="15" hidden="false" customHeight="false" outlineLevel="0" collapsed="false">
      <c r="A12" s="11" t="s">
        <v>232</v>
      </c>
      <c r="C12" s="12" t="n">
        <v>19600</v>
      </c>
      <c r="D12" s="12" t="n">
        <v>0</v>
      </c>
      <c r="E12" s="12" t="n">
        <v>0</v>
      </c>
      <c r="F12" s="12" t="n">
        <f aca="false">'Balance Sheet'!C12+'Balance Sheet'!D12+'Balance Sheet'!E12</f>
        <v>19600</v>
      </c>
      <c r="G12" s="12" t="n">
        <f aca="false">'Balance Sheet'!F12</f>
        <v>19600</v>
      </c>
      <c r="H12" s="12" t="n">
        <f aca="false">'Balance Sheet'!G12</f>
        <v>19600</v>
      </c>
      <c r="I12" s="12" t="n">
        <f aca="false">'Balance Sheet'!H12</f>
        <v>19600</v>
      </c>
      <c r="J12" s="12" t="n">
        <f aca="false">'Balance Sheet'!I12</f>
        <v>19600</v>
      </c>
      <c r="K12" s="12" t="n">
        <f aca="false">'Balance Sheet'!J12</f>
        <v>19600</v>
      </c>
    </row>
    <row r="13" customFormat="false" ht="15" hidden="false" customHeight="false" outlineLevel="0" collapsed="false">
      <c r="A13" s="11" t="s">
        <v>233</v>
      </c>
      <c r="C13" s="12" t="n">
        <v>7700</v>
      </c>
      <c r="D13" s="12" t="n">
        <v>0</v>
      </c>
      <c r="E13" s="12" t="n">
        <v>0</v>
      </c>
      <c r="F13" s="12" t="n">
        <f aca="false">'Balance Sheet'!C13+'Balance Sheet'!D13+'Balance Sheet'!E13</f>
        <v>7700</v>
      </c>
      <c r="G13" s="12" t="n">
        <f aca="false">'Balance Sheet'!F13</f>
        <v>7700</v>
      </c>
      <c r="H13" s="12" t="n">
        <f aca="false">'Balance Sheet'!G13</f>
        <v>7700</v>
      </c>
      <c r="I13" s="12" t="n">
        <f aca="false">'Balance Sheet'!H13</f>
        <v>7700</v>
      </c>
      <c r="J13" s="12" t="n">
        <f aca="false">'Balance Sheet'!I13</f>
        <v>7700</v>
      </c>
      <c r="K13" s="12" t="n">
        <f aca="false">'Balance Sheet'!J13</f>
        <v>7700</v>
      </c>
    </row>
    <row r="14" customFormat="false" ht="15" hidden="false" customHeight="false" outlineLevel="0" collapsed="false">
      <c r="A14" s="4" t="s">
        <v>234</v>
      </c>
      <c r="C14" s="26" t="n">
        <f aca="false">'Balance Sheet'!C8+'Balance Sheet'!C9+'Balance Sheet'!C10+'Balance Sheet'!C11+'Balance Sheet'!C12+'Balance Sheet'!C13</f>
        <v>92100</v>
      </c>
      <c r="D14" s="26" t="n">
        <f aca="false">'Balance Sheet'!D8+'Balance Sheet'!D9+'Balance Sheet'!D10+'Balance Sheet'!D11+'Balance Sheet'!D12+'Balance Sheet'!D13</f>
        <v>3700</v>
      </c>
      <c r="E14" s="26" t="n">
        <f aca="false">'Balance Sheet'!E8+'Balance Sheet'!E9+'Balance Sheet'!E10+'Balance Sheet'!E11+'Balance Sheet'!E12+'Balance Sheet'!E13</f>
        <v>60250</v>
      </c>
      <c r="F14" s="26" t="n">
        <f aca="false">'Balance Sheet'!F8+'Balance Sheet'!F9+'Balance Sheet'!F10+'Balance Sheet'!F11+'Balance Sheet'!F12+'Balance Sheet'!F13</f>
        <v>156050</v>
      </c>
      <c r="G14" s="26" t="n">
        <f aca="false">'Balance Sheet'!G8+'Balance Sheet'!G9+'Balance Sheet'!G10+'Balance Sheet'!G11+'Balance Sheet'!G12+'Balance Sheet'!G13</f>
        <v>209446.445416667</v>
      </c>
      <c r="H14" s="26" t="n">
        <f aca="false">'Balance Sheet'!H8+'Balance Sheet'!H9+'Balance Sheet'!H10+'Balance Sheet'!H11+'Balance Sheet'!H12+'Balance Sheet'!H13</f>
        <v>221918.163686317</v>
      </c>
      <c r="I14" s="26" t="n">
        <f aca="false">'Balance Sheet'!I8+'Balance Sheet'!I9+'Balance Sheet'!I10+'Balance Sheet'!I11+'Balance Sheet'!I12+'Balance Sheet'!I13</f>
        <v>240512.355751612</v>
      </c>
      <c r="J14" s="26" t="n">
        <f aca="false">'Balance Sheet'!J8+'Balance Sheet'!J9+'Balance Sheet'!J10+'Balance Sheet'!J11+'Balance Sheet'!J12+'Balance Sheet'!J13</f>
        <v>265561.844932467</v>
      </c>
      <c r="K14" s="26" t="n">
        <f aca="false">'Balance Sheet'!K8+'Balance Sheet'!K9+'Balance Sheet'!K10+'Balance Sheet'!K11+'Balance Sheet'!K12+'Balance Sheet'!K13</f>
        <v>294679.480606459</v>
      </c>
    </row>
    <row r="15" customFormat="false" ht="15" hidden="false" customHeight="false" outlineLevel="0" collapsed="false">
      <c r="A15" s="9" t="s">
        <v>235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customFormat="false" ht="15" hidden="false" customHeight="false" outlineLevel="0" collapsed="false">
      <c r="A16" s="11" t="s">
        <v>236</v>
      </c>
      <c r="C16" s="12" t="n">
        <v>2800</v>
      </c>
      <c r="D16" s="12" t="n">
        <v>150</v>
      </c>
      <c r="E16" s="12" t="n">
        <v>0</v>
      </c>
      <c r="F16" s="12" t="n">
        <f aca="false">'Balance Sheet'!C16+'Balance Sheet'!D16+'Balance Sheet'!E16</f>
        <v>2950</v>
      </c>
      <c r="G16" s="12" t="n">
        <f aca="false">'Income Statement'!D8*Assumptions!C44</f>
        <v>4070.60945</v>
      </c>
      <c r="H16" s="12" t="n">
        <f aca="false">'Income Statement'!E8*Assumptions!C44</f>
        <v>5651.744157</v>
      </c>
      <c r="I16" s="12" t="n">
        <f aca="false">'Income Statement'!F8*Assumptions!C44</f>
        <v>7495.8287971</v>
      </c>
      <c r="J16" s="12" t="n">
        <f aca="false">'Income Statement'!G8*Assumptions!C44</f>
        <v>9513.38061027</v>
      </c>
      <c r="K16" s="12" t="n">
        <f aca="false">'Income Statement'!H8*Assumptions!C44</f>
        <v>11641.960686719</v>
      </c>
    </row>
    <row r="17" customFormat="false" ht="15" hidden="false" customHeight="false" outlineLevel="0" collapsed="false">
      <c r="A17" s="11" t="s">
        <v>237</v>
      </c>
      <c r="C17" s="12" t="n">
        <v>1700</v>
      </c>
      <c r="D17" s="12" t="n">
        <v>150</v>
      </c>
      <c r="E17" s="12" t="n">
        <v>0</v>
      </c>
      <c r="F17" s="12" t="n">
        <f aca="false">'Balance Sheet'!C17+'Balance Sheet'!D17+'Balance Sheet'!E17</f>
        <v>1850</v>
      </c>
      <c r="G17" s="12" t="n">
        <f aca="false">'Income Statement'!D8*Assumptions!C45</f>
        <v>2471.1505</v>
      </c>
      <c r="H17" s="12" t="n">
        <f aca="false">'Income Statement'!E8*Assumptions!C45</f>
        <v>3431.01213</v>
      </c>
      <c r="I17" s="12" t="n">
        <f aca="false">'Income Statement'!F8*Assumptions!C45</f>
        <v>4550.503139</v>
      </c>
      <c r="J17" s="12" t="n">
        <f aca="false">'Income Statement'!G8*Assumptions!C45</f>
        <v>5775.3011043</v>
      </c>
      <c r="K17" s="12" t="n">
        <f aca="false">'Income Statement'!H8*Assumptions!C45</f>
        <v>7067.50115071</v>
      </c>
    </row>
    <row r="18" customFormat="false" ht="15" hidden="false" customHeight="false" outlineLevel="0" collapsed="false">
      <c r="A18" s="11" t="s">
        <v>238</v>
      </c>
      <c r="C18" s="12" t="n">
        <v>2800</v>
      </c>
      <c r="D18" s="12" t="n">
        <v>300</v>
      </c>
      <c r="E18" s="12" t="n">
        <v>0</v>
      </c>
      <c r="F18" s="12" t="n">
        <f aca="false">'Balance Sheet'!C18+'Balance Sheet'!D18+'Balance Sheet'!E18</f>
        <v>3100</v>
      </c>
      <c r="G18" s="12" t="n">
        <f aca="false">'Income Statement'!D8*Assumptions!C46</f>
        <v>4070.60945</v>
      </c>
      <c r="H18" s="12" t="n">
        <f aca="false">'Income Statement'!E8*Assumptions!C46</f>
        <v>5651.744157</v>
      </c>
      <c r="I18" s="12" t="n">
        <f aca="false">'Income Statement'!F8*Assumptions!C46</f>
        <v>7495.8287971</v>
      </c>
      <c r="J18" s="12" t="n">
        <f aca="false">'Income Statement'!G8*Assumptions!C46</f>
        <v>9513.38061027</v>
      </c>
      <c r="K18" s="12" t="n">
        <f aca="false">'Income Statement'!H8*Assumptions!C46</f>
        <v>11641.960686719</v>
      </c>
    </row>
    <row r="19" customFormat="false" ht="15" hidden="false" customHeight="false" outlineLevel="0" collapsed="false">
      <c r="A19" s="11" t="s">
        <v>239</v>
      </c>
      <c r="C19" s="12" t="n">
        <v>1900</v>
      </c>
      <c r="D19" s="12" t="n">
        <v>0</v>
      </c>
      <c r="E19" s="12" t="n">
        <v>0</v>
      </c>
      <c r="F19" s="12" t="n">
        <f aca="false">'Balance Sheet'!C19+'Balance Sheet'!D19+'Balance Sheet'!E19</f>
        <v>1900</v>
      </c>
      <c r="G19" s="12" t="n">
        <f aca="false">'Income Statement'!D8*Assumptions!C47</f>
        <v>2761.71435</v>
      </c>
      <c r="H19" s="12" t="n">
        <f aca="false">'Income Statement'!E8*Assumptions!C47</f>
        <v>3834.438831</v>
      </c>
      <c r="I19" s="12" t="n">
        <f aca="false">'Income Statement'!F8*Assumptions!C47</f>
        <v>5085.5622993</v>
      </c>
      <c r="J19" s="12" t="n">
        <f aca="false">'Income Statement'!G8*Assumptions!C47</f>
        <v>6454.37497041</v>
      </c>
      <c r="K19" s="12" t="n">
        <f aca="false">'Income Statement'!H8*Assumptions!C47</f>
        <v>7898.515022277</v>
      </c>
    </row>
    <row r="20" customFormat="false" ht="15" hidden="false" customHeight="false" outlineLevel="0" collapsed="false">
      <c r="A20" s="4" t="s">
        <v>240</v>
      </c>
      <c r="C20" s="26" t="n">
        <f aca="false">'Balance Sheet'!C16+'Balance Sheet'!C17+'Balance Sheet'!C18+'Balance Sheet'!C19</f>
        <v>9200</v>
      </c>
      <c r="D20" s="26" t="n">
        <f aca="false">'Balance Sheet'!D16+'Balance Sheet'!D17+'Balance Sheet'!D18+'Balance Sheet'!D19</f>
        <v>600</v>
      </c>
      <c r="E20" s="26" t="n">
        <f aca="false">'Balance Sheet'!E16+'Balance Sheet'!E17+'Balance Sheet'!E18+'Balance Sheet'!E19</f>
        <v>0</v>
      </c>
      <c r="F20" s="26" t="n">
        <f aca="false">'Balance Sheet'!F16+'Balance Sheet'!F17+'Balance Sheet'!F18+'Balance Sheet'!F19</f>
        <v>9800</v>
      </c>
      <c r="G20" s="26" t="n">
        <f aca="false">'Balance Sheet'!G16+'Balance Sheet'!G17+'Balance Sheet'!G18+'Balance Sheet'!G19</f>
        <v>13374.08375</v>
      </c>
      <c r="H20" s="26" t="n">
        <f aca="false">'Balance Sheet'!H16+'Balance Sheet'!H17+'Balance Sheet'!H18+'Balance Sheet'!H19</f>
        <v>18568.939275</v>
      </c>
      <c r="I20" s="26" t="n">
        <f aca="false">'Balance Sheet'!I16+'Balance Sheet'!I17+'Balance Sheet'!I18+'Balance Sheet'!I19</f>
        <v>24627.7230325</v>
      </c>
      <c r="J20" s="26" t="n">
        <f aca="false">'Balance Sheet'!J16+'Balance Sheet'!J17+'Balance Sheet'!J18+'Balance Sheet'!J19</f>
        <v>31256.43729525</v>
      </c>
      <c r="K20" s="26" t="n">
        <f aca="false">'Balance Sheet'!K16+'Balance Sheet'!K17+'Balance Sheet'!K18+'Balance Sheet'!K19</f>
        <v>38249.937546425</v>
      </c>
    </row>
    <row r="21" customFormat="false" ht="15" hidden="false" customHeight="false" outlineLevel="0" collapsed="false">
      <c r="A21" s="11" t="s">
        <v>241</v>
      </c>
      <c r="C21" s="12" t="n">
        <v>12000</v>
      </c>
      <c r="D21" s="12" t="n">
        <v>0</v>
      </c>
      <c r="E21" s="12" t="n">
        <v>0</v>
      </c>
      <c r="F21" s="12" t="n">
        <f aca="false">'Balance Sheet'!C21+'Balance Sheet'!D21+'Balance Sheet'!E21</f>
        <v>12000</v>
      </c>
      <c r="G21" s="12" t="n">
        <f aca="false">Schedules!D34</f>
        <v>14000</v>
      </c>
      <c r="H21" s="12" t="n">
        <f aca="false">Schedules!E34</f>
        <v>16000</v>
      </c>
      <c r="I21" s="12" t="n">
        <f aca="false">Schedules!F34</f>
        <v>17500</v>
      </c>
      <c r="J21" s="12" t="n">
        <f aca="false">Schedules!G34</f>
        <v>18500</v>
      </c>
      <c r="K21" s="12" t="n">
        <f aca="false">Schedules!H34</f>
        <v>19500</v>
      </c>
    </row>
    <row r="22" customFormat="false" ht="15" hidden="false" customHeight="false" outlineLevel="0" collapsed="false">
      <c r="A22" s="11" t="s">
        <v>242</v>
      </c>
      <c r="C22" s="12" t="n">
        <v>19600</v>
      </c>
      <c r="D22" s="12" t="n">
        <v>0</v>
      </c>
      <c r="E22" s="12" t="n">
        <v>0</v>
      </c>
      <c r="F22" s="12" t="n">
        <f aca="false">'Balance Sheet'!C22+'Balance Sheet'!D22+'Balance Sheet'!E22</f>
        <v>19600</v>
      </c>
      <c r="G22" s="12" t="n">
        <f aca="false">Schedules!D37</f>
        <v>17600</v>
      </c>
      <c r="H22" s="12" t="n">
        <f aca="false">Schedules!E37</f>
        <v>15600</v>
      </c>
      <c r="I22" s="12" t="n">
        <f aca="false">Schedules!F37</f>
        <v>13600</v>
      </c>
      <c r="J22" s="12" t="n">
        <f aca="false">Schedules!G37</f>
        <v>11600</v>
      </c>
      <c r="K22" s="12" t="n">
        <f aca="false">Schedules!H37</f>
        <v>9600</v>
      </c>
    </row>
    <row r="23" customFormat="false" ht="15" hidden="false" customHeight="false" outlineLevel="0" collapsed="false">
      <c r="A23" s="11" t="s">
        <v>243</v>
      </c>
      <c r="C23" s="12" t="n">
        <v>28000</v>
      </c>
      <c r="D23" s="12" t="n">
        <v>200</v>
      </c>
      <c r="E23" s="12" t="n">
        <v>0</v>
      </c>
      <c r="F23" s="12" t="n">
        <f aca="false">'Balance Sheet'!C23+'Balance Sheet'!D23+'Balance Sheet'!E23</f>
        <v>28200</v>
      </c>
      <c r="G23" s="12" t="n">
        <f aca="false">'Balance Sheet'!F23</f>
        <v>28200</v>
      </c>
      <c r="H23" s="12" t="n">
        <f aca="false">'Balance Sheet'!G23</f>
        <v>28200</v>
      </c>
      <c r="I23" s="12" t="n">
        <f aca="false">'Balance Sheet'!H23</f>
        <v>28200</v>
      </c>
      <c r="J23" s="12" t="n">
        <f aca="false">'Balance Sheet'!I23</f>
        <v>28200</v>
      </c>
      <c r="K23" s="12" t="n">
        <f aca="false">'Balance Sheet'!J23</f>
        <v>28200</v>
      </c>
    </row>
    <row r="24" customFormat="false" ht="15" hidden="false" customHeight="false" outlineLevel="0" collapsed="false">
      <c r="A24" s="11" t="s">
        <v>244</v>
      </c>
      <c r="C24" s="12" t="n">
        <v>0</v>
      </c>
      <c r="D24" s="12" t="n">
        <v>0</v>
      </c>
      <c r="E24" s="12" t="n">
        <f aca="false">'Deal &amp; PPA'!C24</f>
        <v>3150</v>
      </c>
      <c r="F24" s="12" t="n">
        <f aca="false">'Balance Sheet'!C24+'Balance Sheet'!D24+'Balance Sheet'!E24</f>
        <v>3150</v>
      </c>
      <c r="G24" s="12" t="n">
        <f aca="false">Schedules!D30</f>
        <v>2807</v>
      </c>
      <c r="H24" s="12" t="n">
        <f aca="false">Schedules!E30</f>
        <v>2464</v>
      </c>
      <c r="I24" s="12" t="n">
        <f aca="false">Schedules!F30</f>
        <v>2121</v>
      </c>
      <c r="J24" s="12" t="n">
        <f aca="false">Schedules!G30</f>
        <v>1778</v>
      </c>
      <c r="K24" s="12" t="n">
        <f aca="false">Schedules!H30</f>
        <v>1435</v>
      </c>
    </row>
    <row r="25" customFormat="false" ht="15" hidden="false" customHeight="false" outlineLevel="0" collapsed="false">
      <c r="A25" s="11" t="s">
        <v>245</v>
      </c>
      <c r="C25" s="12" t="n">
        <v>20700</v>
      </c>
      <c r="D25" s="12" t="n">
        <v>0</v>
      </c>
      <c r="E25" s="12" t="n">
        <v>0</v>
      </c>
      <c r="F25" s="12" t="n">
        <f aca="false">'Balance Sheet'!C25+'Balance Sheet'!D25+'Balance Sheet'!E25</f>
        <v>20700</v>
      </c>
      <c r="G25" s="12" t="n">
        <f aca="false">'Balance Sheet'!F25</f>
        <v>20700</v>
      </c>
      <c r="H25" s="12" t="n">
        <f aca="false">'Balance Sheet'!G25</f>
        <v>20700</v>
      </c>
      <c r="I25" s="12" t="n">
        <f aca="false">'Balance Sheet'!H25</f>
        <v>20700</v>
      </c>
      <c r="J25" s="12" t="n">
        <f aca="false">'Balance Sheet'!I25</f>
        <v>20700</v>
      </c>
      <c r="K25" s="12" t="n">
        <f aca="false">'Balance Sheet'!J25</f>
        <v>20700</v>
      </c>
    </row>
    <row r="26" customFormat="false" ht="15" hidden="false" customHeight="false" outlineLevel="0" collapsed="false">
      <c r="A26" s="4" t="s">
        <v>246</v>
      </c>
      <c r="C26" s="26" t="n">
        <f aca="false">'Balance Sheet'!C20+'Balance Sheet'!C21+'Balance Sheet'!C22+'Balance Sheet'!C23+'Balance Sheet'!C24+'Balance Sheet'!C25</f>
        <v>89500</v>
      </c>
      <c r="D26" s="26" t="n">
        <f aca="false">'Balance Sheet'!D20+'Balance Sheet'!D21+'Balance Sheet'!D22+'Balance Sheet'!D23+'Balance Sheet'!D24+'Balance Sheet'!D25</f>
        <v>800</v>
      </c>
      <c r="E26" s="26" t="n">
        <f aca="false">'Balance Sheet'!E20+'Balance Sheet'!E21+'Balance Sheet'!E22+'Balance Sheet'!E23+'Balance Sheet'!E24+'Balance Sheet'!E25</f>
        <v>3150</v>
      </c>
      <c r="F26" s="26" t="n">
        <f aca="false">'Balance Sheet'!F20+'Balance Sheet'!F21+'Balance Sheet'!F22+'Balance Sheet'!F23+'Balance Sheet'!F24+'Balance Sheet'!F25</f>
        <v>93450</v>
      </c>
      <c r="G26" s="26" t="n">
        <f aca="false">'Balance Sheet'!G20+'Balance Sheet'!G21+'Balance Sheet'!G22+'Balance Sheet'!G23+'Balance Sheet'!G24+'Balance Sheet'!G25</f>
        <v>96681.08375</v>
      </c>
      <c r="H26" s="26" t="n">
        <f aca="false">'Balance Sheet'!H20+'Balance Sheet'!H21+'Balance Sheet'!H22+'Balance Sheet'!H23+'Balance Sheet'!H24+'Balance Sheet'!H25</f>
        <v>101532.939275</v>
      </c>
      <c r="I26" s="26" t="n">
        <f aca="false">'Balance Sheet'!I20+'Balance Sheet'!I21+'Balance Sheet'!I22+'Balance Sheet'!I23+'Balance Sheet'!I24+'Balance Sheet'!I25</f>
        <v>106748.7230325</v>
      </c>
      <c r="J26" s="26" t="n">
        <f aca="false">'Balance Sheet'!J20+'Balance Sheet'!J21+'Balance Sheet'!J22+'Balance Sheet'!J23+'Balance Sheet'!J24+'Balance Sheet'!J25</f>
        <v>112034.43729525</v>
      </c>
      <c r="K26" s="26" t="n">
        <f aca="false">'Balance Sheet'!K20+'Balance Sheet'!K21+'Balance Sheet'!K22+'Balance Sheet'!K23+'Balance Sheet'!K24+'Balance Sheet'!K25</f>
        <v>117684.937546425</v>
      </c>
    </row>
    <row r="27" customFormat="false" ht="15" hidden="false" customHeight="false" outlineLevel="0" collapsed="false">
      <c r="A27" s="9" t="s">
        <v>247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customFormat="false" ht="15" hidden="false" customHeight="false" outlineLevel="0" collapsed="false">
      <c r="A28" s="11" t="s">
        <v>248</v>
      </c>
      <c r="C28" s="12" t="n">
        <v>25000</v>
      </c>
      <c r="D28" s="12" t="n">
        <v>2900</v>
      </c>
      <c r="E28" s="12" t="n">
        <f aca="false">'Deal &amp; PPA'!C4-'Balance Sheet'!D28</f>
        <v>57100</v>
      </c>
      <c r="F28" s="12" t="n">
        <f aca="false">'Balance Sheet'!C28+'Balance Sheet'!D28+'Balance Sheet'!E28</f>
        <v>85000</v>
      </c>
      <c r="G28" s="12" t="n">
        <f aca="false">'Balance Sheet'!F28+'Cash Flow'!D8+Assumptions!D32</f>
        <v>136629.33</v>
      </c>
      <c r="H28" s="12" t="n">
        <f aca="false">'Balance Sheet'!G28+'Cash Flow'!E8+Assumptions!E32</f>
        <v>138703.01865</v>
      </c>
      <c r="I28" s="12" t="n">
        <f aca="false">'Balance Sheet'!H28+'Cash Flow'!F8+Assumptions!F32</f>
        <v>141203.2951</v>
      </c>
      <c r="J28" s="12" t="n">
        <f aca="false">'Balance Sheet'!I28+'Cash Flow'!G8+Assumptions!G32</f>
        <v>144059.2132285</v>
      </c>
      <c r="K28" s="12" t="n">
        <f aca="false">'Balance Sheet'!J28+'Cash Flow'!H8+Assumptions!H32</f>
        <v>147165.8071409</v>
      </c>
    </row>
    <row r="29" customFormat="false" ht="15" hidden="false" customHeight="false" outlineLevel="0" collapsed="false">
      <c r="A29" s="11" t="s">
        <v>249</v>
      </c>
      <c r="C29" s="12" t="n">
        <v>-22400</v>
      </c>
      <c r="D29" s="12" t="n">
        <v>0</v>
      </c>
      <c r="E29" s="12" t="n">
        <v>0</v>
      </c>
      <c r="F29" s="12" t="n">
        <f aca="false">'Balance Sheet'!C29+'Balance Sheet'!D29+'Balance Sheet'!E29</f>
        <v>-22400</v>
      </c>
      <c r="G29" s="12" t="n">
        <f aca="false">'Balance Sheet'!F29+'Income Statement'!D25</f>
        <v>-23863.9683333333</v>
      </c>
      <c r="H29" s="12" t="n">
        <f aca="false">'Balance Sheet'!G29+'Income Statement'!E25</f>
        <v>-18317.7942386827</v>
      </c>
      <c r="I29" s="12" t="n">
        <f aca="false">'Balance Sheet'!H29+'Income Statement'!F25</f>
        <v>-7439.66238088781</v>
      </c>
      <c r="J29" s="12" t="n">
        <f aca="false">'Balance Sheet'!I29+'Income Statement'!G25</f>
        <v>9468.19440871666</v>
      </c>
      <c r="K29" s="12" t="n">
        <f aca="false">'Balance Sheet'!J29+'Income Statement'!H25</f>
        <v>29828.7359191343</v>
      </c>
    </row>
    <row r="30" customFormat="false" ht="15" hidden="false" customHeight="false" outlineLevel="0" collapsed="false">
      <c r="A30" s="4" t="s">
        <v>250</v>
      </c>
      <c r="C30" s="26" t="n">
        <f aca="false">'Balance Sheet'!C28+'Balance Sheet'!C29</f>
        <v>2600</v>
      </c>
      <c r="D30" s="26" t="n">
        <f aca="false">'Balance Sheet'!D28+'Balance Sheet'!D29</f>
        <v>2900</v>
      </c>
      <c r="E30" s="26" t="n">
        <f aca="false">'Balance Sheet'!E28+'Balance Sheet'!E29</f>
        <v>57100</v>
      </c>
      <c r="F30" s="26" t="n">
        <f aca="false">'Balance Sheet'!F28+'Balance Sheet'!F29</f>
        <v>62600</v>
      </c>
      <c r="G30" s="26" t="n">
        <f aca="false">'Balance Sheet'!G28+'Balance Sheet'!G29</f>
        <v>112765.361666667</v>
      </c>
      <c r="H30" s="26" t="n">
        <f aca="false">'Balance Sheet'!H28+'Balance Sheet'!H29</f>
        <v>120385.224411317</v>
      </c>
      <c r="I30" s="26" t="n">
        <f aca="false">'Balance Sheet'!I28+'Balance Sheet'!I29</f>
        <v>133763.632719112</v>
      </c>
      <c r="J30" s="26" t="n">
        <f aca="false">'Balance Sheet'!J28+'Balance Sheet'!J29</f>
        <v>153527.407637217</v>
      </c>
      <c r="K30" s="26" t="n">
        <f aca="false">'Balance Sheet'!K28+'Balance Sheet'!K29</f>
        <v>176994.543060034</v>
      </c>
    </row>
    <row r="31" customFormat="false" ht="15" hidden="false" customHeight="false" outlineLevel="0" collapsed="false">
      <c r="A31" s="4" t="s">
        <v>251</v>
      </c>
      <c r="C31" s="26" t="n">
        <f aca="false">'Balance Sheet'!C26+'Balance Sheet'!C30</f>
        <v>92100</v>
      </c>
      <c r="D31" s="26" t="n">
        <f aca="false">'Balance Sheet'!D26+'Balance Sheet'!D30</f>
        <v>3700</v>
      </c>
      <c r="E31" s="26" t="n">
        <f aca="false">'Balance Sheet'!E26+'Balance Sheet'!E30</f>
        <v>60250</v>
      </c>
      <c r="F31" s="26" t="n">
        <f aca="false">'Balance Sheet'!F26+'Balance Sheet'!F30</f>
        <v>156050</v>
      </c>
      <c r="G31" s="26" t="n">
        <f aca="false">'Balance Sheet'!G26+'Balance Sheet'!G30</f>
        <v>209446.445416667</v>
      </c>
      <c r="H31" s="26" t="n">
        <f aca="false">'Balance Sheet'!H26+'Balance Sheet'!H30</f>
        <v>221918.163686317</v>
      </c>
      <c r="I31" s="26" t="n">
        <f aca="false">'Balance Sheet'!I26+'Balance Sheet'!I30</f>
        <v>240512.355751612</v>
      </c>
      <c r="J31" s="26" t="n">
        <f aca="false">'Balance Sheet'!J26+'Balance Sheet'!J30</f>
        <v>265561.844932467</v>
      </c>
      <c r="K31" s="26" t="n">
        <f aca="false">'Balance Sheet'!K26+'Balance Sheet'!K30</f>
        <v>294679.480606459</v>
      </c>
    </row>
    <row r="32" customFormat="false" ht="15" hidden="false" customHeight="false" outlineLevel="0" collapsed="false">
      <c r="A32" s="11" t="s">
        <v>252</v>
      </c>
      <c r="C32" s="18" t="n">
        <f aca="false">'Balance Sheet'!C14-'Balance Sheet'!C31</f>
        <v>0</v>
      </c>
      <c r="D32" s="18" t="n">
        <f aca="false">'Balance Sheet'!D14-'Balance Sheet'!D31</f>
        <v>0</v>
      </c>
      <c r="E32" s="18" t="n">
        <f aca="false">'Balance Sheet'!E14-'Balance Sheet'!E31</f>
        <v>0</v>
      </c>
      <c r="F32" s="18" t="n">
        <f aca="false">'Balance Sheet'!F14-'Balance Sheet'!F31</f>
        <v>0</v>
      </c>
      <c r="G32" s="18" t="n">
        <f aca="false">'Balance Sheet'!G14-'Balance Sheet'!G31</f>
        <v>0</v>
      </c>
      <c r="H32" s="18" t="n">
        <f aca="false">'Balance Sheet'!H14-'Balance Sheet'!H31</f>
        <v>0</v>
      </c>
      <c r="I32" s="18" t="n">
        <f aca="false">'Balance Sheet'!I14-'Balance Sheet'!I31</f>
        <v>0</v>
      </c>
      <c r="J32" s="18" t="n">
        <f aca="false">'Balance Sheet'!J14-'Balance Sheet'!J31</f>
        <v>0</v>
      </c>
      <c r="K32" s="18" t="n">
        <f aca="false">'Balance Sheet'!K14-'Balance Sheet'!K31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3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6" t="s">
        <v>253</v>
      </c>
    </row>
    <row r="2" customFormat="false" ht="15" hidden="false" customHeight="false" outlineLevel="0" collapsed="false">
      <c r="A2" s="7" t="s">
        <v>254</v>
      </c>
    </row>
    <row r="3" customFormat="false" ht="15" hidden="false" customHeight="false" outlineLevel="0" collapsed="false">
      <c r="C3" s="8" t="s">
        <v>22</v>
      </c>
      <c r="D3" s="8" t="s">
        <v>23</v>
      </c>
      <c r="E3" s="8" t="s">
        <v>24</v>
      </c>
      <c r="F3" s="8" t="s">
        <v>25</v>
      </c>
      <c r="G3" s="8" t="s">
        <v>26</v>
      </c>
      <c r="H3" s="8" t="s">
        <v>27</v>
      </c>
    </row>
    <row r="4" customFormat="false" ht="15" hidden="false" customHeight="false" outlineLevel="0" collapsed="false">
      <c r="A4" s="9" t="s">
        <v>255</v>
      </c>
      <c r="B4" s="10"/>
      <c r="C4" s="10"/>
      <c r="D4" s="10"/>
      <c r="E4" s="10"/>
      <c r="F4" s="10"/>
      <c r="G4" s="10"/>
      <c r="H4" s="10"/>
      <c r="I4" s="10"/>
      <c r="J4" s="10"/>
      <c r="K4" s="10"/>
    </row>
    <row r="5" customFormat="false" ht="15" hidden="false" customHeight="false" outlineLevel="0" collapsed="false">
      <c r="A5" s="11" t="s">
        <v>213</v>
      </c>
      <c r="D5" s="12" t="n">
        <f aca="false">'Income Statement'!D25</f>
        <v>-1463.96833333333</v>
      </c>
      <c r="E5" s="12" t="n">
        <f aca="false">'Income Statement'!E25</f>
        <v>5546.17409465067</v>
      </c>
      <c r="F5" s="12" t="n">
        <f aca="false">'Income Statement'!F25</f>
        <v>10878.1318577949</v>
      </c>
      <c r="G5" s="12" t="n">
        <f aca="false">'Income Statement'!G25</f>
        <v>16907.8567896045</v>
      </c>
      <c r="H5" s="12" t="n">
        <f aca="false">'Income Statement'!H25</f>
        <v>20360.5415104177</v>
      </c>
    </row>
    <row r="6" customFormat="false" ht="15" hidden="false" customHeight="false" outlineLevel="0" collapsed="false">
      <c r="A6" s="11" t="s">
        <v>204</v>
      </c>
      <c r="D6" s="12" t="n">
        <f aca="false">Schedules!D22</f>
        <v>5268</v>
      </c>
      <c r="E6" s="12" t="n">
        <f aca="false">Schedules!E22</f>
        <v>5639.9824</v>
      </c>
      <c r="F6" s="12" t="n">
        <f aca="false">Schedules!F22</f>
        <v>6224.836752</v>
      </c>
      <c r="G6" s="12" t="n">
        <f aca="false">Schedules!G22</f>
        <v>6988.21430896</v>
      </c>
      <c r="H6" s="12" t="n">
        <f aca="false">Schedules!H22</f>
        <v>7853.2829785008</v>
      </c>
    </row>
    <row r="7" customFormat="false" ht="15" hidden="false" customHeight="false" outlineLevel="0" collapsed="false">
      <c r="A7" s="11" t="s">
        <v>205</v>
      </c>
      <c r="D7" s="12" t="n">
        <f aca="false">Schedules!D26</f>
        <v>1633.33333333333</v>
      </c>
      <c r="E7" s="12" t="n">
        <f aca="false">Schedules!E26</f>
        <v>1633.33333333333</v>
      </c>
      <c r="F7" s="12" t="n">
        <f aca="false">Schedules!F26</f>
        <v>1633.33333333333</v>
      </c>
      <c r="G7" s="12" t="n">
        <f aca="false">Schedules!G26</f>
        <v>1633.33333333333</v>
      </c>
      <c r="H7" s="12" t="n">
        <f aca="false">Schedules!H26</f>
        <v>1633.33333333333</v>
      </c>
    </row>
    <row r="8" customFormat="false" ht="15" hidden="false" customHeight="false" outlineLevel="0" collapsed="false">
      <c r="A8" s="11" t="s">
        <v>256</v>
      </c>
      <c r="D8" s="12" t="n">
        <f aca="false">Assumptions!D29*'Income Statement'!D8</f>
        <v>1629.33</v>
      </c>
      <c r="E8" s="12" t="n">
        <f aca="false">Assumptions!E29*'Income Statement'!E8</f>
        <v>2073.68865</v>
      </c>
      <c r="F8" s="12" t="n">
        <f aca="false">Assumptions!F29*'Income Statement'!F8</f>
        <v>2500.27645</v>
      </c>
      <c r="G8" s="12" t="n">
        <f aca="false">Assumptions!G29*'Income Statement'!G8</f>
        <v>2855.9181285</v>
      </c>
      <c r="H8" s="12" t="n">
        <f aca="false">Assumptions!H29*'Income Statement'!H8</f>
        <v>3106.5939124</v>
      </c>
    </row>
    <row r="9" customFormat="false" ht="15" hidden="false" customHeight="false" outlineLevel="0" collapsed="false">
      <c r="A9" s="11" t="s">
        <v>257</v>
      </c>
      <c r="D9" s="12" t="n">
        <f aca="false">Schedules!D29</f>
        <v>-343</v>
      </c>
      <c r="E9" s="12" t="n">
        <f aca="false">Schedules!E29</f>
        <v>-343</v>
      </c>
      <c r="F9" s="12" t="n">
        <f aca="false">Schedules!F29</f>
        <v>-343</v>
      </c>
      <c r="G9" s="12" t="n">
        <f aca="false">Schedules!G29</f>
        <v>-343</v>
      </c>
      <c r="H9" s="12" t="n">
        <f aca="false">Schedules!H29</f>
        <v>-343</v>
      </c>
    </row>
    <row r="10" customFormat="false" ht="15" hidden="false" customHeight="false" outlineLevel="0" collapsed="false">
      <c r="A10" s="11" t="s">
        <v>258</v>
      </c>
      <c r="D10" s="12" t="n">
        <f aca="false">-('Balance Sheet'!G5-'Balance Sheet'!F5)</f>
        <v>-886.12145</v>
      </c>
      <c r="E10" s="12" t="n">
        <f aca="false">-('Balance Sheet'!H5-'Balance Sheet'!G5)</f>
        <v>-1412.367827</v>
      </c>
      <c r="F10" s="12" t="n">
        <f aca="false">-('Balance Sheet'!I5-'Balance Sheet'!H5)</f>
        <v>-1647.2510561</v>
      </c>
      <c r="G10" s="12" t="n">
        <f aca="false">-('Balance Sheet'!J5-'Balance Sheet'!I5)</f>
        <v>-1802.20272037</v>
      </c>
      <c r="H10" s="12" t="n">
        <f aca="false">-('Balance Sheet'!K5-'Balance Sheet'!J5)</f>
        <v>-1901.380068289</v>
      </c>
    </row>
    <row r="11" customFormat="false" ht="15" hidden="false" customHeight="false" outlineLevel="0" collapsed="false">
      <c r="A11" s="11" t="s">
        <v>259</v>
      </c>
      <c r="D11" s="12" t="n">
        <f aca="false">-('Balance Sheet'!G6-'Balance Sheet'!F6)</f>
        <v>-1270.60945</v>
      </c>
      <c r="E11" s="12" t="n">
        <f aca="false">-('Balance Sheet'!H6-'Balance Sheet'!G6)</f>
        <v>-1581.134707</v>
      </c>
      <c r="F11" s="12" t="n">
        <f aca="false">-('Balance Sheet'!I6-'Balance Sheet'!H6)</f>
        <v>-1844.0846401</v>
      </c>
      <c r="G11" s="12" t="n">
        <f aca="false">-('Balance Sheet'!J6-'Balance Sheet'!I6)</f>
        <v>-2017.55181317</v>
      </c>
      <c r="H11" s="12" t="n">
        <f aca="false">-('Balance Sheet'!K6-'Balance Sheet'!J6)</f>
        <v>-2128.580076449</v>
      </c>
    </row>
    <row r="12" customFormat="false" ht="15" hidden="false" customHeight="false" outlineLevel="0" collapsed="false">
      <c r="A12" s="11" t="s">
        <v>260</v>
      </c>
      <c r="D12" s="12" t="n">
        <f aca="false">-('Balance Sheet'!G7-'Balance Sheet'!F7)</f>
        <v>-530.58665</v>
      </c>
      <c r="E12" s="12" t="n">
        <f aca="false">-('Balance Sheet'!H7-'Balance Sheet'!G7)</f>
        <v>-846.998779</v>
      </c>
      <c r="F12" s="12" t="n">
        <f aca="false">-('Balance Sheet'!I7-'Balance Sheet'!H7)</f>
        <v>-987.8585497</v>
      </c>
      <c r="G12" s="12" t="n">
        <f aca="false">-('Balance Sheet'!J7-'Balance Sheet'!I7)</f>
        <v>-1080.78325949</v>
      </c>
      <c r="H12" s="12" t="n">
        <f aca="false">-('Balance Sheet'!K7-'Balance Sheet'!J7)</f>
        <v>-1140.260040953</v>
      </c>
    </row>
    <row r="13" customFormat="false" ht="15" hidden="false" customHeight="false" outlineLevel="0" collapsed="false">
      <c r="A13" s="11" t="s">
        <v>261</v>
      </c>
      <c r="D13" s="12" t="n">
        <f aca="false">('Balance Sheet'!G16-'Balance Sheet'!F16)</f>
        <v>1120.60945</v>
      </c>
      <c r="E13" s="12" t="n">
        <f aca="false">('Balance Sheet'!H16-'Balance Sheet'!G16)</f>
        <v>1581.134707</v>
      </c>
      <c r="F13" s="12" t="n">
        <f aca="false">('Balance Sheet'!I16-'Balance Sheet'!H16)</f>
        <v>1844.0846401</v>
      </c>
      <c r="G13" s="12" t="n">
        <f aca="false">('Balance Sheet'!J16-'Balance Sheet'!I16)</f>
        <v>2017.55181317</v>
      </c>
      <c r="H13" s="12" t="n">
        <f aca="false">('Balance Sheet'!K16-'Balance Sheet'!J16)</f>
        <v>2128.580076449</v>
      </c>
    </row>
    <row r="14" customFormat="false" ht="15" hidden="false" customHeight="false" outlineLevel="0" collapsed="false">
      <c r="A14" s="11" t="s">
        <v>262</v>
      </c>
      <c r="D14" s="12" t="n">
        <f aca="false">('Balance Sheet'!G17-'Balance Sheet'!F17)</f>
        <v>621.1505</v>
      </c>
      <c r="E14" s="12" t="n">
        <f aca="false">('Balance Sheet'!H17-'Balance Sheet'!G17)</f>
        <v>959.861629999999</v>
      </c>
      <c r="F14" s="12" t="n">
        <f aca="false">('Balance Sheet'!I17-'Balance Sheet'!H17)</f>
        <v>1119.491009</v>
      </c>
      <c r="G14" s="12" t="n">
        <f aca="false">('Balance Sheet'!J17-'Balance Sheet'!I17)</f>
        <v>1224.7979653</v>
      </c>
      <c r="H14" s="12" t="n">
        <f aca="false">('Balance Sheet'!K17-'Balance Sheet'!J17)</f>
        <v>1292.20004641</v>
      </c>
    </row>
    <row r="15" customFormat="false" ht="15" hidden="false" customHeight="false" outlineLevel="0" collapsed="false">
      <c r="A15" s="11" t="s">
        <v>263</v>
      </c>
      <c r="D15" s="12" t="n">
        <f aca="false">('Balance Sheet'!G18-'Balance Sheet'!F18)</f>
        <v>970.60945</v>
      </c>
      <c r="E15" s="12" t="n">
        <f aca="false">('Balance Sheet'!H18-'Balance Sheet'!G18)</f>
        <v>1581.134707</v>
      </c>
      <c r="F15" s="12" t="n">
        <f aca="false">('Balance Sheet'!I18-'Balance Sheet'!H18)</f>
        <v>1844.0846401</v>
      </c>
      <c r="G15" s="12" t="n">
        <f aca="false">('Balance Sheet'!J18-'Balance Sheet'!I18)</f>
        <v>2017.55181317</v>
      </c>
      <c r="H15" s="12" t="n">
        <f aca="false">('Balance Sheet'!K18-'Balance Sheet'!J18)</f>
        <v>2128.580076449</v>
      </c>
    </row>
    <row r="16" customFormat="false" ht="15" hidden="false" customHeight="false" outlineLevel="0" collapsed="false">
      <c r="A16" s="11" t="s">
        <v>264</v>
      </c>
      <c r="D16" s="12" t="n">
        <f aca="false">('Balance Sheet'!G19-'Balance Sheet'!F19)</f>
        <v>861.71435</v>
      </c>
      <c r="E16" s="12" t="n">
        <f aca="false">('Balance Sheet'!H19-'Balance Sheet'!G19)</f>
        <v>1072.724481</v>
      </c>
      <c r="F16" s="12" t="n">
        <f aca="false">('Balance Sheet'!I19-'Balance Sheet'!H19)</f>
        <v>1251.1234683</v>
      </c>
      <c r="G16" s="12" t="n">
        <f aca="false">('Balance Sheet'!J19-'Balance Sheet'!I19)</f>
        <v>1368.81267111</v>
      </c>
      <c r="H16" s="12" t="n">
        <f aca="false">('Balance Sheet'!K19-'Balance Sheet'!J19)</f>
        <v>1444.140051867</v>
      </c>
    </row>
    <row r="17" customFormat="false" ht="15" hidden="false" customHeight="false" outlineLevel="0" collapsed="false">
      <c r="A17" s="11" t="s">
        <v>265</v>
      </c>
      <c r="D17" s="12" t="n">
        <f aca="false">('Balance Sheet'!G23-'Balance Sheet'!F23)</f>
        <v>0</v>
      </c>
      <c r="E17" s="12" t="n">
        <f aca="false">('Balance Sheet'!H23-'Balance Sheet'!G23)</f>
        <v>0</v>
      </c>
      <c r="F17" s="12" t="n">
        <f aca="false">('Balance Sheet'!I23-'Balance Sheet'!H23)</f>
        <v>0</v>
      </c>
      <c r="G17" s="12" t="n">
        <f aca="false">('Balance Sheet'!J23-'Balance Sheet'!I23)</f>
        <v>0</v>
      </c>
      <c r="H17" s="12" t="n">
        <f aca="false">('Balance Sheet'!K23-'Balance Sheet'!J23)</f>
        <v>0</v>
      </c>
    </row>
    <row r="18" customFormat="false" ht="15" hidden="false" customHeight="false" outlineLevel="0" collapsed="false">
      <c r="A18" s="4" t="s">
        <v>266</v>
      </c>
      <c r="D18" s="14" t="n">
        <f aca="false">'Cash Flow'!D5+'Cash Flow'!D6+'Cash Flow'!D7+'Cash Flow'!D8+'Cash Flow'!D9+'Cash Flow'!D10+'Cash Flow'!D11+'Cash Flow'!D12+'Cash Flow'!D13+'Cash Flow'!D14+'Cash Flow'!D15+'Cash Flow'!D16+'Cash Flow'!D17</f>
        <v>7610.4612</v>
      </c>
      <c r="E18" s="14" t="n">
        <f aca="false">'Cash Flow'!E5+'Cash Flow'!E6+'Cash Flow'!E7+'Cash Flow'!E8+'Cash Flow'!E9+'Cash Flow'!E10+'Cash Flow'!E11+'Cash Flow'!E12+'Cash Flow'!E13+'Cash Flow'!E14+'Cash Flow'!E15+'Cash Flow'!E16+'Cash Flow'!E17</f>
        <v>15904.532689984</v>
      </c>
      <c r="F18" s="14" t="n">
        <f aca="false">'Cash Flow'!F5+'Cash Flow'!F6+'Cash Flow'!F7+'Cash Flow'!F8+'Cash Flow'!F9+'Cash Flow'!F10+'Cash Flow'!F11+'Cash Flow'!F12+'Cash Flow'!F13+'Cash Flow'!F14+'Cash Flow'!F15+'Cash Flow'!F16+'Cash Flow'!F17</f>
        <v>22473.1679047282</v>
      </c>
      <c r="G18" s="14" t="n">
        <f aca="false">'Cash Flow'!G5+'Cash Flow'!G6+'Cash Flow'!G7+'Cash Flow'!G8+'Cash Flow'!G9+'Cash Flow'!G10+'Cash Flow'!G11+'Cash Flow'!G12+'Cash Flow'!G13+'Cash Flow'!G14+'Cash Flow'!G15+'Cash Flow'!G16+'Cash Flow'!G17</f>
        <v>29770.4990301178</v>
      </c>
      <c r="H18" s="14" t="n">
        <f aca="false">'Cash Flow'!H5+'Cash Flow'!H6+'Cash Flow'!H7+'Cash Flow'!H8+'Cash Flow'!H9+'Cash Flow'!H10+'Cash Flow'!H11+'Cash Flow'!H12+'Cash Flow'!H13+'Cash Flow'!H14+'Cash Flow'!H15+'Cash Flow'!H16+'Cash Flow'!H17</f>
        <v>34434.0318001358</v>
      </c>
    </row>
    <row r="19" customFormat="false" ht="15" hidden="false" customHeight="false" outlineLevel="0" collapsed="false">
      <c r="A19" s="9" t="s">
        <v>267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customFormat="false" ht="15" hidden="false" customHeight="false" outlineLevel="0" collapsed="false">
      <c r="A20" s="11" t="s">
        <v>268</v>
      </c>
      <c r="D20" s="12" t="n">
        <f aca="false">-Schedules!D21</f>
        <v>-8421.22</v>
      </c>
      <c r="E20" s="12" t="n">
        <f aca="false">-Schedules!E21</f>
        <v>-10483.839</v>
      </c>
      <c r="F20" s="12" t="n">
        <f aca="false">-Schedules!F21</f>
        <v>-12518.29183</v>
      </c>
      <c r="G20" s="12" t="n">
        <f aca="false">-Schedules!G21</f>
        <v>-14123.98866</v>
      </c>
      <c r="H20" s="12" t="n">
        <f aca="false">-Schedules!H21</f>
        <v>-15711.2058378</v>
      </c>
    </row>
    <row r="21" customFormat="false" ht="15" hidden="false" customHeight="false" outlineLevel="0" collapsed="false">
      <c r="A21" s="4" t="s">
        <v>269</v>
      </c>
      <c r="D21" s="14" t="n">
        <f aca="false">'Cash Flow'!D20</f>
        <v>-8421.22</v>
      </c>
      <c r="E21" s="14" t="n">
        <f aca="false">'Cash Flow'!E20</f>
        <v>-10483.839</v>
      </c>
      <c r="F21" s="14" t="n">
        <f aca="false">'Cash Flow'!F20</f>
        <v>-12518.29183</v>
      </c>
      <c r="G21" s="14" t="n">
        <f aca="false">'Cash Flow'!G20</f>
        <v>-14123.98866</v>
      </c>
      <c r="H21" s="14" t="n">
        <f aca="false">'Cash Flow'!H20</f>
        <v>-15711.2058378</v>
      </c>
    </row>
    <row r="22" customFormat="false" ht="15" hidden="false" customHeight="false" outlineLevel="0" collapsed="false">
      <c r="A22" s="9" t="s">
        <v>270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customFormat="false" ht="15" hidden="false" customHeight="false" outlineLevel="0" collapsed="false">
      <c r="A23" s="11" t="s">
        <v>271</v>
      </c>
      <c r="D23" s="12" t="n">
        <f aca="false">Schedules!D33</f>
        <v>2000</v>
      </c>
      <c r="E23" s="12" t="n">
        <f aca="false">Schedules!E33</f>
        <v>2000</v>
      </c>
      <c r="F23" s="12" t="n">
        <f aca="false">Schedules!F33</f>
        <v>1500</v>
      </c>
      <c r="G23" s="12" t="n">
        <f aca="false">Schedules!G33</f>
        <v>1000</v>
      </c>
      <c r="H23" s="12" t="n">
        <f aca="false">Schedules!H33</f>
        <v>1000</v>
      </c>
    </row>
    <row r="24" customFormat="false" ht="15" hidden="false" customHeight="false" outlineLevel="0" collapsed="false">
      <c r="A24" s="11" t="s">
        <v>272</v>
      </c>
      <c r="D24" s="12" t="n">
        <f aca="false">Schedules!D36</f>
        <v>-2000</v>
      </c>
      <c r="E24" s="12" t="n">
        <f aca="false">Schedules!E36</f>
        <v>-2000</v>
      </c>
      <c r="F24" s="12" t="n">
        <f aca="false">Schedules!F36</f>
        <v>-2000</v>
      </c>
      <c r="G24" s="12" t="n">
        <f aca="false">Schedules!G36</f>
        <v>-2000</v>
      </c>
      <c r="H24" s="12" t="n">
        <f aca="false">Schedules!H36</f>
        <v>-2000</v>
      </c>
    </row>
    <row r="25" customFormat="false" ht="15" hidden="false" customHeight="false" outlineLevel="0" collapsed="false">
      <c r="A25" s="11" t="s">
        <v>273</v>
      </c>
      <c r="D25" s="12" t="n">
        <f aca="false">Assumptions!D32</f>
        <v>50000</v>
      </c>
      <c r="E25" s="12" t="n">
        <f aca="false">Assumptions!E32</f>
        <v>0</v>
      </c>
      <c r="F25" s="12" t="n">
        <f aca="false">Assumptions!F32</f>
        <v>0</v>
      </c>
      <c r="G25" s="12" t="n">
        <f aca="false">Assumptions!G32</f>
        <v>0</v>
      </c>
      <c r="H25" s="12" t="n">
        <f aca="false">Assumptions!H32</f>
        <v>0</v>
      </c>
    </row>
    <row r="26" customFormat="false" ht="15" hidden="false" customHeight="false" outlineLevel="0" collapsed="false">
      <c r="A26" s="4" t="s">
        <v>274</v>
      </c>
      <c r="D26" s="14" t="n">
        <f aca="false">'Cash Flow'!D23+'Cash Flow'!D24+'Cash Flow'!D25</f>
        <v>50000</v>
      </c>
      <c r="E26" s="14" t="n">
        <f aca="false">'Cash Flow'!E23+'Cash Flow'!E24+'Cash Flow'!E25</f>
        <v>0</v>
      </c>
      <c r="F26" s="14" t="n">
        <f aca="false">'Cash Flow'!F23+'Cash Flow'!F24+'Cash Flow'!F25</f>
        <v>-500</v>
      </c>
      <c r="G26" s="14" t="n">
        <f aca="false">'Cash Flow'!G23+'Cash Flow'!G24+'Cash Flow'!G25</f>
        <v>-1000</v>
      </c>
      <c r="H26" s="14" t="n">
        <f aca="false">'Cash Flow'!H23+'Cash Flow'!H24+'Cash Flow'!H25</f>
        <v>-1000</v>
      </c>
    </row>
    <row r="27" customFormat="false" ht="15" hidden="false" customHeight="false" outlineLevel="0" collapsed="false">
      <c r="A27" s="4" t="s">
        <v>275</v>
      </c>
      <c r="D27" s="14" t="n">
        <f aca="false">'Cash Flow'!D18+'Cash Flow'!D21+'Cash Flow'!D26</f>
        <v>49189.2412</v>
      </c>
      <c r="E27" s="14" t="n">
        <f aca="false">'Cash Flow'!E18+'Cash Flow'!E21+'Cash Flow'!E26</f>
        <v>5420.693689984</v>
      </c>
      <c r="F27" s="14" t="n">
        <f aca="false">'Cash Flow'!F18+'Cash Flow'!F21+'Cash Flow'!F26</f>
        <v>9454.87607472819</v>
      </c>
      <c r="G27" s="14" t="n">
        <f aca="false">'Cash Flow'!G18+'Cash Flow'!G21+'Cash Flow'!G26</f>
        <v>14646.5103701178</v>
      </c>
      <c r="H27" s="14" t="n">
        <f aca="false">'Cash Flow'!H18+'Cash Flow'!H21+'Cash Flow'!H26</f>
        <v>17722.8259623358</v>
      </c>
    </row>
    <row r="28" customFormat="false" ht="15" hidden="false" customHeight="false" outlineLevel="0" collapsed="false">
      <c r="A28" s="11" t="s">
        <v>276</v>
      </c>
      <c r="D28" s="12" t="n">
        <f aca="false">'Balance Sheet'!F4</f>
        <v>15000</v>
      </c>
      <c r="E28" s="12" t="n">
        <f aca="false">'Cash Flow'!D29</f>
        <v>64189.2412</v>
      </c>
      <c r="F28" s="12" t="n">
        <f aca="false">'Cash Flow'!E29</f>
        <v>69609.934889984</v>
      </c>
      <c r="G28" s="12" t="n">
        <f aca="false">'Cash Flow'!F29</f>
        <v>79064.8109647122</v>
      </c>
      <c r="H28" s="12" t="n">
        <f aca="false">'Cash Flow'!G29</f>
        <v>93711.32133483</v>
      </c>
    </row>
    <row r="29" customFormat="false" ht="15" hidden="false" customHeight="false" outlineLevel="0" collapsed="false">
      <c r="A29" s="4" t="s">
        <v>277</v>
      </c>
      <c r="D29" s="26" t="n">
        <f aca="false">'Cash Flow'!D28+'Cash Flow'!D27</f>
        <v>64189.2412</v>
      </c>
      <c r="E29" s="26" t="n">
        <f aca="false">'Cash Flow'!E28+'Cash Flow'!E27</f>
        <v>69609.934889984</v>
      </c>
      <c r="F29" s="26" t="n">
        <f aca="false">'Cash Flow'!F28+'Cash Flow'!F27</f>
        <v>79064.8109647122</v>
      </c>
      <c r="G29" s="26" t="n">
        <f aca="false">'Cash Flow'!G28+'Cash Flow'!G27</f>
        <v>93711.32133483</v>
      </c>
      <c r="H29" s="26" t="n">
        <f aca="false">'Cash Flow'!H28+'Cash Flow'!H27</f>
        <v>111434.147297166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11" min="3" style="0" width="13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6" t="s">
        <v>278</v>
      </c>
    </row>
    <row r="2" customFormat="false" ht="15" hidden="false" customHeight="false" outlineLevel="0" collapsed="false">
      <c r="C2" s="8" t="s">
        <v>22</v>
      </c>
      <c r="D2" s="8" t="s">
        <v>23</v>
      </c>
      <c r="E2" s="8" t="s">
        <v>24</v>
      </c>
      <c r="F2" s="8" t="s">
        <v>25</v>
      </c>
      <c r="G2" s="8" t="s">
        <v>26</v>
      </c>
      <c r="H2" s="8" t="s">
        <v>27</v>
      </c>
    </row>
    <row r="3" customFormat="false" ht="15" hidden="false" customHeight="false" outlineLevel="0" collapsed="false">
      <c r="A3" s="4" t="s">
        <v>279</v>
      </c>
      <c r="C3" s="18" t="n">
        <f aca="false">'Balance Sheet'!C32</f>
        <v>0</v>
      </c>
      <c r="D3" s="18" t="n">
        <f aca="false">'Balance Sheet'!G32</f>
        <v>0</v>
      </c>
      <c r="E3" s="18" t="n">
        <f aca="false">'Balance Sheet'!H32</f>
        <v>0</v>
      </c>
      <c r="F3" s="18" t="n">
        <f aca="false">'Balance Sheet'!I32</f>
        <v>0</v>
      </c>
      <c r="G3" s="18" t="n">
        <f aca="false">'Balance Sheet'!J32</f>
        <v>0</v>
      </c>
      <c r="H3" s="18" t="n">
        <f aca="false">'Balance Sheet'!K32</f>
        <v>0</v>
      </c>
    </row>
    <row r="4" customFormat="false" ht="15" hidden="false" customHeight="false" outlineLevel="0" collapsed="false">
      <c r="A4" s="4" t="s">
        <v>280</v>
      </c>
      <c r="C4" s="28" t="s">
        <v>281</v>
      </c>
      <c r="D4" s="18" t="n">
        <f aca="false">'Cash Flow'!D29-'Balance Sheet'!G4</f>
        <v>0</v>
      </c>
      <c r="E4" s="18" t="n">
        <f aca="false">'Cash Flow'!E29-'Balance Sheet'!H4</f>
        <v>0</v>
      </c>
      <c r="F4" s="18" t="n">
        <f aca="false">'Cash Flow'!F29-'Balance Sheet'!I4</f>
        <v>0</v>
      </c>
      <c r="G4" s="18" t="n">
        <f aca="false">'Cash Flow'!G29-'Balance Sheet'!J4</f>
        <v>0</v>
      </c>
      <c r="H4" s="18" t="n">
        <f aca="false">'Cash Flow'!H29-'Balance Sheet'!K4</f>
        <v>0</v>
      </c>
    </row>
    <row r="5" customFormat="false" ht="15" hidden="false" customHeight="false" outlineLevel="0" collapsed="false">
      <c r="A5" s="4" t="s">
        <v>282</v>
      </c>
      <c r="C5" s="18" t="n">
        <f aca="false">'Balance Sheet'!F32</f>
        <v>0</v>
      </c>
    </row>
    <row r="6" customFormat="false" ht="15" hidden="false" customHeight="false" outlineLevel="0" collapsed="false">
      <c r="A6" s="4" t="s">
        <v>283</v>
      </c>
      <c r="C6" s="18" t="n">
        <f aca="false">Segments!C49-'Income Statement'!C25</f>
        <v>0</v>
      </c>
      <c r="D6" s="18" t="n">
        <f aca="false">Segments!D49-'Income Statement'!D25</f>
        <v>0</v>
      </c>
      <c r="E6" s="18" t="n">
        <f aca="false">Segments!E49-'Income Statement'!E25</f>
        <v>0</v>
      </c>
      <c r="F6" s="18" t="n">
        <f aca="false">Segments!F49-'Income Statement'!F25</f>
        <v>0</v>
      </c>
      <c r="G6" s="18" t="n">
        <f aca="false">Segments!G49-'Income Statement'!G25</f>
        <v>0</v>
      </c>
      <c r="H6" s="18" t="n">
        <f aca="false">Segments!H49-'Income Statement'!H25</f>
        <v>0</v>
      </c>
    </row>
    <row r="7" customFormat="false" ht="15" hidden="false" customHeight="false" outlineLevel="0" collapsed="false">
      <c r="A7" s="4" t="s">
        <v>284</v>
      </c>
      <c r="C7" s="19" t="n">
        <f aca="false">Segments!C50-'Income Statement'!C28</f>
        <v>0</v>
      </c>
      <c r="D7" s="19" t="n">
        <f aca="false">Segments!D50-'Income Statement'!D28</f>
        <v>0</v>
      </c>
      <c r="E7" s="19" t="n">
        <f aca="false">Segments!E50-'Income Statement'!E28</f>
        <v>0</v>
      </c>
      <c r="F7" s="19" t="n">
        <f aca="false">Segments!F50-'Income Statement'!F28</f>
        <v>0</v>
      </c>
      <c r="G7" s="19" t="n">
        <f aca="false">Segments!G50-'Income Statement'!G28</f>
        <v>0</v>
      </c>
      <c r="H7" s="19" t="n">
        <f aca="false">Segments!H50-'Income Statement'!H28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2026-06-20T21:29:21Z</dcterms:created>
  <dc:creator>openpyxl</dc:creator>
  <dc:description/>
  <dc:language>en-US</dc:language>
  <cp:lastModifiedBy/>
  <dcterms:modified xsi:type="dcterms:W3CDTF">2026-06-20T21:29:21Z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