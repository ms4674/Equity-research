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IS SpaceX" sheetId="3" state="visible" r:id="rId3"/>
    <sheet name="IS Cursor" sheetId="4" state="visible" r:id="rId4"/>
    <sheet name="Deal &amp; PPA" sheetId="5" state="visible" r:id="rId5"/>
    <sheet name="Schedules" sheetId="6" state="visible" r:id="rId6"/>
    <sheet name="Income Statement" sheetId="7" state="visible" r:id="rId7"/>
    <sheet name="Balance Sheet" sheetId="8" state="visible" r:id="rId8"/>
    <sheet name="Cash Flow" sheetId="9" state="visible" r:id="rId9"/>
    <sheet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#,##0.0;(#,##0.0)"/>
  </numFmts>
  <fonts count="12">
    <font>
      <name val="Calibri"/>
      <family val="2"/>
      <color theme="1"/>
      <sz val="11"/>
      <scheme val="minor"/>
    </font>
    <font>
      <b val="1"/>
      <color rgb="000B1F3A"/>
      <sz val="16"/>
    </font>
    <font>
      <b val="1"/>
      <color rgb="000B1F3A"/>
    </font>
    <font>
      <i val="1"/>
      <color rgb="00595959"/>
      <sz val="9"/>
    </font>
    <font>
      <b val="1"/>
    </font>
    <font>
      <b val="1"/>
      <color rgb="000B1F3A"/>
      <sz val="24"/>
    </font>
    <font>
      <b val="1"/>
      <color rgb="001F4E79"/>
      <sz val="16"/>
    </font>
    <font>
      <sz val="10"/>
    </font>
    <font>
      <i val="1"/>
      <color rgb="00808080"/>
      <sz val="9"/>
    </font>
    <font>
      <b val="1"/>
      <color rgb="00000000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top style="thin">
        <color rgb="00404040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49" fontId="10" fillId="3" borderId="0" applyAlignment="1" pivotButton="0" quotePrefix="0" xfId="0">
      <alignment horizontal="right"/>
    </xf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indent="1"/>
    </xf>
    <xf numFmtId="164" fontId="11" fillId="0" borderId="0" pivotButton="0" quotePrefix="0" xfId="0"/>
    <xf numFmtId="165" fontId="11" fillId="0" borderId="0" pivotButton="0" quotePrefix="0" xfId="0"/>
    <xf numFmtId="0" fontId="3" fillId="0" borderId="0" pivotButton="0" quotePrefix="0" xfId="0"/>
    <xf numFmtId="166" fontId="11" fillId="0" borderId="0" pivotButton="0" quotePrefix="0" xfId="0"/>
    <xf numFmtId="4" fontId="11" fillId="0" borderId="0" pivotButton="0" quotePrefix="0" xfId="0"/>
    <xf numFmtId="164" fontId="0" fillId="0" borderId="0" pivotButton="0" quotePrefix="0" xfId="0"/>
    <xf numFmtId="164" fontId="9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" fontId="11" fillId="0" borderId="0" pivotButton="0" quotePrefix="0" xfId="0"/>
    <xf numFmtId="164" fontId="9" fillId="0" borderId="1" pivotButton="0" quotePrefix="0" xfId="0"/>
    <xf numFmtId="49" fontId="10" fillId="3" borderId="0" applyAlignment="1" pivotButton="0" quotePrefix="0" xfId="0">
      <alignment horizontal="right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2">
      <c r="B2" s="1" t="inlineStr">
        <is>
          <t>SpaceX  ×  Cursor</t>
        </is>
      </c>
    </row>
    <row r="3">
      <c r="B3" s="2" t="inlineStr">
        <is>
          <t>Pro-Forma Three-Statement Model</t>
        </is>
      </c>
    </row>
    <row r="5">
      <c r="B5" s="3" t="inlineStr"/>
    </row>
    <row r="6">
      <c r="B6" s="3" t="inlineStr">
        <is>
          <t>Transaction: SpaceX acquires Cursor (Anysphere, Inc.) — announced 16-Jun-2026</t>
        </is>
      </c>
    </row>
    <row r="7">
      <c r="B7" s="3" t="inlineStr">
        <is>
          <t>Consideration: ~US$60bn, 100% SpaceX Class A stock; expected close Q3-2026</t>
        </is>
      </c>
    </row>
    <row r="8">
      <c r="B8" s="3" t="inlineStr">
        <is>
          <t>Strategic rationale: AI / developer-tools capability following the Feb-2026 xAI combination</t>
        </is>
      </c>
    </row>
    <row r="9">
      <c r="B9" s="3" t="inlineStr"/>
    </row>
    <row r="10">
      <c r="B10" s="4" t="inlineStr">
        <is>
          <t>Contents:</t>
        </is>
      </c>
    </row>
    <row r="11">
      <c r="B11" s="3" t="inlineStr">
        <is>
          <t xml:space="preserve">   • Assumptions — all input drivers (blue cells are editable inputs)</t>
        </is>
      </c>
    </row>
    <row r="12">
      <c r="B12" s="3" t="inlineStr">
        <is>
          <t xml:space="preserve">   • IS SpaceX / IS Cursor — standalone operating builds</t>
        </is>
      </c>
    </row>
    <row r="13">
      <c r="B13" s="3" t="inlineStr">
        <is>
          <t xml:space="preserve">   • Deal &amp; PPA — purchase price allocation, goodwill, intangibles</t>
        </is>
      </c>
    </row>
    <row r="14">
      <c r="B14" s="3" t="inlineStr">
        <is>
          <t xml:space="preserve">   • Schedules — PP&amp;E, intangibles/DTL, debt &amp; spectrum, tax/NOL</t>
        </is>
      </c>
    </row>
    <row r="15">
      <c r="B15" s="3" t="inlineStr">
        <is>
          <t xml:space="preserve">   • Income Statement — pro-forma combined P&amp;L</t>
        </is>
      </c>
    </row>
    <row r="16">
      <c r="B16" s="3" t="inlineStr">
        <is>
          <t xml:space="preserve">   • Balance Sheet — purchase-accounting bridge + projections</t>
        </is>
      </c>
    </row>
    <row r="17">
      <c r="B17" s="3" t="inlineStr">
        <is>
          <t xml:space="preserve">   • Cash Flow — integrated cash flow statement</t>
        </is>
      </c>
    </row>
    <row r="18">
      <c r="B18" s="3" t="inlineStr">
        <is>
          <t xml:space="preserve">   • Checks — balance-sheet and cash-flow integrity checks</t>
        </is>
      </c>
    </row>
    <row r="19">
      <c r="B19" s="3" t="inlineStr"/>
    </row>
    <row r="20">
      <c r="B20" s="3" t="inlineStr">
        <is>
          <t>All figures in US$ millions unless stated. The workbook is fully formula-linked:</t>
        </is>
      </c>
    </row>
    <row r="21">
      <c r="B21" s="3" t="inlineStr">
        <is>
          <t>change any blue input on the Assumptions tab and all three statements recalculate.</t>
        </is>
      </c>
    </row>
    <row r="22">
      <c r="B22" s="3" t="inlineStr"/>
    </row>
    <row r="23">
      <c r="B23" s="5" t="inlineStr">
        <is>
          <t>DISCLAIMER: Illustrative model for analytical purposes only. Built from public</t>
        </is>
      </c>
    </row>
    <row r="24">
      <c r="B24" s="3" t="inlineStr">
        <is>
          <t>estimates and reasonable assumptions; not investment advice and not company-verified.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ASSUMPTIONS &amp; DRIVERS  (US$ millions unless noted; blue = input)</t>
        </is>
      </c>
    </row>
    <row r="2">
      <c r="A2" t="inlineStr"/>
      <c r="C2" s="7" t="inlineStr">
        <is>
          <t>2025A</t>
        </is>
      </c>
      <c r="D2" s="7" t="inlineStr">
        <is>
          <t>2026E</t>
        </is>
      </c>
      <c r="E2" s="7" t="inlineStr">
        <is>
          <t>2027E</t>
        </is>
      </c>
      <c r="F2" s="7" t="inlineStr">
        <is>
          <t>2028E</t>
        </is>
      </c>
      <c r="G2" s="7" t="inlineStr">
        <is>
          <t>2029E</t>
        </is>
      </c>
      <c r="H2" s="7" t="inlineStr">
        <is>
          <t>2030E</t>
        </is>
      </c>
    </row>
    <row r="3">
      <c r="A3" s="8" t="inlineStr">
        <is>
          <t>SpaceX standalone (consolidated, incl. Starlink, launch, Starshield, xAI)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10" t="inlineStr">
        <is>
          <t xml:space="preserve">  Revenue, FY2025 actual ($M)</t>
        </is>
      </c>
      <c r="C4" s="11" t="n">
        <v>18674</v>
      </c>
    </row>
    <row r="5">
      <c r="A5" s="10" t="inlineStr">
        <is>
          <t xml:space="preserve">  Revenue growth %</t>
        </is>
      </c>
      <c r="D5" s="12" t="n">
        <v>0.4</v>
      </c>
      <c r="E5" s="12" t="n">
        <v>0.35</v>
      </c>
      <c r="F5" s="12" t="n">
        <v>0.3</v>
      </c>
      <c r="G5" s="12" t="n">
        <v>0.25</v>
      </c>
      <c r="H5" s="12" t="n">
        <v>0.22</v>
      </c>
    </row>
    <row r="6">
      <c r="A6" s="10" t="inlineStr">
        <is>
          <t xml:space="preserve">  COGS % of revenue (ex-D&amp;A)</t>
        </is>
      </c>
      <c r="C6" s="12" t="n">
        <v>0.55</v>
      </c>
      <c r="D6" s="12" t="n">
        <v>0.535</v>
      </c>
      <c r="E6" s="12" t="n">
        <v>0.52</v>
      </c>
      <c r="F6" s="12" t="n">
        <v>0.505</v>
      </c>
      <c r="G6" s="12" t="n">
        <v>0.49</v>
      </c>
      <c r="H6" s="12" t="n">
        <v>0.48</v>
      </c>
    </row>
    <row r="7">
      <c r="A7" s="10" t="inlineStr">
        <is>
          <t xml:space="preserve">  R&amp;D % of revenue</t>
        </is>
      </c>
      <c r="C7" s="12" t="n">
        <v>0.22</v>
      </c>
      <c r="D7" s="12" t="n">
        <v>0.19</v>
      </c>
      <c r="E7" s="12" t="n">
        <v>0.17</v>
      </c>
      <c r="F7" s="12" t="n">
        <v>0.15</v>
      </c>
      <c r="G7" s="12" t="n">
        <v>0.135</v>
      </c>
      <c r="H7" s="12" t="n">
        <v>0.125</v>
      </c>
    </row>
    <row r="8">
      <c r="A8" s="10" t="inlineStr">
        <is>
          <t xml:space="preserve">  SG&amp;A % of revenue</t>
        </is>
      </c>
      <c r="C8" s="12" t="n">
        <v>0.147</v>
      </c>
      <c r="D8" s="12" t="n">
        <v>0.135</v>
      </c>
      <c r="E8" s="12" t="n">
        <v>0.125</v>
      </c>
      <c r="F8" s="12" t="n">
        <v>0.115</v>
      </c>
      <c r="G8" s="12" t="n">
        <v>0.105</v>
      </c>
      <c r="H8" s="12" t="n">
        <v>0.1</v>
      </c>
    </row>
    <row r="9">
      <c r="A9" s="8" t="inlineStr">
        <is>
          <t>Cursor / Anysphere standalone (AI coding platform)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10" t="inlineStr">
        <is>
          <t xml:space="preserve">  Revenue ($M)</t>
        </is>
      </c>
      <c r="C10" s="11" t="n">
        <v>450</v>
      </c>
      <c r="D10" s="11" t="n">
        <v>3000</v>
      </c>
      <c r="E10" s="11" t="n">
        <v>6500</v>
      </c>
      <c r="F10" s="11" t="n">
        <v>10000</v>
      </c>
      <c r="G10" s="11" t="n">
        <v>13500</v>
      </c>
      <c r="H10" s="11" t="n">
        <v>17000</v>
      </c>
    </row>
    <row r="11">
      <c r="A11" s="10" t="inlineStr">
        <is>
          <t xml:space="preserve">  COGS % of revenue (inference / cloud, ex-D&amp;A)</t>
        </is>
      </c>
      <c r="C11" s="12" t="n">
        <v>0.55</v>
      </c>
      <c r="D11" s="12" t="n">
        <v>0.5</v>
      </c>
      <c r="E11" s="12" t="n">
        <v>0.46</v>
      </c>
      <c r="F11" s="12" t="n">
        <v>0.43</v>
      </c>
      <c r="G11" s="12" t="n">
        <v>0.4</v>
      </c>
      <c r="H11" s="12" t="n">
        <v>0.38</v>
      </c>
    </row>
    <row r="12">
      <c r="A12" s="10" t="inlineStr">
        <is>
          <t xml:space="preserve">  R&amp;D % of revenue</t>
        </is>
      </c>
      <c r="C12" s="12" t="n">
        <v>0.4</v>
      </c>
      <c r="D12" s="12" t="n">
        <v>0.32</v>
      </c>
      <c r="E12" s="12" t="n">
        <v>0.28</v>
      </c>
      <c r="F12" s="12" t="n">
        <v>0.25</v>
      </c>
      <c r="G12" s="12" t="n">
        <v>0.23</v>
      </c>
      <c r="H12" s="12" t="n">
        <v>0.22</v>
      </c>
    </row>
    <row r="13">
      <c r="A13" s="10" t="inlineStr">
        <is>
          <t xml:space="preserve">  Sales &amp; marketing % of revenue</t>
        </is>
      </c>
      <c r="C13" s="12" t="n">
        <v>0.35</v>
      </c>
      <c r="D13" s="12" t="n">
        <v>0.3</v>
      </c>
      <c r="E13" s="12" t="n">
        <v>0.26</v>
      </c>
      <c r="F13" s="12" t="n">
        <v>0.22</v>
      </c>
      <c r="G13" s="12" t="n">
        <v>0.2</v>
      </c>
      <c r="H13" s="12" t="n">
        <v>0.18</v>
      </c>
    </row>
    <row r="14">
      <c r="A14" s="10" t="inlineStr">
        <is>
          <t xml:space="preserve">  G&amp;A % of revenue</t>
        </is>
      </c>
      <c r="C14" s="12" t="n">
        <v>0.15</v>
      </c>
      <c r="D14" s="12" t="n">
        <v>0.13</v>
      </c>
      <c r="E14" s="12" t="n">
        <v>0.11</v>
      </c>
      <c r="F14" s="12" t="n">
        <v>0.1</v>
      </c>
      <c r="G14" s="12" t="n">
        <v>0.09</v>
      </c>
      <c r="H14" s="12" t="n">
        <v>0.08</v>
      </c>
    </row>
    <row r="15">
      <c r="A15" s="8" t="inlineStr">
        <is>
          <t>Pro-forma adjustments (deal effects)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inlineStr">
        <is>
          <t xml:space="preserve">  Revenue synergies ($M)</t>
        </is>
      </c>
      <c r="C16" s="11" t="n">
        <v>0</v>
      </c>
      <c r="D16" s="11" t="n">
        <v>50</v>
      </c>
      <c r="E16" s="11" t="n">
        <v>200</v>
      </c>
      <c r="F16" s="11" t="n">
        <v>350</v>
      </c>
      <c r="G16" s="11" t="n">
        <v>450</v>
      </c>
      <c r="H16" s="11" t="n">
        <v>550</v>
      </c>
    </row>
    <row r="17">
      <c r="A17" s="10" t="inlineStr">
        <is>
          <t xml:space="preserve">  Cost synergies ($M) [in-source inference on xAI/Starlink]</t>
        </is>
      </c>
      <c r="C17" s="11" t="n">
        <v>0</v>
      </c>
      <c r="D17" s="11" t="n">
        <v>100</v>
      </c>
      <c r="E17" s="11" t="n">
        <v>350</v>
      </c>
      <c r="F17" s="11" t="n">
        <v>550</v>
      </c>
      <c r="G17" s="11" t="n">
        <v>700</v>
      </c>
      <c r="H17" s="11" t="n">
        <v>850</v>
      </c>
    </row>
    <row r="18">
      <c r="A18" s="10" t="inlineStr">
        <is>
          <t xml:space="preserve">  Integration &amp; one-time deal costs ($M)</t>
        </is>
      </c>
      <c r="C18" s="11" t="n">
        <v>0</v>
      </c>
      <c r="D18" s="11" t="n">
        <v>500</v>
      </c>
      <c r="E18" s="11" t="n">
        <v>0</v>
      </c>
      <c r="F18" s="11" t="n">
        <v>0</v>
      </c>
      <c r="G18" s="11" t="n">
        <v>0</v>
      </c>
      <c r="H18" s="11" t="n">
        <v>0</v>
      </c>
    </row>
    <row r="19">
      <c r="A19" s="8" t="inlineStr">
        <is>
          <t>Capital, financing &amp; other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10" t="inlineStr">
        <is>
          <t xml:space="preserve">  Capex % of combined revenue</t>
        </is>
      </c>
      <c r="C20" s="12" t="n">
        <v>0.26</v>
      </c>
      <c r="D20" s="12" t="n">
        <v>0.23</v>
      </c>
      <c r="E20" s="12" t="n">
        <v>0.21</v>
      </c>
      <c r="F20" s="12" t="n">
        <v>0.19</v>
      </c>
      <c r="G20" s="12" t="n">
        <v>0.175</v>
      </c>
      <c r="H20" s="12" t="n">
        <v>0.165</v>
      </c>
    </row>
    <row r="21">
      <c r="A21" s="10" t="inlineStr">
        <is>
          <t xml:space="preserve">  Depreciation % of beginning net PP&amp;E</t>
        </is>
      </c>
      <c r="C21" s="12" t="n">
        <v>0.09</v>
      </c>
    </row>
    <row r="22">
      <c r="A22" s="10" t="inlineStr">
        <is>
          <t xml:space="preserve">  Stock-based comp % of revenue</t>
        </is>
      </c>
      <c r="C22" s="12" t="n">
        <v>0.06</v>
      </c>
      <c r="D22" s="12" t="n">
        <v>0.06</v>
      </c>
      <c r="E22" s="12" t="n">
        <v>0.055</v>
      </c>
      <c r="F22" s="12" t="n">
        <v>0.05</v>
      </c>
      <c r="G22" s="12" t="n">
        <v>0.045</v>
      </c>
      <c r="H22" s="12" t="n">
        <v>0.04</v>
      </c>
    </row>
    <row r="23">
      <c r="A23" s="10" t="inlineStr">
        <is>
          <t xml:space="preserve">  Net new long-term debt ($M)</t>
        </is>
      </c>
      <c r="C23" s="11" t="n">
        <v>0</v>
      </c>
      <c r="D23" s="11" t="n">
        <v>2000</v>
      </c>
      <c r="E23" s="11" t="n">
        <v>2000</v>
      </c>
      <c r="F23" s="11" t="n">
        <v>1500</v>
      </c>
      <c r="G23" s="11" t="n">
        <v>1000</v>
      </c>
      <c r="H23" s="11" t="n">
        <v>1000</v>
      </c>
    </row>
    <row r="24">
      <c r="A24" s="10" t="inlineStr">
        <is>
          <t xml:space="preserve">  Spectrum obligation repayment ($M)</t>
        </is>
      </c>
      <c r="C24" s="11" t="n">
        <v>0</v>
      </c>
      <c r="D24" s="11" t="n">
        <v>-2000</v>
      </c>
      <c r="E24" s="11" t="n">
        <v>-2000</v>
      </c>
      <c r="F24" s="11" t="n">
        <v>-2000</v>
      </c>
      <c r="G24" s="11" t="n">
        <v>-2000</v>
      </c>
      <c r="H24" s="11" t="n">
        <v>-2000</v>
      </c>
    </row>
    <row r="25">
      <c r="A25" s="10" t="inlineStr">
        <is>
          <t xml:space="preserve">  Primary equity issuance / IPO proceeds ($M)</t>
        </is>
      </c>
      <c r="C25" s="11" t="n">
        <v>0</v>
      </c>
      <c r="D25" s="11" t="n">
        <v>50000</v>
      </c>
      <c r="E25" s="11" t="n">
        <v>0</v>
      </c>
      <c r="F25" s="11" t="n">
        <v>0</v>
      </c>
      <c r="G25" s="11" t="n">
        <v>0</v>
      </c>
      <c r="H25" s="11" t="n">
        <v>0</v>
      </c>
      <c r="L25" s="13" t="inlineStr">
        <is>
          <t>SpaceX June-2026 IPO</t>
        </is>
      </c>
    </row>
    <row r="26">
      <c r="A26" s="10" t="inlineStr">
        <is>
          <t xml:space="preserve">  Interest rate on debt &amp; spectrum obligation</t>
        </is>
      </c>
      <c r="C26" s="12" t="n">
        <v>0.065</v>
      </c>
    </row>
    <row r="27">
      <c r="A27" s="10" t="inlineStr">
        <is>
          <t xml:space="preserve">  Interest income rate on cash</t>
        </is>
      </c>
      <c r="C27" s="12" t="n">
        <v>0.04</v>
      </c>
    </row>
    <row r="28">
      <c r="A28" s="10" t="inlineStr">
        <is>
          <t xml:space="preserve">  Statutory tax rate</t>
        </is>
      </c>
      <c r="C28" s="12" t="n">
        <v>0.21</v>
      </c>
    </row>
    <row r="29">
      <c r="A29" s="10" t="inlineStr">
        <is>
          <t xml:space="preserve">  Opening NOL carryforward, FY2025 ($M)</t>
        </is>
      </c>
      <c r="C29" s="11" t="n">
        <v>26000</v>
      </c>
      <c r="L29" s="13" t="inlineStr">
        <is>
          <t>SpaceX accumulated + Cursor</t>
        </is>
      </c>
    </row>
    <row r="30">
      <c r="A30" s="10" t="inlineStr">
        <is>
          <t xml:space="preserve">  NOL usage limit (% of taxable income)</t>
        </is>
      </c>
      <c r="C30" s="12" t="n">
        <v>0.8</v>
      </c>
    </row>
    <row r="31">
      <c r="A31" s="10" t="inlineStr">
        <is>
          <t xml:space="preserve">  SpaceX shares pre-deal (M)</t>
        </is>
      </c>
      <c r="C31" s="14" t="n">
        <v>2000</v>
      </c>
    </row>
    <row r="32">
      <c r="A32" s="10" t="inlineStr">
        <is>
          <t xml:space="preserve">  SpaceX share price, deal pricing ($)</t>
        </is>
      </c>
      <c r="C32" s="15" t="n">
        <v>450</v>
      </c>
    </row>
    <row r="33">
      <c r="A33" s="8" t="inlineStr">
        <is>
          <t>Working capital ratios (% of revenue)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10" t="inlineStr">
        <is>
          <t xml:space="preserve">  Accounts receivable (% of revenue)</t>
        </is>
      </c>
      <c r="C34" s="12" t="n">
        <v>0.1339</v>
      </c>
    </row>
    <row r="35">
      <c r="A35" s="10" t="inlineStr">
        <is>
          <t xml:space="preserve">  Inventory (% of revenue)</t>
        </is>
      </c>
      <c r="C35" s="12" t="n">
        <v>0.1499</v>
      </c>
    </row>
    <row r="36">
      <c r="A36" s="10" t="inlineStr">
        <is>
          <t xml:space="preserve">  Prepaid &amp; other current assets (% of revenue)</t>
        </is>
      </c>
      <c r="C36" s="12" t="n">
        <v>0.0803</v>
      </c>
    </row>
    <row r="37">
      <c r="A37" s="10" t="inlineStr">
        <is>
          <t xml:space="preserve">  Accounts payable (% of revenue)</t>
        </is>
      </c>
      <c r="C37" s="12" t="n">
        <v>0.1499</v>
      </c>
    </row>
    <row r="38">
      <c r="A38" s="10" t="inlineStr">
        <is>
          <t xml:space="preserve">  Accrued liabilities (% of revenue)</t>
        </is>
      </c>
      <c r="C38" s="12" t="n">
        <v>0.091</v>
      </c>
    </row>
    <row r="39">
      <c r="A39" s="10" t="inlineStr">
        <is>
          <t xml:space="preserve">  Deferred revenue, current (% of revenue)</t>
        </is>
      </c>
      <c r="C39" s="12" t="n">
        <v>0.1499</v>
      </c>
    </row>
    <row r="40">
      <c r="A40" s="10" t="inlineStr">
        <is>
          <t xml:space="preserve">  Customer deposits &amp; advances (% of revenue)</t>
        </is>
      </c>
      <c r="C40" s="12" t="n">
        <v>0.1017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SPACEX STANDALONE — operating build (US$M, ex-D&amp;A cash costs)</t>
        </is>
      </c>
    </row>
    <row r="2">
      <c r="A2" t="inlineStr"/>
      <c r="C2" s="7" t="inlineStr">
        <is>
          <t>2025A</t>
        </is>
      </c>
      <c r="D2" s="7" t="inlineStr">
        <is>
          <t>2026E</t>
        </is>
      </c>
      <c r="E2" s="7" t="inlineStr">
        <is>
          <t>2027E</t>
        </is>
      </c>
      <c r="F2" s="7" t="inlineStr">
        <is>
          <t>2028E</t>
        </is>
      </c>
      <c r="G2" s="7" t="inlineStr">
        <is>
          <t>2029E</t>
        </is>
      </c>
      <c r="H2" s="7" t="inlineStr">
        <is>
          <t>2030E</t>
        </is>
      </c>
    </row>
    <row r="3">
      <c r="A3" s="4" t="inlineStr">
        <is>
          <t>Revenue</t>
        </is>
      </c>
      <c r="C3" s="16">
        <f>'Assumptions'!C4</f>
        <v/>
      </c>
      <c r="D3" s="16">
        <f>'IS SpaceX'!C3*(1+'Assumptions'!D5)</f>
        <v/>
      </c>
      <c r="E3" s="16">
        <f>'IS SpaceX'!D3*(1+'Assumptions'!E5)</f>
        <v/>
      </c>
      <c r="F3" s="16">
        <f>'IS SpaceX'!E3*(1+'Assumptions'!F5)</f>
        <v/>
      </c>
      <c r="G3" s="16">
        <f>'IS SpaceX'!F3*(1+'Assumptions'!G5)</f>
        <v/>
      </c>
      <c r="H3" s="16">
        <f>'IS SpaceX'!G3*(1+'Assumptions'!H5)</f>
        <v/>
      </c>
    </row>
    <row r="4">
      <c r="A4" s="10" t="inlineStr">
        <is>
          <t>Cost of revenue (ex-D&amp;A)</t>
        </is>
      </c>
      <c r="C4" s="16">
        <f>'IS SpaceX'!C3*'Assumptions'!C6</f>
        <v/>
      </c>
      <c r="D4" s="16">
        <f>'IS SpaceX'!D3*'Assumptions'!D6</f>
        <v/>
      </c>
      <c r="E4" s="16">
        <f>'IS SpaceX'!E3*'Assumptions'!E6</f>
        <v/>
      </c>
      <c r="F4" s="16">
        <f>'IS SpaceX'!F3*'Assumptions'!F6</f>
        <v/>
      </c>
      <c r="G4" s="16">
        <f>'IS SpaceX'!G3*'Assumptions'!G6</f>
        <v/>
      </c>
      <c r="H4" s="16">
        <f>'IS SpaceX'!H3*'Assumptions'!H6</f>
        <v/>
      </c>
    </row>
    <row r="5">
      <c r="A5" s="4" t="inlineStr">
        <is>
          <t>Gross profit (cash)</t>
        </is>
      </c>
      <c r="C5" s="17">
        <f>'IS SpaceX'!C3-'IS SpaceX'!C4</f>
        <v/>
      </c>
      <c r="D5" s="17">
        <f>'IS SpaceX'!D3-'IS SpaceX'!D4</f>
        <v/>
      </c>
      <c r="E5" s="17">
        <f>'IS SpaceX'!E3-'IS SpaceX'!E4</f>
        <v/>
      </c>
      <c r="F5" s="17">
        <f>'IS SpaceX'!F3-'IS SpaceX'!F4</f>
        <v/>
      </c>
      <c r="G5" s="17">
        <f>'IS SpaceX'!G3-'IS SpaceX'!G4</f>
        <v/>
      </c>
      <c r="H5" s="17">
        <f>'IS SpaceX'!H3-'IS SpaceX'!H4</f>
        <v/>
      </c>
    </row>
    <row r="6">
      <c r="A6" s="10" t="inlineStr">
        <is>
          <t>Research &amp; development</t>
        </is>
      </c>
      <c r="C6" s="16">
        <f>'IS SpaceX'!C3*'Assumptions'!C7</f>
        <v/>
      </c>
      <c r="D6" s="16">
        <f>'IS SpaceX'!D3*'Assumptions'!D7</f>
        <v/>
      </c>
      <c r="E6" s="16">
        <f>'IS SpaceX'!E3*'Assumptions'!E7</f>
        <v/>
      </c>
      <c r="F6" s="16">
        <f>'IS SpaceX'!F3*'Assumptions'!F7</f>
        <v/>
      </c>
      <c r="G6" s="16">
        <f>'IS SpaceX'!G3*'Assumptions'!G7</f>
        <v/>
      </c>
      <c r="H6" s="16">
        <f>'IS SpaceX'!H3*'Assumptions'!H7</f>
        <v/>
      </c>
    </row>
    <row r="7">
      <c r="A7" s="10" t="inlineStr">
        <is>
          <t>Selling, general &amp; administrative</t>
        </is>
      </c>
      <c r="C7" s="16">
        <f>'IS SpaceX'!C3*'Assumptions'!C8</f>
        <v/>
      </c>
      <c r="D7" s="16">
        <f>'IS SpaceX'!D3*'Assumptions'!D8</f>
        <v/>
      </c>
      <c r="E7" s="16">
        <f>'IS SpaceX'!E3*'Assumptions'!E8</f>
        <v/>
      </c>
      <c r="F7" s="16">
        <f>'IS SpaceX'!F3*'Assumptions'!F8</f>
        <v/>
      </c>
      <c r="G7" s="16">
        <f>'IS SpaceX'!G3*'Assumptions'!G8</f>
        <v/>
      </c>
      <c r="H7" s="16">
        <f>'IS SpaceX'!H3*'Assumptions'!H8</f>
        <v/>
      </c>
    </row>
    <row r="8">
      <c r="A8" s="4" t="inlineStr">
        <is>
          <t>EBITDA (cash, ex-synergies)</t>
        </is>
      </c>
      <c r="C8" s="17">
        <f>'IS SpaceX'!C5-'IS SpaceX'!C6-'IS SpaceX'!C7</f>
        <v/>
      </c>
      <c r="D8" s="17">
        <f>'IS SpaceX'!D5-'IS SpaceX'!D6-'IS SpaceX'!D7</f>
        <v/>
      </c>
      <c r="E8" s="17">
        <f>'IS SpaceX'!E5-'IS SpaceX'!E6-'IS SpaceX'!E7</f>
        <v/>
      </c>
      <c r="F8" s="17">
        <f>'IS SpaceX'!F5-'IS SpaceX'!F6-'IS SpaceX'!F7</f>
        <v/>
      </c>
      <c r="G8" s="17">
        <f>'IS SpaceX'!G5-'IS SpaceX'!G6-'IS SpaceX'!G7</f>
        <v/>
      </c>
      <c r="H8" s="17">
        <f>'IS SpaceX'!H5-'IS SpaceX'!H6-'IS SpaceX'!H7</f>
        <v/>
      </c>
    </row>
    <row r="9">
      <c r="A9" s="10" t="inlineStr">
        <is>
          <t xml:space="preserve">  EBITDA margin %</t>
        </is>
      </c>
      <c r="C9" s="18">
        <f>'IS SpaceX'!C8/'IS SpaceX'!C3</f>
        <v/>
      </c>
      <c r="D9" s="18">
        <f>'IS SpaceX'!D8/'IS SpaceX'!D3</f>
        <v/>
      </c>
      <c r="E9" s="18">
        <f>'IS SpaceX'!E8/'IS SpaceX'!E3</f>
        <v/>
      </c>
      <c r="F9" s="18">
        <f>'IS SpaceX'!F8/'IS SpaceX'!F3</f>
        <v/>
      </c>
      <c r="G9" s="18">
        <f>'IS SpaceX'!G8/'IS SpaceX'!G3</f>
        <v/>
      </c>
      <c r="H9" s="18">
        <f>'IS SpaceX'!H8/'IS SpaceX'!H3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CURSOR (ANYSPHERE) STANDALONE — operating build (US$M, ex-D&amp;A cash costs)</t>
        </is>
      </c>
    </row>
    <row r="2">
      <c r="A2" t="inlineStr"/>
      <c r="C2" s="7" t="inlineStr">
        <is>
          <t>2025A</t>
        </is>
      </c>
      <c r="D2" s="7" t="inlineStr">
        <is>
          <t>2026E</t>
        </is>
      </c>
      <c r="E2" s="7" t="inlineStr">
        <is>
          <t>2027E</t>
        </is>
      </c>
      <c r="F2" s="7" t="inlineStr">
        <is>
          <t>2028E</t>
        </is>
      </c>
      <c r="G2" s="7" t="inlineStr">
        <is>
          <t>2029E</t>
        </is>
      </c>
      <c r="H2" s="7" t="inlineStr">
        <is>
          <t>2030E</t>
        </is>
      </c>
    </row>
    <row r="3">
      <c r="A3" s="4" t="inlineStr">
        <is>
          <t>Revenue</t>
        </is>
      </c>
      <c r="C3" s="16">
        <f>'Assumptions'!C10</f>
        <v/>
      </c>
      <c r="D3" s="16">
        <f>'Assumptions'!D10</f>
        <v/>
      </c>
      <c r="E3" s="16">
        <f>'Assumptions'!E10</f>
        <v/>
      </c>
      <c r="F3" s="16">
        <f>'Assumptions'!F10</f>
        <v/>
      </c>
      <c r="G3" s="16">
        <f>'Assumptions'!G10</f>
        <v/>
      </c>
      <c r="H3" s="16">
        <f>'Assumptions'!H10</f>
        <v/>
      </c>
    </row>
    <row r="4">
      <c r="A4" s="10" t="inlineStr">
        <is>
          <t>Cost of revenue (inference/cloud, ex-D&amp;A)</t>
        </is>
      </c>
      <c r="C4" s="16">
        <f>'IS Cursor'!C3*'Assumptions'!C11</f>
        <v/>
      </c>
      <c r="D4" s="16">
        <f>'IS Cursor'!D3*'Assumptions'!D11</f>
        <v/>
      </c>
      <c r="E4" s="16">
        <f>'IS Cursor'!E3*'Assumptions'!E11</f>
        <v/>
      </c>
      <c r="F4" s="16">
        <f>'IS Cursor'!F3*'Assumptions'!F11</f>
        <v/>
      </c>
      <c r="G4" s="16">
        <f>'IS Cursor'!G3*'Assumptions'!G11</f>
        <v/>
      </c>
      <c r="H4" s="16">
        <f>'IS Cursor'!H3*'Assumptions'!H11</f>
        <v/>
      </c>
    </row>
    <row r="5">
      <c r="A5" s="4" t="inlineStr">
        <is>
          <t>Gross profit (cash)</t>
        </is>
      </c>
      <c r="C5" s="17">
        <f>'IS Cursor'!C3-'IS Cursor'!C4</f>
        <v/>
      </c>
      <c r="D5" s="17">
        <f>'IS Cursor'!D3-'IS Cursor'!D4</f>
        <v/>
      </c>
      <c r="E5" s="17">
        <f>'IS Cursor'!E3-'IS Cursor'!E4</f>
        <v/>
      </c>
      <c r="F5" s="17">
        <f>'IS Cursor'!F3-'IS Cursor'!F4</f>
        <v/>
      </c>
      <c r="G5" s="17">
        <f>'IS Cursor'!G3-'IS Cursor'!G4</f>
        <v/>
      </c>
      <c r="H5" s="17">
        <f>'IS Cursor'!H3-'IS Cursor'!H4</f>
        <v/>
      </c>
    </row>
    <row r="6">
      <c r="A6" s="10" t="inlineStr">
        <is>
          <t>Research &amp; development</t>
        </is>
      </c>
      <c r="C6" s="16">
        <f>'IS Cursor'!C3*'Assumptions'!C12</f>
        <v/>
      </c>
      <c r="D6" s="16">
        <f>'IS Cursor'!D3*'Assumptions'!D12</f>
        <v/>
      </c>
      <c r="E6" s="16">
        <f>'IS Cursor'!E3*'Assumptions'!E12</f>
        <v/>
      </c>
      <c r="F6" s="16">
        <f>'IS Cursor'!F3*'Assumptions'!F12</f>
        <v/>
      </c>
      <c r="G6" s="16">
        <f>'IS Cursor'!G3*'Assumptions'!G12</f>
        <v/>
      </c>
      <c r="H6" s="16">
        <f>'IS Cursor'!H3*'Assumptions'!H12</f>
        <v/>
      </c>
    </row>
    <row r="7">
      <c r="A7" s="10" t="inlineStr">
        <is>
          <t>Sales &amp; marketing</t>
        </is>
      </c>
      <c r="C7" s="16">
        <f>'IS Cursor'!C3*'Assumptions'!C13</f>
        <v/>
      </c>
      <c r="D7" s="16">
        <f>'IS Cursor'!D3*'Assumptions'!D13</f>
        <v/>
      </c>
      <c r="E7" s="16">
        <f>'IS Cursor'!E3*'Assumptions'!E13</f>
        <v/>
      </c>
      <c r="F7" s="16">
        <f>'IS Cursor'!F3*'Assumptions'!F13</f>
        <v/>
      </c>
      <c r="G7" s="16">
        <f>'IS Cursor'!G3*'Assumptions'!G13</f>
        <v/>
      </c>
      <c r="H7" s="16">
        <f>'IS Cursor'!H3*'Assumptions'!H13</f>
        <v/>
      </c>
    </row>
    <row r="8">
      <c r="A8" s="10" t="inlineStr">
        <is>
          <t>General &amp; administrative</t>
        </is>
      </c>
      <c r="C8" s="16">
        <f>'IS Cursor'!C3*'Assumptions'!C14</f>
        <v/>
      </c>
      <c r="D8" s="16">
        <f>'IS Cursor'!D3*'Assumptions'!D14</f>
        <v/>
      </c>
      <c r="E8" s="16">
        <f>'IS Cursor'!E3*'Assumptions'!E14</f>
        <v/>
      </c>
      <c r="F8" s="16">
        <f>'IS Cursor'!F3*'Assumptions'!F14</f>
        <v/>
      </c>
      <c r="G8" s="16">
        <f>'IS Cursor'!G3*'Assumptions'!G14</f>
        <v/>
      </c>
      <c r="H8" s="16">
        <f>'IS Cursor'!H3*'Assumptions'!H14</f>
        <v/>
      </c>
    </row>
    <row r="9">
      <c r="A9" s="4" t="inlineStr">
        <is>
          <t>EBITDA (cash)</t>
        </is>
      </c>
      <c r="C9" s="17">
        <f>'IS Cursor'!C5-'IS Cursor'!C6-'IS Cursor'!C7-'IS Cursor'!C8</f>
        <v/>
      </c>
      <c r="D9" s="17">
        <f>'IS Cursor'!D5-'IS Cursor'!D6-'IS Cursor'!D7-'IS Cursor'!D8</f>
        <v/>
      </c>
      <c r="E9" s="17">
        <f>'IS Cursor'!E5-'IS Cursor'!E6-'IS Cursor'!E7-'IS Cursor'!E8</f>
        <v/>
      </c>
      <c r="F9" s="17">
        <f>'IS Cursor'!F5-'IS Cursor'!F6-'IS Cursor'!F7-'IS Cursor'!F8</f>
        <v/>
      </c>
      <c r="G9" s="17">
        <f>'IS Cursor'!G5-'IS Cursor'!G6-'IS Cursor'!G7-'IS Cursor'!G8</f>
        <v/>
      </c>
      <c r="H9" s="17">
        <f>'IS Cursor'!H5-'IS Cursor'!H6-'IS Cursor'!H7-'IS Cursor'!H8</f>
        <v/>
      </c>
    </row>
    <row r="10">
      <c r="A10" s="10" t="inlineStr">
        <is>
          <t xml:space="preserve">  EBITDA margin %</t>
        </is>
      </c>
      <c r="C10" s="18">
        <f>'IS Cursor'!C9/'IS Cursor'!C3</f>
        <v/>
      </c>
      <c r="D10" s="18">
        <f>'IS Cursor'!D9/'IS Cursor'!D3</f>
        <v/>
      </c>
      <c r="E10" s="18">
        <f>'IS Cursor'!E9/'IS Cursor'!E3</f>
        <v/>
      </c>
      <c r="F10" s="18">
        <f>'IS Cursor'!F9/'IS Cursor'!F3</f>
        <v/>
      </c>
      <c r="G10" s="18">
        <f>'IS Cursor'!G9/'IS Cursor'!G3</f>
        <v/>
      </c>
      <c r="H10" s="18">
        <f>'IS Cursor'!H9/'IS Cursor'!H3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DEAL STRUCTURE &amp; PURCHASE PRICE ALLOCATION (US$M)</t>
        </is>
      </c>
    </row>
    <row r="2">
      <c r="A2" s="13" t="inlineStr">
        <is>
          <t>All-stock acquisition announced 16-Jun-2026; expected close Q3-2026. Modelled as effective 1-Jan-2026 for full-year pro-forma comparability.</t>
        </is>
      </c>
    </row>
    <row r="3">
      <c r="A3" s="8" t="inlineStr">
        <is>
          <t>Consideration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10" t="inlineStr">
        <is>
          <t xml:space="preserve">  Equity purchase price (100% stock)</t>
        </is>
      </c>
      <c r="C4" s="11" t="n">
        <v>60000</v>
      </c>
    </row>
    <row r="5">
      <c r="A5" t="inlineStr">
        <is>
          <t xml:space="preserve">  SpaceX share price at pricing ($)</t>
        </is>
      </c>
      <c r="C5" s="19">
        <f>'Assumptions'!C32</f>
        <v/>
      </c>
    </row>
    <row r="6">
      <c r="A6" t="inlineStr">
        <is>
          <t xml:space="preserve">  New SpaceX shares issued (M)</t>
        </is>
      </c>
      <c r="C6" s="20">
        <f>'Deal &amp; PPA'!C4/'Deal &amp; PPA'!C5</f>
        <v/>
      </c>
    </row>
    <row r="7">
      <c r="A7" s="8" t="inlineStr">
        <is>
          <t>Fair value of identifiable net assets acquired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10" t="inlineStr">
        <is>
          <t xml:space="preserve">  Cash &amp; equivalents</t>
        </is>
      </c>
      <c r="C8" s="11" t="n">
        <v>3000</v>
      </c>
    </row>
    <row r="9">
      <c r="A9" s="10" t="inlineStr">
        <is>
          <t xml:space="preserve">  Accounts receivable</t>
        </is>
      </c>
      <c r="C9" s="11" t="n">
        <v>250</v>
      </c>
    </row>
    <row r="10">
      <c r="A10" s="10" t="inlineStr">
        <is>
          <t xml:space="preserve">  Prepaid &amp; other current assets</t>
        </is>
      </c>
      <c r="C10" s="11" t="n">
        <v>150</v>
      </c>
    </row>
    <row r="11">
      <c r="A11" s="10" t="inlineStr">
        <is>
          <t xml:space="preserve">  Property &amp; equipment</t>
        </is>
      </c>
      <c r="C11" s="11" t="n">
        <v>300</v>
      </c>
    </row>
    <row r="12">
      <c r="A12" s="10" t="inlineStr">
        <is>
          <t xml:space="preserve">  Less: liabilities assumed</t>
        </is>
      </c>
      <c r="C12" s="11" t="n">
        <v>-800</v>
      </c>
    </row>
    <row r="13">
      <c r="A13" s="4" t="inlineStr">
        <is>
          <t xml:space="preserve">  Net tangible assets</t>
        </is>
      </c>
      <c r="C13" s="17">
        <f>'Deal &amp; PPA'!C8+'Deal &amp; PPA'!C9+'Deal &amp; PPA'!C10+'Deal &amp; PPA'!C11+'Deal &amp; PPA'!C12</f>
        <v/>
      </c>
    </row>
    <row r="14">
      <c r="A14" s="8" t="inlineStr">
        <is>
          <t>Identifiable intangible assets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10" t="inlineStr">
        <is>
          <t xml:space="preserve">  Developed technology (IDE + agent models)</t>
        </is>
      </c>
      <c r="C15" s="11" t="n">
        <v>8000</v>
      </c>
    </row>
    <row r="16">
      <c r="A16" s="10" t="inlineStr">
        <is>
          <t xml:space="preserve">    Useful life (yrs)</t>
        </is>
      </c>
      <c r="C16" s="21" t="n">
        <v>8</v>
      </c>
    </row>
    <row r="17">
      <c r="A17" s="10" t="inlineStr">
        <is>
          <t xml:space="preserve">  Customer relationships (enterprise contracts)</t>
        </is>
      </c>
      <c r="C17" s="11" t="n">
        <v>5000</v>
      </c>
    </row>
    <row r="18">
      <c r="A18" s="10" t="inlineStr">
        <is>
          <t xml:space="preserve">    Useful life (yrs)</t>
        </is>
      </c>
      <c r="C18" s="21" t="n">
        <v>10</v>
      </c>
    </row>
    <row r="19">
      <c r="A19" s="10" t="inlineStr">
        <is>
          <t xml:space="preserve">  Trade name (Cursor)</t>
        </is>
      </c>
      <c r="C19" s="11" t="n">
        <v>2000</v>
      </c>
    </row>
    <row r="20">
      <c r="A20" s="10" t="inlineStr">
        <is>
          <t xml:space="preserve">    Useful life (yrs)</t>
        </is>
      </c>
      <c r="C20" s="21" t="n">
        <v>15</v>
      </c>
    </row>
    <row r="21">
      <c r="A21" s="4" t="inlineStr">
        <is>
          <t xml:space="preserve">  Total identifiable intangibles</t>
        </is>
      </c>
      <c r="C21" s="17">
        <f>'Deal &amp; PPA'!C15+'Deal &amp; PPA'!C17+'Deal &amp; PPA'!C19</f>
        <v/>
      </c>
    </row>
    <row r="22">
      <c r="A22" s="4" t="inlineStr">
        <is>
          <t xml:space="preserve">  Annual intangible amortization</t>
        </is>
      </c>
      <c r="C22" s="17">
        <f>'Deal &amp; PPA'!C15/'Deal &amp; PPA'!C16+'Deal &amp; PPA'!C17/'Deal &amp; PPA'!C18+'Deal &amp; PPA'!C19/'Deal &amp; PPA'!C20</f>
        <v/>
      </c>
    </row>
    <row r="23">
      <c r="A23" s="8" t="inlineStr">
        <is>
          <t>Goodwill &amp; deferred tax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10" t="inlineStr">
        <is>
          <t xml:space="preserve">  Deferred tax liability on intangibles</t>
        </is>
      </c>
      <c r="C24" s="16">
        <f>'Assumptions'!C28*'Deal &amp; PPA'!C21</f>
        <v/>
      </c>
    </row>
    <row r="25">
      <c r="A25" s="4" t="inlineStr">
        <is>
          <t xml:space="preserve">  FV of identifiable net assets (incl. intangibles, net of DTL)</t>
        </is>
      </c>
      <c r="C25" s="17">
        <f>'Deal &amp; PPA'!C13+'Deal &amp; PPA'!C21-'Deal &amp; PPA'!C24</f>
        <v/>
      </c>
    </row>
    <row r="26">
      <c r="A26" s="4" t="inlineStr">
        <is>
          <t xml:space="preserve">  Goodwill</t>
        </is>
      </c>
      <c r="C26" s="22">
        <f>'Deal &amp; PPA'!C4-'Deal &amp; PPA'!C25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SUPPORTING SCHEDULES (US$M)</t>
        </is>
      </c>
    </row>
    <row r="2">
      <c r="A2" t="inlineStr"/>
      <c r="C2" s="7" t="inlineStr">
        <is>
          <t>2025A</t>
        </is>
      </c>
      <c r="D2" s="7" t="inlineStr">
        <is>
          <t>2026E</t>
        </is>
      </c>
      <c r="E2" s="7" t="inlineStr">
        <is>
          <t>2027E</t>
        </is>
      </c>
      <c r="F2" s="7" t="inlineStr">
        <is>
          <t>2028E</t>
        </is>
      </c>
      <c r="G2" s="7" t="inlineStr">
        <is>
          <t>2029E</t>
        </is>
      </c>
      <c r="H2" s="7" t="inlineStr">
        <is>
          <t>2030E</t>
        </is>
      </c>
    </row>
    <row r="3">
      <c r="A3" s="8" t="inlineStr">
        <is>
          <t>Property, plant &amp; equipment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10" t="inlineStr">
        <is>
          <t xml:space="preserve">  Beginning net PP&amp;E</t>
        </is>
      </c>
      <c r="C4" s="16" t="n">
        <v>46000</v>
      </c>
      <c r="D4" s="16">
        <f>'Balance Sheet'!F9</f>
        <v/>
      </c>
      <c r="E4" s="16">
        <f>'Schedules'!D7</f>
        <v/>
      </c>
      <c r="F4" s="16">
        <f>'Schedules'!E7</f>
        <v/>
      </c>
      <c r="G4" s="16">
        <f>'Schedules'!F7</f>
        <v/>
      </c>
      <c r="H4" s="16">
        <f>'Schedules'!G7</f>
        <v/>
      </c>
    </row>
    <row r="5">
      <c r="A5" s="10" t="inlineStr">
        <is>
          <t xml:space="preserve">  Capital expenditures</t>
        </is>
      </c>
      <c r="C5" s="16">
        <f>'Assumptions'!C20*'Income Statement'!C7</f>
        <v/>
      </c>
      <c r="D5" s="16">
        <f>'Assumptions'!D20*'Income Statement'!D7</f>
        <v/>
      </c>
      <c r="E5" s="16">
        <f>'Assumptions'!E20*'Income Statement'!E7</f>
        <v/>
      </c>
      <c r="F5" s="16">
        <f>'Assumptions'!F20*'Income Statement'!F7</f>
        <v/>
      </c>
      <c r="G5" s="16">
        <f>'Assumptions'!G20*'Income Statement'!G7</f>
        <v/>
      </c>
      <c r="H5" s="16">
        <f>'Assumptions'!H20*'Income Statement'!H7</f>
        <v/>
      </c>
    </row>
    <row r="6">
      <c r="A6" s="10" t="inlineStr">
        <is>
          <t xml:space="preserve">  Depreciation</t>
        </is>
      </c>
      <c r="C6" s="16">
        <f>'Schedules'!C4*'Assumptions'!C21</f>
        <v/>
      </c>
      <c r="D6" s="16">
        <f>'Schedules'!D4*'Assumptions'!C21</f>
        <v/>
      </c>
      <c r="E6" s="16">
        <f>'Schedules'!E4*'Assumptions'!C21</f>
        <v/>
      </c>
      <c r="F6" s="16">
        <f>'Schedules'!F4*'Assumptions'!C21</f>
        <v/>
      </c>
      <c r="G6" s="16">
        <f>'Schedules'!G4*'Assumptions'!C21</f>
        <v/>
      </c>
      <c r="H6" s="16">
        <f>'Schedules'!H4*'Assumptions'!C21</f>
        <v/>
      </c>
    </row>
    <row r="7">
      <c r="A7" s="4" t="inlineStr">
        <is>
          <t xml:space="preserve">  Ending net PP&amp;E</t>
        </is>
      </c>
      <c r="C7" s="17" t="n">
        <v>46000</v>
      </c>
      <c r="D7" s="17">
        <f>'Schedules'!D4+'Schedules'!D5-'Schedules'!D6</f>
        <v/>
      </c>
      <c r="E7" s="17">
        <f>'Schedules'!E4+'Schedules'!E5-'Schedules'!E6</f>
        <v/>
      </c>
      <c r="F7" s="17">
        <f>'Schedules'!F4+'Schedules'!F5-'Schedules'!F6</f>
        <v/>
      </c>
      <c r="G7" s="17">
        <f>'Schedules'!G4+'Schedules'!G5-'Schedules'!G6</f>
        <v/>
      </c>
      <c r="H7" s="17">
        <f>'Schedules'!H4+'Schedules'!H5-'Schedules'!H6</f>
        <v/>
      </c>
    </row>
    <row r="8">
      <c r="A8" s="8" t="inlineStr">
        <is>
          <t>Acquired intangibles &amp; deferred tax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10" t="inlineStr">
        <is>
          <t xml:space="preserve">  Beginning intangibles, net</t>
        </is>
      </c>
      <c r="C9" s="16" t="n">
        <v>0</v>
      </c>
      <c r="D9" s="16">
        <f>'Deal &amp; PPA'!C21</f>
        <v/>
      </c>
      <c r="E9" s="16">
        <f>'Schedules'!D11</f>
        <v/>
      </c>
      <c r="F9" s="16">
        <f>'Schedules'!E11</f>
        <v/>
      </c>
      <c r="G9" s="16">
        <f>'Schedules'!F11</f>
        <v/>
      </c>
      <c r="H9" s="16">
        <f>'Schedules'!G11</f>
        <v/>
      </c>
    </row>
    <row r="10">
      <c r="A10" s="10" t="inlineStr">
        <is>
          <t xml:space="preserve">  Amortization</t>
        </is>
      </c>
      <c r="C10" s="16" t="n">
        <v>0</v>
      </c>
      <c r="D10" s="16">
        <f>MIN('Schedules'!D9,'Deal &amp; PPA'!C22)</f>
        <v/>
      </c>
      <c r="E10" s="16">
        <f>MIN('Schedules'!E9,'Deal &amp; PPA'!C22)</f>
        <v/>
      </c>
      <c r="F10" s="16">
        <f>MIN('Schedules'!F9,'Deal &amp; PPA'!C22)</f>
        <v/>
      </c>
      <c r="G10" s="16">
        <f>MIN('Schedules'!G9,'Deal &amp; PPA'!C22)</f>
        <v/>
      </c>
      <c r="H10" s="16">
        <f>MIN('Schedules'!H9,'Deal &amp; PPA'!C22)</f>
        <v/>
      </c>
    </row>
    <row r="11">
      <c r="A11" s="4" t="inlineStr">
        <is>
          <t xml:space="preserve">  Ending intangibles, net</t>
        </is>
      </c>
      <c r="C11" s="16" t="n">
        <v>0</v>
      </c>
      <c r="D11" s="17">
        <f>'Schedules'!D9-'Schedules'!D10</f>
        <v/>
      </c>
      <c r="E11" s="17">
        <f>'Schedules'!E9-'Schedules'!E10</f>
        <v/>
      </c>
      <c r="F11" s="17">
        <f>'Schedules'!F9-'Schedules'!F10</f>
        <v/>
      </c>
      <c r="G11" s="17">
        <f>'Schedules'!G9-'Schedules'!G10</f>
        <v/>
      </c>
      <c r="H11" s="17">
        <f>'Schedules'!H9-'Schedules'!H10</f>
        <v/>
      </c>
    </row>
    <row r="12">
      <c r="A12" s="10" t="inlineStr">
        <is>
          <t xml:space="preserve">  Beginning deferred tax liability</t>
        </is>
      </c>
      <c r="C12" s="16" t="n">
        <v>0</v>
      </c>
      <c r="D12" s="16">
        <f>'Deal &amp; PPA'!C24</f>
        <v/>
      </c>
      <c r="E12" s="16">
        <f>'Schedules'!D14</f>
        <v/>
      </c>
      <c r="F12" s="16">
        <f>'Schedules'!E14</f>
        <v/>
      </c>
      <c r="G12" s="16">
        <f>'Schedules'!F14</f>
        <v/>
      </c>
      <c r="H12" s="16">
        <f>'Schedules'!G14</f>
        <v/>
      </c>
    </row>
    <row r="13">
      <c r="A13" s="10" t="inlineStr">
        <is>
          <t xml:space="preserve">  Change in DTL (deferred tax benefit)</t>
        </is>
      </c>
      <c r="C13" s="16" t="n">
        <v>0</v>
      </c>
      <c r="D13" s="16">
        <f>-'Assumptions'!C28*'Schedules'!D10</f>
        <v/>
      </c>
      <c r="E13" s="16">
        <f>-'Assumptions'!C28*'Schedules'!E10</f>
        <v/>
      </c>
      <c r="F13" s="16">
        <f>-'Assumptions'!C28*'Schedules'!F10</f>
        <v/>
      </c>
      <c r="G13" s="16">
        <f>-'Assumptions'!C28*'Schedules'!G10</f>
        <v/>
      </c>
      <c r="H13" s="16">
        <f>-'Assumptions'!C28*'Schedules'!H10</f>
        <v/>
      </c>
    </row>
    <row r="14">
      <c r="A14" s="4" t="inlineStr">
        <is>
          <t xml:space="preserve">  Ending deferred tax liability</t>
        </is>
      </c>
      <c r="C14" s="16" t="n">
        <v>0</v>
      </c>
      <c r="D14" s="17">
        <f>'Schedules'!D12+'Schedules'!D13</f>
        <v/>
      </c>
      <c r="E14" s="17">
        <f>'Schedules'!E12+'Schedules'!E13</f>
        <v/>
      </c>
      <c r="F14" s="17">
        <f>'Schedules'!F12+'Schedules'!F13</f>
        <v/>
      </c>
      <c r="G14" s="17">
        <f>'Schedules'!G12+'Schedules'!G13</f>
        <v/>
      </c>
      <c r="H14" s="17">
        <f>'Schedules'!H12+'Schedules'!H13</f>
        <v/>
      </c>
    </row>
    <row r="15">
      <c r="A15" s="8" t="inlineStr">
        <is>
          <t>Debt &amp; spectrum obligation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inlineStr">
        <is>
          <t xml:space="preserve">  Beginning long-term debt</t>
        </is>
      </c>
      <c r="C16" s="16" t="n">
        <v>12000</v>
      </c>
      <c r="D16" s="16">
        <f>'Balance Sheet'!F21</f>
        <v/>
      </c>
      <c r="E16" s="16">
        <f>'Schedules'!D18</f>
        <v/>
      </c>
      <c r="F16" s="16">
        <f>'Schedules'!E18</f>
        <v/>
      </c>
      <c r="G16" s="16">
        <f>'Schedules'!F18</f>
        <v/>
      </c>
      <c r="H16" s="16">
        <f>'Schedules'!G18</f>
        <v/>
      </c>
    </row>
    <row r="17">
      <c r="A17" s="10" t="inlineStr">
        <is>
          <t xml:space="preserve">  Net draws / (repayments)</t>
        </is>
      </c>
      <c r="C17" s="16" t="n">
        <v>0</v>
      </c>
      <c r="D17" s="16">
        <f>'Assumptions'!D23</f>
        <v/>
      </c>
      <c r="E17" s="16">
        <f>'Assumptions'!E23</f>
        <v/>
      </c>
      <c r="F17" s="16">
        <f>'Assumptions'!F23</f>
        <v/>
      </c>
      <c r="G17" s="16">
        <f>'Assumptions'!G23</f>
        <v/>
      </c>
      <c r="H17" s="16">
        <f>'Assumptions'!H23</f>
        <v/>
      </c>
    </row>
    <row r="18">
      <c r="A18" s="4" t="inlineStr">
        <is>
          <t xml:space="preserve">  Ending long-term debt</t>
        </is>
      </c>
      <c r="C18" s="17" t="n">
        <v>12000</v>
      </c>
      <c r="D18" s="17">
        <f>'Schedules'!D16+'Schedules'!D17</f>
        <v/>
      </c>
      <c r="E18" s="17">
        <f>'Schedules'!E16+'Schedules'!E17</f>
        <v/>
      </c>
      <c r="F18" s="17">
        <f>'Schedules'!F16+'Schedules'!F17</f>
        <v/>
      </c>
      <c r="G18" s="17">
        <f>'Schedules'!G16+'Schedules'!G17</f>
        <v/>
      </c>
      <c r="H18" s="17">
        <f>'Schedules'!H16+'Schedules'!H17</f>
        <v/>
      </c>
    </row>
    <row r="19">
      <c r="A19" s="10" t="inlineStr">
        <is>
          <t xml:space="preserve">  Beginning spectrum obligation</t>
        </is>
      </c>
      <c r="C19" s="16" t="n">
        <v>19600</v>
      </c>
      <c r="D19" s="16">
        <f>'Balance Sheet'!F22</f>
        <v/>
      </c>
      <c r="E19" s="16">
        <f>'Schedules'!D21</f>
        <v/>
      </c>
      <c r="F19" s="16">
        <f>'Schedules'!E21</f>
        <v/>
      </c>
      <c r="G19" s="16">
        <f>'Schedules'!F21</f>
        <v/>
      </c>
      <c r="H19" s="16">
        <f>'Schedules'!G21</f>
        <v/>
      </c>
    </row>
    <row r="20">
      <c r="A20" s="10" t="inlineStr">
        <is>
          <t xml:space="preserve">  Repayments</t>
        </is>
      </c>
      <c r="C20" s="16" t="n">
        <v>0</v>
      </c>
      <c r="D20" s="16">
        <f>'Assumptions'!D24</f>
        <v/>
      </c>
      <c r="E20" s="16">
        <f>'Assumptions'!E24</f>
        <v/>
      </c>
      <c r="F20" s="16">
        <f>'Assumptions'!F24</f>
        <v/>
      </c>
      <c r="G20" s="16">
        <f>'Assumptions'!G24</f>
        <v/>
      </c>
      <c r="H20" s="16">
        <f>'Assumptions'!H24</f>
        <v/>
      </c>
    </row>
    <row r="21">
      <c r="A21" s="4" t="inlineStr">
        <is>
          <t xml:space="preserve">  Ending spectrum obligation</t>
        </is>
      </c>
      <c r="C21" s="17" t="n">
        <v>19600</v>
      </c>
      <c r="D21" s="17">
        <f>'Schedules'!D19+'Schedules'!D20</f>
        <v/>
      </c>
      <c r="E21" s="17">
        <f>'Schedules'!E19+'Schedules'!E20</f>
        <v/>
      </c>
      <c r="F21" s="17">
        <f>'Schedules'!F19+'Schedules'!F20</f>
        <v/>
      </c>
      <c r="G21" s="17">
        <f>'Schedules'!G19+'Schedules'!G20</f>
        <v/>
      </c>
      <c r="H21" s="17">
        <f>'Schedules'!H19+'Schedules'!H20</f>
        <v/>
      </c>
    </row>
    <row r="22">
      <c r="A22" s="4" t="inlineStr">
        <is>
          <t xml:space="preserve">  Interest expense (on beginning balances)</t>
        </is>
      </c>
      <c r="C22" s="17">
        <f>('Schedules'!C16+'Schedules'!C19)*'Assumptions'!C26</f>
        <v/>
      </c>
      <c r="D22" s="17">
        <f>('Schedules'!D16+'Schedules'!D19)*'Assumptions'!C26</f>
        <v/>
      </c>
      <c r="E22" s="17">
        <f>('Schedules'!E16+'Schedules'!E19)*'Assumptions'!C26</f>
        <v/>
      </c>
      <c r="F22" s="17">
        <f>('Schedules'!F16+'Schedules'!F19)*'Assumptions'!C26</f>
        <v/>
      </c>
      <c r="G22" s="17">
        <f>('Schedules'!G16+'Schedules'!G19)*'Assumptions'!C26</f>
        <v/>
      </c>
      <c r="H22" s="17">
        <f>('Schedules'!H16+'Schedules'!H19)*'Assumptions'!C26</f>
        <v/>
      </c>
    </row>
    <row r="23">
      <c r="A23" s="8" t="inlineStr">
        <is>
          <t>Tax &amp; NOL carryforward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10" t="inlineStr">
        <is>
          <t xml:space="preserve">  Pre-tax income (from IS)</t>
        </is>
      </c>
      <c r="C24" s="16">
        <f>'Income Statement'!C22</f>
        <v/>
      </c>
      <c r="D24" s="16">
        <f>'Income Statement'!D22</f>
        <v/>
      </c>
      <c r="E24" s="16">
        <f>'Income Statement'!E22</f>
        <v/>
      </c>
      <c r="F24" s="16">
        <f>'Income Statement'!F22</f>
        <v/>
      </c>
      <c r="G24" s="16">
        <f>'Income Statement'!G22</f>
        <v/>
      </c>
      <c r="H24" s="16">
        <f>'Income Statement'!H22</f>
        <v/>
      </c>
    </row>
    <row r="25">
      <c r="A25" s="10" t="inlineStr">
        <is>
          <t xml:space="preserve">  Taxable income (add back non-deductible amort)</t>
        </is>
      </c>
      <c r="C25" s="16">
        <f>'Schedules'!C24+'Schedules'!C10</f>
        <v/>
      </c>
      <c r="D25" s="16">
        <f>'Schedules'!D24+'Schedules'!D10</f>
        <v/>
      </c>
      <c r="E25" s="16">
        <f>'Schedules'!E24+'Schedules'!E10</f>
        <v/>
      </c>
      <c r="F25" s="16">
        <f>'Schedules'!F24+'Schedules'!F10</f>
        <v/>
      </c>
      <c r="G25" s="16">
        <f>'Schedules'!G24+'Schedules'!G10</f>
        <v/>
      </c>
      <c r="H25" s="16">
        <f>'Schedules'!H24+'Schedules'!H10</f>
        <v/>
      </c>
    </row>
    <row r="26">
      <c r="A26" s="10" t="inlineStr">
        <is>
          <t xml:space="preserve">  Beginning NOL balance</t>
        </is>
      </c>
      <c r="C26" s="16">
        <f>'Assumptions'!C29</f>
        <v/>
      </c>
      <c r="D26" s="16">
        <f>'Schedules'!C29</f>
        <v/>
      </c>
      <c r="E26" s="16">
        <f>'Schedules'!D29</f>
        <v/>
      </c>
      <c r="F26" s="16">
        <f>'Schedules'!E29</f>
        <v/>
      </c>
      <c r="G26" s="16">
        <f>'Schedules'!F29</f>
        <v/>
      </c>
      <c r="H26" s="16">
        <f>'Schedules'!G29</f>
        <v/>
      </c>
    </row>
    <row r="27">
      <c r="A27" s="10" t="inlineStr">
        <is>
          <t xml:space="preserve">  NOL utilised</t>
        </is>
      </c>
      <c r="C27" s="16">
        <f>MIN('Schedules'!C26,'Assumptions'!C30*MAX(0,'Schedules'!C25))</f>
        <v/>
      </c>
      <c r="D27" s="16">
        <f>MIN('Schedules'!D26,'Assumptions'!C30*MAX(0,'Schedules'!D25))</f>
        <v/>
      </c>
      <c r="E27" s="16">
        <f>MIN('Schedules'!E26,'Assumptions'!C30*MAX(0,'Schedules'!E25))</f>
        <v/>
      </c>
      <c r="F27" s="16">
        <f>MIN('Schedules'!F26,'Assumptions'!C30*MAX(0,'Schedules'!F25))</f>
        <v/>
      </c>
      <c r="G27" s="16">
        <f>MIN('Schedules'!G26,'Assumptions'!C30*MAX(0,'Schedules'!G25))</f>
        <v/>
      </c>
      <c r="H27" s="16">
        <f>MIN('Schedules'!H26,'Assumptions'!C30*MAX(0,'Schedules'!H25))</f>
        <v/>
      </c>
    </row>
    <row r="28">
      <c r="A28" s="10" t="inlineStr">
        <is>
          <t xml:space="preserve">  NOL generated</t>
        </is>
      </c>
      <c r="C28" s="16">
        <f>MAX(0,-'Schedules'!C25)</f>
        <v/>
      </c>
      <c r="D28" s="16">
        <f>MAX(0,-'Schedules'!D25)</f>
        <v/>
      </c>
      <c r="E28" s="16">
        <f>MAX(0,-'Schedules'!E25)</f>
        <v/>
      </c>
      <c r="F28" s="16">
        <f>MAX(0,-'Schedules'!F25)</f>
        <v/>
      </c>
      <c r="G28" s="16">
        <f>MAX(0,-'Schedules'!G25)</f>
        <v/>
      </c>
      <c r="H28" s="16">
        <f>MAX(0,-'Schedules'!H25)</f>
        <v/>
      </c>
    </row>
    <row r="29">
      <c r="A29" s="4" t="inlineStr">
        <is>
          <t xml:space="preserve">  Ending NOL balance</t>
        </is>
      </c>
      <c r="C29" s="17">
        <f>'Schedules'!C26-'Schedules'!C27+'Schedules'!C28</f>
        <v/>
      </c>
      <c r="D29" s="17">
        <f>'Schedules'!D26-'Schedules'!D27+'Schedules'!D28</f>
        <v/>
      </c>
      <c r="E29" s="17">
        <f>'Schedules'!E26-'Schedules'!E27+'Schedules'!E28</f>
        <v/>
      </c>
      <c r="F29" s="17">
        <f>'Schedules'!F26-'Schedules'!F27+'Schedules'!F28</f>
        <v/>
      </c>
      <c r="G29" s="17">
        <f>'Schedules'!G26-'Schedules'!G27+'Schedules'!G28</f>
        <v/>
      </c>
      <c r="H29" s="17">
        <f>'Schedules'!H26-'Schedules'!H27+'Schedules'!H28</f>
        <v/>
      </c>
    </row>
    <row r="30">
      <c r="A30" s="4" t="inlineStr">
        <is>
          <t xml:space="preserve">  Current income tax</t>
        </is>
      </c>
      <c r="C30" s="17">
        <f>'Assumptions'!C28*MAX(0,'Schedules'!C25-'Schedules'!C27)</f>
        <v/>
      </c>
      <c r="D30" s="17">
        <f>'Assumptions'!C28*MAX(0,'Schedules'!D25-'Schedules'!D27)</f>
        <v/>
      </c>
      <c r="E30" s="17">
        <f>'Assumptions'!C28*MAX(0,'Schedules'!E25-'Schedules'!E27)</f>
        <v/>
      </c>
      <c r="F30" s="17">
        <f>'Assumptions'!C28*MAX(0,'Schedules'!F25-'Schedules'!F27)</f>
        <v/>
      </c>
      <c r="G30" s="17">
        <f>'Assumptions'!C28*MAX(0,'Schedules'!G25-'Schedules'!G27)</f>
        <v/>
      </c>
      <c r="H30" s="17">
        <f>'Assumptions'!C28*MAX(0,'Schedules'!H25-'Schedules'!H27)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PRO-FORMA COMBINED INCOME STATEMENT (US$M)</t>
        </is>
      </c>
    </row>
    <row r="2">
      <c r="A2" s="13" t="inlineStr">
        <is>
          <t>FY2025 shown pro-forma for comparability; deal effective 1-Jan-2026 in the model.</t>
        </is>
      </c>
    </row>
    <row r="3">
      <c r="A3" t="inlineStr"/>
      <c r="C3" s="7" t="inlineStr">
        <is>
          <t>2025A</t>
        </is>
      </c>
      <c r="D3" s="7" t="inlineStr">
        <is>
          <t>2026E</t>
        </is>
      </c>
      <c r="E3" s="7" t="inlineStr">
        <is>
          <t>2027E</t>
        </is>
      </c>
      <c r="F3" s="7" t="inlineStr">
        <is>
          <t>2028E</t>
        </is>
      </c>
      <c r="G3" s="7" t="inlineStr">
        <is>
          <t>2029E</t>
        </is>
      </c>
      <c r="H3" s="7" t="inlineStr">
        <is>
          <t>2030E</t>
        </is>
      </c>
    </row>
    <row r="4">
      <c r="A4" s="10" t="inlineStr">
        <is>
          <t>Revenue — SpaceX</t>
        </is>
      </c>
      <c r="C4" s="16">
        <f>'IS SpaceX'!C3</f>
        <v/>
      </c>
      <c r="D4" s="16">
        <f>'IS SpaceX'!D3</f>
        <v/>
      </c>
      <c r="E4" s="16">
        <f>'IS SpaceX'!E3</f>
        <v/>
      </c>
      <c r="F4" s="16">
        <f>'IS SpaceX'!F3</f>
        <v/>
      </c>
      <c r="G4" s="16">
        <f>'IS SpaceX'!G3</f>
        <v/>
      </c>
      <c r="H4" s="16">
        <f>'IS SpaceX'!H3</f>
        <v/>
      </c>
    </row>
    <row r="5">
      <c r="A5" s="10" t="inlineStr">
        <is>
          <t>Revenue — Cursor</t>
        </is>
      </c>
      <c r="C5" s="16">
        <f>'IS Cursor'!C3</f>
        <v/>
      </c>
      <c r="D5" s="16">
        <f>'IS Cursor'!D3</f>
        <v/>
      </c>
      <c r="E5" s="16">
        <f>'IS Cursor'!E3</f>
        <v/>
      </c>
      <c r="F5" s="16">
        <f>'IS Cursor'!F3</f>
        <v/>
      </c>
      <c r="G5" s="16">
        <f>'IS Cursor'!G3</f>
        <v/>
      </c>
      <c r="H5" s="16">
        <f>'IS Cursor'!H3</f>
        <v/>
      </c>
    </row>
    <row r="6">
      <c r="A6" s="10" t="inlineStr">
        <is>
          <t>Revenue synergies</t>
        </is>
      </c>
      <c r="C6" s="16">
        <f>'Assumptions'!C16</f>
        <v/>
      </c>
      <c r="D6" s="16">
        <f>'Assumptions'!D16</f>
        <v/>
      </c>
      <c r="E6" s="16">
        <f>'Assumptions'!E16</f>
        <v/>
      </c>
      <c r="F6" s="16">
        <f>'Assumptions'!F16</f>
        <v/>
      </c>
      <c r="G6" s="16">
        <f>'Assumptions'!G16</f>
        <v/>
      </c>
      <c r="H6" s="16">
        <f>'Assumptions'!H16</f>
        <v/>
      </c>
    </row>
    <row r="7">
      <c r="A7" s="4" t="inlineStr">
        <is>
          <t>Total revenue</t>
        </is>
      </c>
      <c r="C7" s="17">
        <f>'Income Statement'!C4+'Income Statement'!C5+'Income Statement'!C6</f>
        <v/>
      </c>
      <c r="D7" s="17">
        <f>'Income Statement'!D4+'Income Statement'!D5+'Income Statement'!D6</f>
        <v/>
      </c>
      <c r="E7" s="17">
        <f>'Income Statement'!E4+'Income Statement'!E5+'Income Statement'!E6</f>
        <v/>
      </c>
      <c r="F7" s="17">
        <f>'Income Statement'!F4+'Income Statement'!F5+'Income Statement'!F6</f>
        <v/>
      </c>
      <c r="G7" s="17">
        <f>'Income Statement'!G4+'Income Statement'!G5+'Income Statement'!G6</f>
        <v/>
      </c>
      <c r="H7" s="17">
        <f>'Income Statement'!H4+'Income Statement'!H5+'Income Statement'!H6</f>
        <v/>
      </c>
    </row>
    <row r="8">
      <c r="A8" s="10" t="inlineStr">
        <is>
          <t>Cost of revenue (net of cost synergies)</t>
        </is>
      </c>
      <c r="C8" s="16">
        <f>'IS SpaceX'!C4+'IS Cursor'!C4-'Assumptions'!C17</f>
        <v/>
      </c>
      <c r="D8" s="16">
        <f>'IS SpaceX'!D4+'IS Cursor'!D4-'Assumptions'!D17</f>
        <v/>
      </c>
      <c r="E8" s="16">
        <f>'IS SpaceX'!E4+'IS Cursor'!E4-'Assumptions'!E17</f>
        <v/>
      </c>
      <c r="F8" s="16">
        <f>'IS SpaceX'!F4+'IS Cursor'!F4-'Assumptions'!F17</f>
        <v/>
      </c>
      <c r="G8" s="16">
        <f>'IS SpaceX'!G4+'IS Cursor'!G4-'Assumptions'!G17</f>
        <v/>
      </c>
      <c r="H8" s="16">
        <f>'IS SpaceX'!H4+'IS Cursor'!H4-'Assumptions'!H17</f>
        <v/>
      </c>
    </row>
    <row r="9">
      <c r="A9" s="4" t="inlineStr">
        <is>
          <t>Gross profit</t>
        </is>
      </c>
      <c r="C9" s="17">
        <f>'Income Statement'!C7-'Income Statement'!C8</f>
        <v/>
      </c>
      <c r="D9" s="17">
        <f>'Income Statement'!D7-'Income Statement'!D8</f>
        <v/>
      </c>
      <c r="E9" s="17">
        <f>'Income Statement'!E7-'Income Statement'!E8</f>
        <v/>
      </c>
      <c r="F9" s="17">
        <f>'Income Statement'!F7-'Income Statement'!F8</f>
        <v/>
      </c>
      <c r="G9" s="17">
        <f>'Income Statement'!G7-'Income Statement'!G8</f>
        <v/>
      </c>
      <c r="H9" s="17">
        <f>'Income Statement'!H7-'Income Statement'!H8</f>
        <v/>
      </c>
    </row>
    <row r="10">
      <c r="A10" s="10" t="inlineStr">
        <is>
          <t xml:space="preserve">  Gross margin %</t>
        </is>
      </c>
      <c r="C10" s="18">
        <f>'Income Statement'!C9/'Income Statement'!C7</f>
        <v/>
      </c>
      <c r="D10" s="18">
        <f>'Income Statement'!D9/'Income Statement'!D7</f>
        <v/>
      </c>
      <c r="E10" s="18">
        <f>'Income Statement'!E9/'Income Statement'!E7</f>
        <v/>
      </c>
      <c r="F10" s="18">
        <f>'Income Statement'!F9/'Income Statement'!F7</f>
        <v/>
      </c>
      <c r="G10" s="18">
        <f>'Income Statement'!G9/'Income Statement'!G7</f>
        <v/>
      </c>
      <c r="H10" s="18">
        <f>'Income Statement'!H9/'Income Statement'!H7</f>
        <v/>
      </c>
    </row>
    <row r="11">
      <c r="A11" s="10" t="inlineStr">
        <is>
          <t>Research &amp; development</t>
        </is>
      </c>
      <c r="C11" s="16">
        <f>'IS SpaceX'!C6+'IS Cursor'!C6</f>
        <v/>
      </c>
      <c r="D11" s="16">
        <f>'IS SpaceX'!D6+'IS Cursor'!D6</f>
        <v/>
      </c>
      <c r="E11" s="16">
        <f>'IS SpaceX'!E6+'IS Cursor'!E6</f>
        <v/>
      </c>
      <c r="F11" s="16">
        <f>'IS SpaceX'!F6+'IS Cursor'!F6</f>
        <v/>
      </c>
      <c r="G11" s="16">
        <f>'IS SpaceX'!G6+'IS Cursor'!G6</f>
        <v/>
      </c>
      <c r="H11" s="16">
        <f>'IS SpaceX'!H6+'IS Cursor'!H6</f>
        <v/>
      </c>
    </row>
    <row r="12">
      <c r="A12" s="10" t="inlineStr">
        <is>
          <t>Selling, general &amp; administrative</t>
        </is>
      </c>
      <c r="C12" s="16">
        <f>'IS SpaceX'!C7+'IS Cursor'!C7+'IS Cursor'!C8</f>
        <v/>
      </c>
      <c r="D12" s="16">
        <f>'IS SpaceX'!D7+'IS Cursor'!D7+'IS Cursor'!D8</f>
        <v/>
      </c>
      <c r="E12" s="16">
        <f>'IS SpaceX'!E7+'IS Cursor'!E7+'IS Cursor'!E8</f>
        <v/>
      </c>
      <c r="F12" s="16">
        <f>'IS SpaceX'!F7+'IS Cursor'!F7+'IS Cursor'!F8</f>
        <v/>
      </c>
      <c r="G12" s="16">
        <f>'IS SpaceX'!G7+'IS Cursor'!G7+'IS Cursor'!G8</f>
        <v/>
      </c>
      <c r="H12" s="16">
        <f>'IS SpaceX'!H7+'IS Cursor'!H7+'IS Cursor'!H8</f>
        <v/>
      </c>
    </row>
    <row r="13">
      <c r="A13" s="10" t="inlineStr">
        <is>
          <t>Integration &amp; one-time deal costs</t>
        </is>
      </c>
      <c r="C13" s="16">
        <f>'Assumptions'!C18</f>
        <v/>
      </c>
      <c r="D13" s="16">
        <f>'Assumptions'!D18</f>
        <v/>
      </c>
      <c r="E13" s="16">
        <f>'Assumptions'!E18</f>
        <v/>
      </c>
      <c r="F13" s="16">
        <f>'Assumptions'!F18</f>
        <v/>
      </c>
      <c r="G13" s="16">
        <f>'Assumptions'!G18</f>
        <v/>
      </c>
      <c r="H13" s="16">
        <f>'Assumptions'!H18</f>
        <v/>
      </c>
    </row>
    <row r="14">
      <c r="A14" s="4" t="inlineStr">
        <is>
          <t>EBITDA</t>
        </is>
      </c>
      <c r="C14" s="17">
        <f>'Income Statement'!C9-'Income Statement'!C11-'Income Statement'!C12-'Income Statement'!C13</f>
        <v/>
      </c>
      <c r="D14" s="17">
        <f>'Income Statement'!D9-'Income Statement'!D11-'Income Statement'!D12-'Income Statement'!D13</f>
        <v/>
      </c>
      <c r="E14" s="17">
        <f>'Income Statement'!E9-'Income Statement'!E11-'Income Statement'!E12-'Income Statement'!E13</f>
        <v/>
      </c>
      <c r="F14" s="17">
        <f>'Income Statement'!F9-'Income Statement'!F11-'Income Statement'!F12-'Income Statement'!F13</f>
        <v/>
      </c>
      <c r="G14" s="17">
        <f>'Income Statement'!G9-'Income Statement'!G11-'Income Statement'!G12-'Income Statement'!G13</f>
        <v/>
      </c>
      <c r="H14" s="17">
        <f>'Income Statement'!H9-'Income Statement'!H11-'Income Statement'!H12-'Income Statement'!H13</f>
        <v/>
      </c>
    </row>
    <row r="15">
      <c r="A15" s="10" t="inlineStr">
        <is>
          <t xml:space="preserve">  EBITDA margin %</t>
        </is>
      </c>
      <c r="C15" s="18">
        <f>'Income Statement'!C14/'Income Statement'!C7</f>
        <v/>
      </c>
      <c r="D15" s="18">
        <f>'Income Statement'!D14/'Income Statement'!D7</f>
        <v/>
      </c>
      <c r="E15" s="18">
        <f>'Income Statement'!E14/'Income Statement'!E7</f>
        <v/>
      </c>
      <c r="F15" s="18">
        <f>'Income Statement'!F14/'Income Statement'!F7</f>
        <v/>
      </c>
      <c r="G15" s="18">
        <f>'Income Statement'!G14/'Income Statement'!G7</f>
        <v/>
      </c>
      <c r="H15" s="18">
        <f>'Income Statement'!H14/'Income Statement'!H7</f>
        <v/>
      </c>
    </row>
    <row r="16">
      <c r="A16" s="10" t="inlineStr">
        <is>
          <t>Depreciation</t>
        </is>
      </c>
      <c r="C16" s="16">
        <f>'Schedules'!C6</f>
        <v/>
      </c>
      <c r="D16" s="16">
        <f>'Schedules'!D6</f>
        <v/>
      </c>
      <c r="E16" s="16">
        <f>'Schedules'!E6</f>
        <v/>
      </c>
      <c r="F16" s="16">
        <f>'Schedules'!F6</f>
        <v/>
      </c>
      <c r="G16" s="16">
        <f>'Schedules'!G6</f>
        <v/>
      </c>
      <c r="H16" s="16">
        <f>'Schedules'!H6</f>
        <v/>
      </c>
    </row>
    <row r="17">
      <c r="A17" s="10" t="inlineStr">
        <is>
          <t>Amortization of acquired intangibles</t>
        </is>
      </c>
      <c r="C17" s="16">
        <f>'Schedules'!C10</f>
        <v/>
      </c>
      <c r="D17" s="16">
        <f>'Schedules'!D10</f>
        <v/>
      </c>
      <c r="E17" s="16">
        <f>'Schedules'!E10</f>
        <v/>
      </c>
      <c r="F17" s="16">
        <f>'Schedules'!F10</f>
        <v/>
      </c>
      <c r="G17" s="16">
        <f>'Schedules'!G10</f>
        <v/>
      </c>
      <c r="H17" s="16">
        <f>'Schedules'!H10</f>
        <v/>
      </c>
    </row>
    <row r="18">
      <c r="A18" s="4" t="inlineStr">
        <is>
          <t>EBIT (operating income)</t>
        </is>
      </c>
      <c r="C18" s="17">
        <f>'Income Statement'!C14-'Income Statement'!C16-'Income Statement'!C17</f>
        <v/>
      </c>
      <c r="D18" s="17">
        <f>'Income Statement'!D14-'Income Statement'!D16-'Income Statement'!D17</f>
        <v/>
      </c>
      <c r="E18" s="17">
        <f>'Income Statement'!E14-'Income Statement'!E16-'Income Statement'!E17</f>
        <v/>
      </c>
      <c r="F18" s="17">
        <f>'Income Statement'!F14-'Income Statement'!F16-'Income Statement'!F17</f>
        <v/>
      </c>
      <c r="G18" s="17">
        <f>'Income Statement'!G14-'Income Statement'!G16-'Income Statement'!G17</f>
        <v/>
      </c>
      <c r="H18" s="17">
        <f>'Income Statement'!H14-'Income Statement'!H16-'Income Statement'!H17</f>
        <v/>
      </c>
    </row>
    <row r="19">
      <c r="A19" s="10" t="inlineStr">
        <is>
          <t xml:space="preserve">  Operating margin %</t>
        </is>
      </c>
      <c r="C19" s="18">
        <f>'Income Statement'!C18/'Income Statement'!C7</f>
        <v/>
      </c>
      <c r="D19" s="18">
        <f>'Income Statement'!D18/'Income Statement'!D7</f>
        <v/>
      </c>
      <c r="E19" s="18">
        <f>'Income Statement'!E18/'Income Statement'!E7</f>
        <v/>
      </c>
      <c r="F19" s="18">
        <f>'Income Statement'!F18/'Income Statement'!F7</f>
        <v/>
      </c>
      <c r="G19" s="18">
        <f>'Income Statement'!G18/'Income Statement'!G7</f>
        <v/>
      </c>
      <c r="H19" s="18">
        <f>'Income Statement'!H18/'Income Statement'!H7</f>
        <v/>
      </c>
    </row>
    <row r="20">
      <c r="A20" s="10" t="inlineStr">
        <is>
          <t>Interest expense</t>
        </is>
      </c>
      <c r="C20" s="16">
        <f>-'Schedules'!C22</f>
        <v/>
      </c>
      <c r="D20" s="16">
        <f>-'Schedules'!D22</f>
        <v/>
      </c>
      <c r="E20" s="16">
        <f>-'Schedules'!E22</f>
        <v/>
      </c>
      <c r="F20" s="16">
        <f>-'Schedules'!F22</f>
        <v/>
      </c>
      <c r="G20" s="16">
        <f>-'Schedules'!G22</f>
        <v/>
      </c>
      <c r="H20" s="16">
        <f>-'Schedules'!H22</f>
        <v/>
      </c>
    </row>
    <row r="21">
      <c r="A21" s="10" t="inlineStr">
        <is>
          <t>Interest income</t>
        </is>
      </c>
      <c r="C21" s="16">
        <f>12000*'Assumptions'!C27</f>
        <v/>
      </c>
      <c r="D21" s="16">
        <f>'Balance Sheet'!F4*'Assumptions'!C27</f>
        <v/>
      </c>
      <c r="E21" s="16">
        <f>'Balance Sheet'!G4*'Assumptions'!C27</f>
        <v/>
      </c>
      <c r="F21" s="16">
        <f>'Balance Sheet'!H4*'Assumptions'!C27</f>
        <v/>
      </c>
      <c r="G21" s="16">
        <f>'Balance Sheet'!I4*'Assumptions'!C27</f>
        <v/>
      </c>
      <c r="H21" s="16">
        <f>'Balance Sheet'!J4*'Assumptions'!C27</f>
        <v/>
      </c>
    </row>
    <row r="22">
      <c r="A22" s="4" t="inlineStr">
        <is>
          <t>Pre-tax income (loss)</t>
        </is>
      </c>
      <c r="C22" s="17">
        <f>'Income Statement'!C18+'Income Statement'!C20+'Income Statement'!C21</f>
        <v/>
      </c>
      <c r="D22" s="17">
        <f>'Income Statement'!D18+'Income Statement'!D20+'Income Statement'!D21</f>
        <v/>
      </c>
      <c r="E22" s="17">
        <f>'Income Statement'!E18+'Income Statement'!E20+'Income Statement'!E21</f>
        <v/>
      </c>
      <c r="F22" s="17">
        <f>'Income Statement'!F18+'Income Statement'!F20+'Income Statement'!F21</f>
        <v/>
      </c>
      <c r="G22" s="17">
        <f>'Income Statement'!G18+'Income Statement'!G20+'Income Statement'!G21</f>
        <v/>
      </c>
      <c r="H22" s="17">
        <f>'Income Statement'!H18+'Income Statement'!H20+'Income Statement'!H21</f>
        <v/>
      </c>
    </row>
    <row r="23">
      <c r="A23" s="10" t="inlineStr">
        <is>
          <t>Current income tax</t>
        </is>
      </c>
      <c r="C23" s="16">
        <f>-'Schedules'!C30</f>
        <v/>
      </c>
      <c r="D23" s="16">
        <f>-'Schedules'!D30</f>
        <v/>
      </c>
      <c r="E23" s="16">
        <f>-'Schedules'!E30</f>
        <v/>
      </c>
      <c r="F23" s="16">
        <f>-'Schedules'!F30</f>
        <v/>
      </c>
      <c r="G23" s="16">
        <f>-'Schedules'!G30</f>
        <v/>
      </c>
      <c r="H23" s="16">
        <f>-'Schedules'!H30</f>
        <v/>
      </c>
    </row>
    <row r="24">
      <c r="A24" s="10" t="inlineStr">
        <is>
          <t>Deferred income tax (benefit)</t>
        </is>
      </c>
      <c r="C24" s="16">
        <f>-'Schedules'!C13</f>
        <v/>
      </c>
      <c r="D24" s="16">
        <f>-'Schedules'!D13</f>
        <v/>
      </c>
      <c r="E24" s="16">
        <f>-'Schedules'!E13</f>
        <v/>
      </c>
      <c r="F24" s="16">
        <f>-'Schedules'!F13</f>
        <v/>
      </c>
      <c r="G24" s="16">
        <f>-'Schedules'!G13</f>
        <v/>
      </c>
      <c r="H24" s="16">
        <f>-'Schedules'!H13</f>
        <v/>
      </c>
    </row>
    <row r="25">
      <c r="A25" s="4" t="inlineStr">
        <is>
          <t>Net income (loss)</t>
        </is>
      </c>
      <c r="C25" s="17">
        <f>'Income Statement'!C22+'Income Statement'!C23+'Income Statement'!C24</f>
        <v/>
      </c>
      <c r="D25" s="17">
        <f>'Income Statement'!D22+'Income Statement'!D23+'Income Statement'!D24</f>
        <v/>
      </c>
      <c r="E25" s="17">
        <f>'Income Statement'!E22+'Income Statement'!E23+'Income Statement'!E24</f>
        <v/>
      </c>
      <c r="F25" s="17">
        <f>'Income Statement'!F22+'Income Statement'!F23+'Income Statement'!F24</f>
        <v/>
      </c>
      <c r="G25" s="17">
        <f>'Income Statement'!G22+'Income Statement'!G23+'Income Statement'!G24</f>
        <v/>
      </c>
      <c r="H25" s="17">
        <f>'Income Statement'!H22+'Income Statement'!H23+'Income Statement'!H24</f>
        <v/>
      </c>
    </row>
    <row r="26">
      <c r="A26" s="10" t="inlineStr">
        <is>
          <t xml:space="preserve">  Net margin %</t>
        </is>
      </c>
      <c r="C26" s="18">
        <f>'Income Statement'!C25/'Income Statement'!C7</f>
        <v/>
      </c>
      <c r="D26" s="18">
        <f>'Income Statement'!D25/'Income Statement'!D7</f>
        <v/>
      </c>
      <c r="E26" s="18">
        <f>'Income Statement'!E25/'Income Statement'!E7</f>
        <v/>
      </c>
      <c r="F26" s="18">
        <f>'Income Statement'!F25/'Income Statement'!F7</f>
        <v/>
      </c>
      <c r="G26" s="18">
        <f>'Income Statement'!G25/'Income Statement'!G7</f>
        <v/>
      </c>
      <c r="H26" s="18">
        <f>'Income Statement'!H25/'Income Statement'!H7</f>
        <v/>
      </c>
    </row>
    <row r="27">
      <c r="A27" s="10" t="inlineStr">
        <is>
          <t>Diluted shares outstanding (M)</t>
        </is>
      </c>
      <c r="C27" s="20">
        <f>'Assumptions'!C31+'Deal &amp; PPA'!C6</f>
        <v/>
      </c>
      <c r="D27" s="20">
        <f>'Assumptions'!C31+'Deal &amp; PPA'!C6</f>
        <v/>
      </c>
      <c r="E27" s="20">
        <f>'Assumptions'!C31+'Deal &amp; PPA'!C6</f>
        <v/>
      </c>
      <c r="F27" s="20">
        <f>'Assumptions'!C31+'Deal &amp; PPA'!C6</f>
        <v/>
      </c>
      <c r="G27" s="20">
        <f>'Assumptions'!C31+'Deal &amp; PPA'!C6</f>
        <v/>
      </c>
      <c r="H27" s="20">
        <f>'Assumptions'!C31+'Deal &amp; PPA'!C6</f>
        <v/>
      </c>
    </row>
    <row r="28">
      <c r="A28" s="10" t="inlineStr">
        <is>
          <t>Diluted EPS ($)</t>
        </is>
      </c>
      <c r="C28" s="19">
        <f>'Income Statement'!C25/'Income Statement'!C27</f>
        <v/>
      </c>
      <c r="D28" s="19">
        <f>'Income Statement'!D25/'Income Statement'!D27</f>
        <v/>
      </c>
      <c r="E28" s="19">
        <f>'Income Statement'!E25/'Income Statement'!E27</f>
        <v/>
      </c>
      <c r="F28" s="19">
        <f>'Income Statement'!F25/'Income Statement'!F27</f>
        <v/>
      </c>
      <c r="G28" s="19">
        <f>'Income Statement'!G25/'Income Statement'!G27</f>
        <v/>
      </c>
      <c r="H28" s="19">
        <f>'Income Statement'!H25/'Income Statement'!H27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PRO-FORMA COMBINED BALANCE SHEET (US$M)</t>
        </is>
      </c>
    </row>
    <row r="2">
      <c r="A2" t="inlineStr"/>
      <c r="C2" s="23" t="inlineStr">
        <is>
          <t>SpaceX 2025A</t>
        </is>
      </c>
      <c r="D2" s="23" t="inlineStr">
        <is>
          <t>+ Cursor</t>
        </is>
      </c>
      <c r="E2" s="23" t="inlineStr">
        <is>
          <t>+ Purch. acctg</t>
        </is>
      </c>
      <c r="F2" s="23" t="inlineStr">
        <is>
          <t>PF Open 1/1/26</t>
        </is>
      </c>
      <c r="G2" s="23" t="inlineStr">
        <is>
          <t>2026E</t>
        </is>
      </c>
      <c r="H2" s="23" t="inlineStr">
        <is>
          <t>2027E</t>
        </is>
      </c>
      <c r="I2" s="23" t="inlineStr">
        <is>
          <t>2028E</t>
        </is>
      </c>
      <c r="J2" s="23" t="inlineStr">
        <is>
          <t>2029E</t>
        </is>
      </c>
      <c r="K2" s="23" t="inlineStr">
        <is>
          <t>2030E</t>
        </is>
      </c>
    </row>
    <row r="3">
      <c r="A3" s="8" t="inlineStr">
        <is>
          <t>ASSETS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10" t="inlineStr">
        <is>
          <t>Cash, equivalents &amp; ST investments</t>
        </is>
      </c>
      <c r="C4" s="16" t="n">
        <v>12000</v>
      </c>
      <c r="D4" s="16" t="n">
        <v>3000</v>
      </c>
      <c r="E4" s="16" t="n">
        <v>0</v>
      </c>
      <c r="F4" s="16">
        <f>'Balance Sheet'!C4+'Balance Sheet'!D4+'Balance Sheet'!E4</f>
        <v/>
      </c>
      <c r="G4" s="16">
        <f>'Cash Flow'!D29</f>
        <v/>
      </c>
      <c r="H4" s="16">
        <f>'Cash Flow'!E29</f>
        <v/>
      </c>
      <c r="I4" s="16">
        <f>'Cash Flow'!F29</f>
        <v/>
      </c>
      <c r="J4" s="16">
        <f>'Cash Flow'!G29</f>
        <v/>
      </c>
      <c r="K4" s="16">
        <f>'Cash Flow'!H29</f>
        <v/>
      </c>
    </row>
    <row r="5">
      <c r="A5" s="10" t="inlineStr">
        <is>
          <t>Accounts receivable</t>
        </is>
      </c>
      <c r="C5" s="16" t="n">
        <v>2500</v>
      </c>
      <c r="D5" s="16" t="n">
        <v>250</v>
      </c>
      <c r="E5" s="16" t="n">
        <v>0</v>
      </c>
      <c r="F5" s="16">
        <f>'Balance Sheet'!C5+'Balance Sheet'!D5+'Balance Sheet'!E5</f>
        <v/>
      </c>
      <c r="G5" s="16">
        <f>'Income Statement'!D7*'Assumptions'!C34</f>
        <v/>
      </c>
      <c r="H5" s="16">
        <f>'Income Statement'!E7*'Assumptions'!C34</f>
        <v/>
      </c>
      <c r="I5" s="16">
        <f>'Income Statement'!F7*'Assumptions'!C34</f>
        <v/>
      </c>
      <c r="J5" s="16">
        <f>'Income Statement'!G7*'Assumptions'!C34</f>
        <v/>
      </c>
      <c r="K5" s="16">
        <f>'Income Statement'!H7*'Assumptions'!C34</f>
        <v/>
      </c>
    </row>
    <row r="6">
      <c r="A6" s="10" t="inlineStr">
        <is>
          <t>Inventory</t>
        </is>
      </c>
      <c r="C6" s="16" t="n">
        <v>2800</v>
      </c>
      <c r="D6" s="16" t="n">
        <v>0</v>
      </c>
      <c r="E6" s="16" t="n">
        <v>0</v>
      </c>
      <c r="F6" s="16">
        <f>'Balance Sheet'!C6+'Balance Sheet'!D6+'Balance Sheet'!E6</f>
        <v/>
      </c>
      <c r="G6" s="16">
        <f>'Income Statement'!D7*'Assumptions'!C35</f>
        <v/>
      </c>
      <c r="H6" s="16">
        <f>'Income Statement'!E7*'Assumptions'!C35</f>
        <v/>
      </c>
      <c r="I6" s="16">
        <f>'Income Statement'!F7*'Assumptions'!C35</f>
        <v/>
      </c>
      <c r="J6" s="16">
        <f>'Income Statement'!G7*'Assumptions'!C35</f>
        <v/>
      </c>
      <c r="K6" s="16">
        <f>'Income Statement'!H7*'Assumptions'!C35</f>
        <v/>
      </c>
    </row>
    <row r="7">
      <c r="A7" s="10" t="inlineStr">
        <is>
          <t>Prepaid &amp; other current assets</t>
        </is>
      </c>
      <c r="C7" s="16" t="n">
        <v>1500</v>
      </c>
      <c r="D7" s="16" t="n">
        <v>150</v>
      </c>
      <c r="E7" s="16" t="n">
        <v>0</v>
      </c>
      <c r="F7" s="16">
        <f>'Balance Sheet'!C7+'Balance Sheet'!D7+'Balance Sheet'!E7</f>
        <v/>
      </c>
      <c r="G7" s="16">
        <f>'Income Statement'!D7*'Assumptions'!C36</f>
        <v/>
      </c>
      <c r="H7" s="16">
        <f>'Income Statement'!E7*'Assumptions'!C36</f>
        <v/>
      </c>
      <c r="I7" s="16">
        <f>'Income Statement'!F7*'Assumptions'!C36</f>
        <v/>
      </c>
      <c r="J7" s="16">
        <f>'Income Statement'!G7*'Assumptions'!C36</f>
        <v/>
      </c>
      <c r="K7" s="16">
        <f>'Income Statement'!H7*'Assumptions'!C36</f>
        <v/>
      </c>
    </row>
    <row r="8">
      <c r="A8" s="4" t="inlineStr">
        <is>
          <t>Total current assets</t>
        </is>
      </c>
      <c r="C8" s="22">
        <f>'Balance Sheet'!C4+'Balance Sheet'!C5+'Balance Sheet'!C6+'Balance Sheet'!C7</f>
        <v/>
      </c>
      <c r="D8" s="22">
        <f>'Balance Sheet'!D4+'Balance Sheet'!D5+'Balance Sheet'!D6+'Balance Sheet'!D7</f>
        <v/>
      </c>
      <c r="E8" s="22">
        <f>'Balance Sheet'!E4+'Balance Sheet'!E5+'Balance Sheet'!E6+'Balance Sheet'!E7</f>
        <v/>
      </c>
      <c r="F8" s="22">
        <f>'Balance Sheet'!F4+'Balance Sheet'!F5+'Balance Sheet'!F6+'Balance Sheet'!F7</f>
        <v/>
      </c>
      <c r="G8" s="22">
        <f>'Balance Sheet'!G4+'Balance Sheet'!G5+'Balance Sheet'!G6+'Balance Sheet'!G7</f>
        <v/>
      </c>
      <c r="H8" s="22">
        <f>'Balance Sheet'!H4+'Balance Sheet'!H5+'Balance Sheet'!H6+'Balance Sheet'!H7</f>
        <v/>
      </c>
      <c r="I8" s="22">
        <f>'Balance Sheet'!I4+'Balance Sheet'!I5+'Balance Sheet'!I6+'Balance Sheet'!I7</f>
        <v/>
      </c>
      <c r="J8" s="22">
        <f>'Balance Sheet'!J4+'Balance Sheet'!J5+'Balance Sheet'!J6+'Balance Sheet'!J7</f>
        <v/>
      </c>
      <c r="K8" s="22">
        <f>'Balance Sheet'!K4+'Balance Sheet'!K5+'Balance Sheet'!K6+'Balance Sheet'!K7</f>
        <v/>
      </c>
    </row>
    <row r="9">
      <c r="A9" s="10" t="inlineStr">
        <is>
          <t>Property &amp; equipment, net</t>
        </is>
      </c>
      <c r="C9" s="16" t="n">
        <v>46000</v>
      </c>
      <c r="D9" s="16" t="n">
        <v>300</v>
      </c>
      <c r="E9" s="16" t="n">
        <v>0</v>
      </c>
      <c r="F9" s="16">
        <f>'Balance Sheet'!C9+'Balance Sheet'!D9+'Balance Sheet'!E9</f>
        <v/>
      </c>
      <c r="G9" s="16">
        <f>'Schedules'!D7</f>
        <v/>
      </c>
      <c r="H9" s="16">
        <f>'Schedules'!E7</f>
        <v/>
      </c>
      <c r="I9" s="16">
        <f>'Schedules'!F7</f>
        <v/>
      </c>
      <c r="J9" s="16">
        <f>'Schedules'!G7</f>
        <v/>
      </c>
      <c r="K9" s="16">
        <f>'Schedules'!H7</f>
        <v/>
      </c>
    </row>
    <row r="10">
      <c r="A10" s="10" t="inlineStr">
        <is>
          <t>Acquired intangibles, net</t>
        </is>
      </c>
      <c r="C10" s="16" t="n">
        <v>0</v>
      </c>
      <c r="D10" s="16" t="n">
        <v>0</v>
      </c>
      <c r="E10" s="16">
        <f>'Deal &amp; PPA'!C21</f>
        <v/>
      </c>
      <c r="F10" s="16">
        <f>'Balance Sheet'!C10+'Balance Sheet'!D10+'Balance Sheet'!E10</f>
        <v/>
      </c>
      <c r="G10" s="16">
        <f>'Schedules'!D11</f>
        <v/>
      </c>
      <c r="H10" s="16">
        <f>'Schedules'!E11</f>
        <v/>
      </c>
      <c r="I10" s="16">
        <f>'Schedules'!F11</f>
        <v/>
      </c>
      <c r="J10" s="16">
        <f>'Schedules'!G11</f>
        <v/>
      </c>
      <c r="K10" s="16">
        <f>'Schedules'!H11</f>
        <v/>
      </c>
    </row>
    <row r="11">
      <c r="A11" s="10" t="inlineStr">
        <is>
          <t>Goodwill</t>
        </is>
      </c>
      <c r="C11" s="16" t="n">
        <v>0</v>
      </c>
      <c r="D11" s="16" t="n">
        <v>0</v>
      </c>
      <c r="E11" s="16">
        <f>'Deal &amp; PPA'!C26</f>
        <v/>
      </c>
      <c r="F11" s="16">
        <f>'Balance Sheet'!C11+'Balance Sheet'!D11+'Balance Sheet'!E11</f>
        <v/>
      </c>
      <c r="G11" s="16">
        <f>'Balance Sheet'!F11</f>
        <v/>
      </c>
      <c r="H11" s="16">
        <f>'Balance Sheet'!G11</f>
        <v/>
      </c>
      <c r="I11" s="16">
        <f>'Balance Sheet'!H11</f>
        <v/>
      </c>
      <c r="J11" s="16">
        <f>'Balance Sheet'!I11</f>
        <v/>
      </c>
      <c r="K11" s="16">
        <f>'Balance Sheet'!J11</f>
        <v/>
      </c>
    </row>
    <row r="12">
      <c r="A12" s="10" t="inlineStr">
        <is>
          <t>Spectrum &amp; other intangibles</t>
        </is>
      </c>
      <c r="C12" s="16" t="n">
        <v>19600</v>
      </c>
      <c r="D12" s="16" t="n">
        <v>0</v>
      </c>
      <c r="E12" s="16" t="n">
        <v>0</v>
      </c>
      <c r="F12" s="16">
        <f>'Balance Sheet'!C12+'Balance Sheet'!D12+'Balance Sheet'!E12</f>
        <v/>
      </c>
      <c r="G12" s="16">
        <f>'Balance Sheet'!F12</f>
        <v/>
      </c>
      <c r="H12" s="16">
        <f>'Balance Sheet'!G12</f>
        <v/>
      </c>
      <c r="I12" s="16">
        <f>'Balance Sheet'!H12</f>
        <v/>
      </c>
      <c r="J12" s="16">
        <f>'Balance Sheet'!I12</f>
        <v/>
      </c>
      <c r="K12" s="16">
        <f>'Balance Sheet'!J12</f>
        <v/>
      </c>
    </row>
    <row r="13">
      <c r="A13" s="10" t="inlineStr">
        <is>
          <t>Other long-term assets</t>
        </is>
      </c>
      <c r="C13" s="16" t="n">
        <v>7700</v>
      </c>
      <c r="D13" s="16" t="n">
        <v>0</v>
      </c>
      <c r="E13" s="16" t="n">
        <v>0</v>
      </c>
      <c r="F13" s="16">
        <f>'Balance Sheet'!C13+'Balance Sheet'!D13+'Balance Sheet'!E13</f>
        <v/>
      </c>
      <c r="G13" s="16">
        <f>'Balance Sheet'!F13</f>
        <v/>
      </c>
      <c r="H13" s="16">
        <f>'Balance Sheet'!G13</f>
        <v/>
      </c>
      <c r="I13" s="16">
        <f>'Balance Sheet'!H13</f>
        <v/>
      </c>
      <c r="J13" s="16">
        <f>'Balance Sheet'!I13</f>
        <v/>
      </c>
      <c r="K13" s="16">
        <f>'Balance Sheet'!J13</f>
        <v/>
      </c>
    </row>
    <row r="14">
      <c r="A14" s="4" t="inlineStr">
        <is>
          <t>TOTAL ASSETS</t>
        </is>
      </c>
      <c r="C14" s="22">
        <f>'Balance Sheet'!C8+'Balance Sheet'!C9+'Balance Sheet'!C10+'Balance Sheet'!C11+'Balance Sheet'!C12+'Balance Sheet'!C13</f>
        <v/>
      </c>
      <c r="D14" s="22">
        <f>'Balance Sheet'!D8+'Balance Sheet'!D9+'Balance Sheet'!D10+'Balance Sheet'!D11+'Balance Sheet'!D12+'Balance Sheet'!D13</f>
        <v/>
      </c>
      <c r="E14" s="22">
        <f>'Balance Sheet'!E8+'Balance Sheet'!E9+'Balance Sheet'!E10+'Balance Sheet'!E11+'Balance Sheet'!E12+'Balance Sheet'!E13</f>
        <v/>
      </c>
      <c r="F14" s="22">
        <f>'Balance Sheet'!F8+'Balance Sheet'!F9+'Balance Sheet'!F10+'Balance Sheet'!F11+'Balance Sheet'!F12+'Balance Sheet'!F13</f>
        <v/>
      </c>
      <c r="G14" s="22">
        <f>'Balance Sheet'!G8+'Balance Sheet'!G9+'Balance Sheet'!G10+'Balance Sheet'!G11+'Balance Sheet'!G12+'Balance Sheet'!G13</f>
        <v/>
      </c>
      <c r="H14" s="22">
        <f>'Balance Sheet'!H8+'Balance Sheet'!H9+'Balance Sheet'!H10+'Balance Sheet'!H11+'Balance Sheet'!H12+'Balance Sheet'!H13</f>
        <v/>
      </c>
      <c r="I14" s="22">
        <f>'Balance Sheet'!I8+'Balance Sheet'!I9+'Balance Sheet'!I10+'Balance Sheet'!I11+'Balance Sheet'!I12+'Balance Sheet'!I13</f>
        <v/>
      </c>
      <c r="J14" s="22">
        <f>'Balance Sheet'!J8+'Balance Sheet'!J9+'Balance Sheet'!J10+'Balance Sheet'!J11+'Balance Sheet'!J12+'Balance Sheet'!J13</f>
        <v/>
      </c>
      <c r="K14" s="22">
        <f>'Balance Sheet'!K8+'Balance Sheet'!K9+'Balance Sheet'!K10+'Balance Sheet'!K11+'Balance Sheet'!K12+'Balance Sheet'!K13</f>
        <v/>
      </c>
    </row>
    <row r="15">
      <c r="A15" s="8" t="inlineStr">
        <is>
          <t>LIABILITIES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inlineStr">
        <is>
          <t>Accounts payable</t>
        </is>
      </c>
      <c r="C16" s="16" t="n">
        <v>2800</v>
      </c>
      <c r="D16" s="16" t="n">
        <v>150</v>
      </c>
      <c r="E16" s="16" t="n">
        <v>0</v>
      </c>
      <c r="F16" s="16">
        <f>'Balance Sheet'!C16+'Balance Sheet'!D16+'Balance Sheet'!E16</f>
        <v/>
      </c>
      <c r="G16" s="16">
        <f>'Income Statement'!D7*'Assumptions'!C37</f>
        <v/>
      </c>
      <c r="H16" s="16">
        <f>'Income Statement'!E7*'Assumptions'!C37</f>
        <v/>
      </c>
      <c r="I16" s="16">
        <f>'Income Statement'!F7*'Assumptions'!C37</f>
        <v/>
      </c>
      <c r="J16" s="16">
        <f>'Income Statement'!G7*'Assumptions'!C37</f>
        <v/>
      </c>
      <c r="K16" s="16">
        <f>'Income Statement'!H7*'Assumptions'!C37</f>
        <v/>
      </c>
    </row>
    <row r="17">
      <c r="A17" s="10" t="inlineStr">
        <is>
          <t>Accrued liabilities</t>
        </is>
      </c>
      <c r="C17" s="16" t="n">
        <v>1700</v>
      </c>
      <c r="D17" s="16" t="n">
        <v>150</v>
      </c>
      <c r="E17" s="16" t="n">
        <v>0</v>
      </c>
      <c r="F17" s="16">
        <f>'Balance Sheet'!C17+'Balance Sheet'!D17+'Balance Sheet'!E17</f>
        <v/>
      </c>
      <c r="G17" s="16">
        <f>'Income Statement'!D7*'Assumptions'!C38</f>
        <v/>
      </c>
      <c r="H17" s="16">
        <f>'Income Statement'!E7*'Assumptions'!C38</f>
        <v/>
      </c>
      <c r="I17" s="16">
        <f>'Income Statement'!F7*'Assumptions'!C38</f>
        <v/>
      </c>
      <c r="J17" s="16">
        <f>'Income Statement'!G7*'Assumptions'!C38</f>
        <v/>
      </c>
      <c r="K17" s="16">
        <f>'Income Statement'!H7*'Assumptions'!C38</f>
        <v/>
      </c>
    </row>
    <row r="18">
      <c r="A18" s="10" t="inlineStr">
        <is>
          <t>Deferred revenue, current</t>
        </is>
      </c>
      <c r="C18" s="16" t="n">
        <v>2800</v>
      </c>
      <c r="D18" s="16" t="n">
        <v>300</v>
      </c>
      <c r="E18" s="16" t="n">
        <v>0</v>
      </c>
      <c r="F18" s="16">
        <f>'Balance Sheet'!C18+'Balance Sheet'!D18+'Balance Sheet'!E18</f>
        <v/>
      </c>
      <c r="G18" s="16">
        <f>'Income Statement'!D7*'Assumptions'!C39</f>
        <v/>
      </c>
      <c r="H18" s="16">
        <f>'Income Statement'!E7*'Assumptions'!C39</f>
        <v/>
      </c>
      <c r="I18" s="16">
        <f>'Income Statement'!F7*'Assumptions'!C39</f>
        <v/>
      </c>
      <c r="J18" s="16">
        <f>'Income Statement'!G7*'Assumptions'!C39</f>
        <v/>
      </c>
      <c r="K18" s="16">
        <f>'Income Statement'!H7*'Assumptions'!C39</f>
        <v/>
      </c>
    </row>
    <row r="19">
      <c r="A19" s="10" t="inlineStr">
        <is>
          <t>Customer deposits &amp; advances</t>
        </is>
      </c>
      <c r="C19" s="16" t="n">
        <v>1900</v>
      </c>
      <c r="D19" s="16" t="n">
        <v>0</v>
      </c>
      <c r="E19" s="16" t="n">
        <v>0</v>
      </c>
      <c r="F19" s="16">
        <f>'Balance Sheet'!C19+'Balance Sheet'!D19+'Balance Sheet'!E19</f>
        <v/>
      </c>
      <c r="G19" s="16">
        <f>'Income Statement'!D7*'Assumptions'!C40</f>
        <v/>
      </c>
      <c r="H19" s="16">
        <f>'Income Statement'!E7*'Assumptions'!C40</f>
        <v/>
      </c>
      <c r="I19" s="16">
        <f>'Income Statement'!F7*'Assumptions'!C40</f>
        <v/>
      </c>
      <c r="J19" s="16">
        <f>'Income Statement'!G7*'Assumptions'!C40</f>
        <v/>
      </c>
      <c r="K19" s="16">
        <f>'Income Statement'!H7*'Assumptions'!C40</f>
        <v/>
      </c>
    </row>
    <row r="20">
      <c r="A20" s="4" t="inlineStr">
        <is>
          <t>Total current liabilities</t>
        </is>
      </c>
      <c r="C20" s="22">
        <f>'Balance Sheet'!C16+'Balance Sheet'!C17+'Balance Sheet'!C18+'Balance Sheet'!C19</f>
        <v/>
      </c>
      <c r="D20" s="22">
        <f>'Balance Sheet'!D16+'Balance Sheet'!D17+'Balance Sheet'!D18+'Balance Sheet'!D19</f>
        <v/>
      </c>
      <c r="E20" s="22">
        <f>'Balance Sheet'!E16+'Balance Sheet'!E17+'Balance Sheet'!E18+'Balance Sheet'!E19</f>
        <v/>
      </c>
      <c r="F20" s="22">
        <f>'Balance Sheet'!F16+'Balance Sheet'!F17+'Balance Sheet'!F18+'Balance Sheet'!F19</f>
        <v/>
      </c>
      <c r="G20" s="22">
        <f>'Balance Sheet'!G16+'Balance Sheet'!G17+'Balance Sheet'!G18+'Balance Sheet'!G19</f>
        <v/>
      </c>
      <c r="H20" s="22">
        <f>'Balance Sheet'!H16+'Balance Sheet'!H17+'Balance Sheet'!H18+'Balance Sheet'!H19</f>
        <v/>
      </c>
      <c r="I20" s="22">
        <f>'Balance Sheet'!I16+'Balance Sheet'!I17+'Balance Sheet'!I18+'Balance Sheet'!I19</f>
        <v/>
      </c>
      <c r="J20" s="22">
        <f>'Balance Sheet'!J16+'Balance Sheet'!J17+'Balance Sheet'!J18+'Balance Sheet'!J19</f>
        <v/>
      </c>
      <c r="K20" s="22">
        <f>'Balance Sheet'!K16+'Balance Sheet'!K17+'Balance Sheet'!K18+'Balance Sheet'!K19</f>
        <v/>
      </c>
    </row>
    <row r="21">
      <c r="A21" s="10" t="inlineStr">
        <is>
          <t>Long-term debt</t>
        </is>
      </c>
      <c r="C21" s="16" t="n">
        <v>12000</v>
      </c>
      <c r="D21" s="16" t="n">
        <v>0</v>
      </c>
      <c r="E21" s="16" t="n">
        <v>0</v>
      </c>
      <c r="F21" s="16">
        <f>'Balance Sheet'!C21+'Balance Sheet'!D21+'Balance Sheet'!E21</f>
        <v/>
      </c>
      <c r="G21" s="16">
        <f>'Schedules'!D18</f>
        <v/>
      </c>
      <c r="H21" s="16">
        <f>'Schedules'!E18</f>
        <v/>
      </c>
      <c r="I21" s="16">
        <f>'Schedules'!F18</f>
        <v/>
      </c>
      <c r="J21" s="16">
        <f>'Schedules'!G18</f>
        <v/>
      </c>
      <c r="K21" s="16">
        <f>'Schedules'!H18</f>
        <v/>
      </c>
    </row>
    <row r="22">
      <c r="A22" s="10" t="inlineStr">
        <is>
          <t>Spectrum acquisition obligation</t>
        </is>
      </c>
      <c r="C22" s="16" t="n">
        <v>19600</v>
      </c>
      <c r="D22" s="16" t="n">
        <v>0</v>
      </c>
      <c r="E22" s="16" t="n">
        <v>0</v>
      </c>
      <c r="F22" s="16">
        <f>'Balance Sheet'!C22+'Balance Sheet'!D22+'Balance Sheet'!E22</f>
        <v/>
      </c>
      <c r="G22" s="16">
        <f>'Schedules'!D21</f>
        <v/>
      </c>
      <c r="H22" s="16">
        <f>'Schedules'!E21</f>
        <v/>
      </c>
      <c r="I22" s="16">
        <f>'Schedules'!F21</f>
        <v/>
      </c>
      <c r="J22" s="16">
        <f>'Schedules'!G21</f>
        <v/>
      </c>
      <c r="K22" s="16">
        <f>'Schedules'!H21</f>
        <v/>
      </c>
    </row>
    <row r="23">
      <c r="A23" s="10" t="inlineStr">
        <is>
          <t>LT deferred revenue &amp; deposits</t>
        </is>
      </c>
      <c r="C23" s="16" t="n">
        <v>28000</v>
      </c>
      <c r="D23" s="16" t="n">
        <v>200</v>
      </c>
      <c r="E23" s="16" t="n">
        <v>0</v>
      </c>
      <c r="F23" s="16">
        <f>'Balance Sheet'!C23+'Balance Sheet'!D23+'Balance Sheet'!E23</f>
        <v/>
      </c>
      <c r="G23" s="16">
        <f>'Balance Sheet'!F23</f>
        <v/>
      </c>
      <c r="H23" s="16">
        <f>'Balance Sheet'!G23</f>
        <v/>
      </c>
      <c r="I23" s="16">
        <f>'Balance Sheet'!H23</f>
        <v/>
      </c>
      <c r="J23" s="16">
        <f>'Balance Sheet'!I23</f>
        <v/>
      </c>
      <c r="K23" s="16">
        <f>'Balance Sheet'!J23</f>
        <v/>
      </c>
    </row>
    <row r="24">
      <c r="A24" s="10" t="inlineStr">
        <is>
          <t>Deferred tax liability</t>
        </is>
      </c>
      <c r="C24" s="16" t="n">
        <v>0</v>
      </c>
      <c r="D24" s="16" t="n">
        <v>0</v>
      </c>
      <c r="E24" s="16">
        <f>'Deal &amp; PPA'!C24</f>
        <v/>
      </c>
      <c r="F24" s="16">
        <f>'Balance Sheet'!C24+'Balance Sheet'!D24+'Balance Sheet'!E24</f>
        <v/>
      </c>
      <c r="G24" s="16">
        <f>'Schedules'!D14</f>
        <v/>
      </c>
      <c r="H24" s="16">
        <f>'Schedules'!E14</f>
        <v/>
      </c>
      <c r="I24" s="16">
        <f>'Schedules'!F14</f>
        <v/>
      </c>
      <c r="J24" s="16">
        <f>'Schedules'!G14</f>
        <v/>
      </c>
      <c r="K24" s="16">
        <f>'Schedules'!H14</f>
        <v/>
      </c>
    </row>
    <row r="25">
      <c r="A25" s="10" t="inlineStr">
        <is>
          <t>Other long-term liabilities</t>
        </is>
      </c>
      <c r="C25" s="16" t="n">
        <v>20700</v>
      </c>
      <c r="D25" s="16" t="n">
        <v>0</v>
      </c>
      <c r="E25" s="16" t="n">
        <v>0</v>
      </c>
      <c r="F25" s="16">
        <f>'Balance Sheet'!C25+'Balance Sheet'!D25+'Balance Sheet'!E25</f>
        <v/>
      </c>
      <c r="G25" s="16">
        <f>'Balance Sheet'!F25</f>
        <v/>
      </c>
      <c r="H25" s="16">
        <f>'Balance Sheet'!G25</f>
        <v/>
      </c>
      <c r="I25" s="16">
        <f>'Balance Sheet'!H25</f>
        <v/>
      </c>
      <c r="J25" s="16">
        <f>'Balance Sheet'!I25</f>
        <v/>
      </c>
      <c r="K25" s="16">
        <f>'Balance Sheet'!J25</f>
        <v/>
      </c>
    </row>
    <row r="26">
      <c r="A26" s="4" t="inlineStr">
        <is>
          <t>TOTAL LIABILITIES</t>
        </is>
      </c>
      <c r="C26" s="22">
        <f>'Balance Sheet'!C20+'Balance Sheet'!C21+'Balance Sheet'!C22+'Balance Sheet'!C23+'Balance Sheet'!C24+'Balance Sheet'!C25</f>
        <v/>
      </c>
      <c r="D26" s="22">
        <f>'Balance Sheet'!D20+'Balance Sheet'!D21+'Balance Sheet'!D22+'Balance Sheet'!D23+'Balance Sheet'!D24+'Balance Sheet'!D25</f>
        <v/>
      </c>
      <c r="E26" s="22">
        <f>'Balance Sheet'!E20+'Balance Sheet'!E21+'Balance Sheet'!E22+'Balance Sheet'!E23+'Balance Sheet'!E24+'Balance Sheet'!E25</f>
        <v/>
      </c>
      <c r="F26" s="22">
        <f>'Balance Sheet'!F20+'Balance Sheet'!F21+'Balance Sheet'!F22+'Balance Sheet'!F23+'Balance Sheet'!F24+'Balance Sheet'!F25</f>
        <v/>
      </c>
      <c r="G26" s="22">
        <f>'Balance Sheet'!G20+'Balance Sheet'!G21+'Balance Sheet'!G22+'Balance Sheet'!G23+'Balance Sheet'!G24+'Balance Sheet'!G25</f>
        <v/>
      </c>
      <c r="H26" s="22">
        <f>'Balance Sheet'!H20+'Balance Sheet'!H21+'Balance Sheet'!H22+'Balance Sheet'!H23+'Balance Sheet'!H24+'Balance Sheet'!H25</f>
        <v/>
      </c>
      <c r="I26" s="22">
        <f>'Balance Sheet'!I20+'Balance Sheet'!I21+'Balance Sheet'!I22+'Balance Sheet'!I23+'Balance Sheet'!I24+'Balance Sheet'!I25</f>
        <v/>
      </c>
      <c r="J26" s="22">
        <f>'Balance Sheet'!J20+'Balance Sheet'!J21+'Balance Sheet'!J22+'Balance Sheet'!J23+'Balance Sheet'!J24+'Balance Sheet'!J25</f>
        <v/>
      </c>
      <c r="K26" s="22">
        <f>'Balance Sheet'!K20+'Balance Sheet'!K21+'Balance Sheet'!K22+'Balance Sheet'!K23+'Balance Sheet'!K24+'Balance Sheet'!K25</f>
        <v/>
      </c>
    </row>
    <row r="27">
      <c r="A27" s="8" t="inlineStr">
        <is>
          <t>EQUITY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10" t="inlineStr">
        <is>
          <t>Common stock &amp; additional paid-in capital</t>
        </is>
      </c>
      <c r="C28" s="16" t="n">
        <v>25000</v>
      </c>
      <c r="D28" s="16" t="n">
        <v>2900</v>
      </c>
      <c r="E28" s="16">
        <f>'Deal &amp; PPA'!C4-'Balance Sheet'!D28</f>
        <v/>
      </c>
      <c r="F28" s="16">
        <f>'Balance Sheet'!C28+'Balance Sheet'!D28+'Balance Sheet'!E28</f>
        <v/>
      </c>
      <c r="G28" s="16">
        <f>'Balance Sheet'!F28+'Cash Flow'!D8+'Assumptions'!D25</f>
        <v/>
      </c>
      <c r="H28" s="16">
        <f>'Balance Sheet'!G28+'Cash Flow'!E8+'Assumptions'!E25</f>
        <v/>
      </c>
      <c r="I28" s="16">
        <f>'Balance Sheet'!H28+'Cash Flow'!F8+'Assumptions'!F25</f>
        <v/>
      </c>
      <c r="J28" s="16">
        <f>'Balance Sheet'!I28+'Cash Flow'!G8+'Assumptions'!G25</f>
        <v/>
      </c>
      <c r="K28" s="16">
        <f>'Balance Sheet'!J28+'Cash Flow'!H8+'Assumptions'!H25</f>
        <v/>
      </c>
    </row>
    <row r="29">
      <c r="A29" s="10" t="inlineStr">
        <is>
          <t>Accumulated deficit</t>
        </is>
      </c>
      <c r="C29" s="16" t="n">
        <v>-22400</v>
      </c>
      <c r="D29" s="16" t="n">
        <v>0</v>
      </c>
      <c r="E29" s="16" t="n">
        <v>0</v>
      </c>
      <c r="F29" s="16">
        <f>'Balance Sheet'!C29+'Balance Sheet'!D29+'Balance Sheet'!E29</f>
        <v/>
      </c>
      <c r="G29" s="16">
        <f>'Balance Sheet'!F29+'Income Statement'!D25</f>
        <v/>
      </c>
      <c r="H29" s="16">
        <f>'Balance Sheet'!G29+'Income Statement'!E25</f>
        <v/>
      </c>
      <c r="I29" s="16">
        <f>'Balance Sheet'!H29+'Income Statement'!F25</f>
        <v/>
      </c>
      <c r="J29" s="16">
        <f>'Balance Sheet'!I29+'Income Statement'!G25</f>
        <v/>
      </c>
      <c r="K29" s="16">
        <f>'Balance Sheet'!J29+'Income Statement'!H25</f>
        <v/>
      </c>
    </row>
    <row r="30">
      <c r="A30" s="4" t="inlineStr">
        <is>
          <t>TOTAL EQUITY</t>
        </is>
      </c>
      <c r="C30" s="22">
        <f>'Balance Sheet'!C28+'Balance Sheet'!C29</f>
        <v/>
      </c>
      <c r="D30" s="22">
        <f>'Balance Sheet'!D28+'Balance Sheet'!D29</f>
        <v/>
      </c>
      <c r="E30" s="22">
        <f>'Balance Sheet'!E28+'Balance Sheet'!E29</f>
        <v/>
      </c>
      <c r="F30" s="22">
        <f>'Balance Sheet'!F28+'Balance Sheet'!F29</f>
        <v/>
      </c>
      <c r="G30" s="22">
        <f>'Balance Sheet'!G28+'Balance Sheet'!G29</f>
        <v/>
      </c>
      <c r="H30" s="22">
        <f>'Balance Sheet'!H28+'Balance Sheet'!H29</f>
        <v/>
      </c>
      <c r="I30" s="22">
        <f>'Balance Sheet'!I28+'Balance Sheet'!I29</f>
        <v/>
      </c>
      <c r="J30" s="22">
        <f>'Balance Sheet'!J28+'Balance Sheet'!J29</f>
        <v/>
      </c>
      <c r="K30" s="22">
        <f>'Balance Sheet'!K28+'Balance Sheet'!K29</f>
        <v/>
      </c>
    </row>
    <row r="31">
      <c r="A31" s="4" t="inlineStr">
        <is>
          <t>TOTAL LIABILITIES &amp; EQUITY</t>
        </is>
      </c>
      <c r="C31" s="22">
        <f>'Balance Sheet'!C26+'Balance Sheet'!C30</f>
        <v/>
      </c>
      <c r="D31" s="22">
        <f>'Balance Sheet'!D26+'Balance Sheet'!D30</f>
        <v/>
      </c>
      <c r="E31" s="22">
        <f>'Balance Sheet'!E26+'Balance Sheet'!E30</f>
        <v/>
      </c>
      <c r="F31" s="22">
        <f>'Balance Sheet'!F26+'Balance Sheet'!F30</f>
        <v/>
      </c>
      <c r="G31" s="22">
        <f>'Balance Sheet'!G26+'Balance Sheet'!G30</f>
        <v/>
      </c>
      <c r="H31" s="22">
        <f>'Balance Sheet'!H26+'Balance Sheet'!H30</f>
        <v/>
      </c>
      <c r="I31" s="22">
        <f>'Balance Sheet'!I26+'Balance Sheet'!I30</f>
        <v/>
      </c>
      <c r="J31" s="22">
        <f>'Balance Sheet'!J26+'Balance Sheet'!J30</f>
        <v/>
      </c>
      <c r="K31" s="22">
        <f>'Balance Sheet'!K26+'Balance Sheet'!K30</f>
        <v/>
      </c>
    </row>
    <row r="32">
      <c r="A32" s="10" t="inlineStr">
        <is>
          <t>Balance check (assets − L&amp;E)</t>
        </is>
      </c>
      <c r="C32" s="20">
        <f>'Balance Sheet'!C14-'Balance Sheet'!C31</f>
        <v/>
      </c>
      <c r="D32" s="20">
        <f>'Balance Sheet'!D14-'Balance Sheet'!D31</f>
        <v/>
      </c>
      <c r="E32" s="20">
        <f>'Balance Sheet'!E14-'Balance Sheet'!E31</f>
        <v/>
      </c>
      <c r="F32" s="20">
        <f>'Balance Sheet'!F14-'Balance Sheet'!F31</f>
        <v/>
      </c>
      <c r="G32" s="20">
        <f>'Balance Sheet'!G14-'Balance Sheet'!G31</f>
        <v/>
      </c>
      <c r="H32" s="20">
        <f>'Balance Sheet'!H14-'Balance Sheet'!H31</f>
        <v/>
      </c>
      <c r="I32" s="20">
        <f>'Balance Sheet'!I14-'Balance Sheet'!I31</f>
        <v/>
      </c>
      <c r="J32" s="20">
        <f>'Balance Sheet'!J14-'Balance Sheet'!J31</f>
        <v/>
      </c>
      <c r="K32" s="20">
        <f>'Balance Sheet'!K14-'Balance Sheet'!K31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PRO-FORMA COMBINED CASH FLOW STATEMENT (US$M)</t>
        </is>
      </c>
    </row>
    <row r="2">
      <c r="A2" s="13" t="inlineStr">
        <is>
          <t>Post-acquisition years. The all-stock purchase is non-cash and reflected in opening balances (acquired cash included).</t>
        </is>
      </c>
    </row>
    <row r="3">
      <c r="A3" t="inlineStr"/>
      <c r="C3" s="7" t="inlineStr">
        <is>
          <t>2025A</t>
        </is>
      </c>
      <c r="D3" s="7" t="inlineStr">
        <is>
          <t>2026E</t>
        </is>
      </c>
      <c r="E3" s="7" t="inlineStr">
        <is>
          <t>2027E</t>
        </is>
      </c>
      <c r="F3" s="7" t="inlineStr">
        <is>
          <t>2028E</t>
        </is>
      </c>
      <c r="G3" s="7" t="inlineStr">
        <is>
          <t>2029E</t>
        </is>
      </c>
      <c r="H3" s="7" t="inlineStr">
        <is>
          <t>2030E</t>
        </is>
      </c>
    </row>
    <row r="4">
      <c r="A4" s="8" t="inlineStr">
        <is>
          <t>Operating activities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10" t="inlineStr">
        <is>
          <t>Net income (loss)</t>
        </is>
      </c>
      <c r="D5" s="16">
        <f>'Income Statement'!D25</f>
        <v/>
      </c>
      <c r="E5" s="16">
        <f>'Income Statement'!E25</f>
        <v/>
      </c>
      <c r="F5" s="16">
        <f>'Income Statement'!F25</f>
        <v/>
      </c>
      <c r="G5" s="16">
        <f>'Income Statement'!G25</f>
        <v/>
      </c>
      <c r="H5" s="16">
        <f>'Income Statement'!H25</f>
        <v/>
      </c>
    </row>
    <row r="6">
      <c r="A6" s="10" t="inlineStr">
        <is>
          <t>Depreciation</t>
        </is>
      </c>
      <c r="D6" s="16">
        <f>'Schedules'!D6</f>
        <v/>
      </c>
      <c r="E6" s="16">
        <f>'Schedules'!E6</f>
        <v/>
      </c>
      <c r="F6" s="16">
        <f>'Schedules'!F6</f>
        <v/>
      </c>
      <c r="G6" s="16">
        <f>'Schedules'!G6</f>
        <v/>
      </c>
      <c r="H6" s="16">
        <f>'Schedules'!H6</f>
        <v/>
      </c>
    </row>
    <row r="7">
      <c r="A7" s="10" t="inlineStr">
        <is>
          <t>Amortization of acquired intangibles</t>
        </is>
      </c>
      <c r="D7" s="16">
        <f>'Schedules'!D10</f>
        <v/>
      </c>
      <c r="E7" s="16">
        <f>'Schedules'!E10</f>
        <v/>
      </c>
      <c r="F7" s="16">
        <f>'Schedules'!F10</f>
        <v/>
      </c>
      <c r="G7" s="16">
        <f>'Schedules'!G10</f>
        <v/>
      </c>
      <c r="H7" s="16">
        <f>'Schedules'!H10</f>
        <v/>
      </c>
    </row>
    <row r="8">
      <c r="A8" s="10" t="inlineStr">
        <is>
          <t>Stock-based compensation</t>
        </is>
      </c>
      <c r="D8" s="16">
        <f>'Assumptions'!D22*'Income Statement'!D7</f>
        <v/>
      </c>
      <c r="E8" s="16">
        <f>'Assumptions'!E22*'Income Statement'!E7</f>
        <v/>
      </c>
      <c r="F8" s="16">
        <f>'Assumptions'!F22*'Income Statement'!F7</f>
        <v/>
      </c>
      <c r="G8" s="16">
        <f>'Assumptions'!G22*'Income Statement'!G7</f>
        <v/>
      </c>
      <c r="H8" s="16">
        <f>'Assumptions'!H22*'Income Statement'!H7</f>
        <v/>
      </c>
    </row>
    <row r="9">
      <c r="A9" s="10" t="inlineStr">
        <is>
          <t>Deferred income taxes</t>
        </is>
      </c>
      <c r="D9" s="16">
        <f>'Schedules'!D13</f>
        <v/>
      </c>
      <c r="E9" s="16">
        <f>'Schedules'!E13</f>
        <v/>
      </c>
      <c r="F9" s="16">
        <f>'Schedules'!F13</f>
        <v/>
      </c>
      <c r="G9" s="16">
        <f>'Schedules'!G13</f>
        <v/>
      </c>
      <c r="H9" s="16">
        <f>'Schedules'!H13</f>
        <v/>
      </c>
    </row>
    <row r="10">
      <c r="A10" s="10" t="inlineStr">
        <is>
          <t>(Increase)/decrease in receivables</t>
        </is>
      </c>
      <c r="D10" s="16">
        <f>-('Balance Sheet'!G5-'Balance Sheet'!F5)</f>
        <v/>
      </c>
      <c r="E10" s="16">
        <f>-('Balance Sheet'!H5-'Balance Sheet'!G5)</f>
        <v/>
      </c>
      <c r="F10" s="16">
        <f>-('Balance Sheet'!I5-'Balance Sheet'!H5)</f>
        <v/>
      </c>
      <c r="G10" s="16">
        <f>-('Balance Sheet'!J5-'Balance Sheet'!I5)</f>
        <v/>
      </c>
      <c r="H10" s="16">
        <f>-('Balance Sheet'!K5-'Balance Sheet'!J5)</f>
        <v/>
      </c>
    </row>
    <row r="11">
      <c r="A11" s="10" t="inlineStr">
        <is>
          <t>(Increase)/decrease in inventory</t>
        </is>
      </c>
      <c r="D11" s="16">
        <f>-('Balance Sheet'!G6-'Balance Sheet'!F6)</f>
        <v/>
      </c>
      <c r="E11" s="16">
        <f>-('Balance Sheet'!H6-'Balance Sheet'!G6)</f>
        <v/>
      </c>
      <c r="F11" s="16">
        <f>-('Balance Sheet'!I6-'Balance Sheet'!H6)</f>
        <v/>
      </c>
      <c r="G11" s="16">
        <f>-('Balance Sheet'!J6-'Balance Sheet'!I6)</f>
        <v/>
      </c>
      <c r="H11" s="16">
        <f>-('Balance Sheet'!K6-'Balance Sheet'!J6)</f>
        <v/>
      </c>
    </row>
    <row r="12">
      <c r="A12" s="10" t="inlineStr">
        <is>
          <t>(Increase)/decrease in prepaids</t>
        </is>
      </c>
      <c r="D12" s="16">
        <f>-('Balance Sheet'!G7-'Balance Sheet'!F7)</f>
        <v/>
      </c>
      <c r="E12" s="16">
        <f>-('Balance Sheet'!H7-'Balance Sheet'!G7)</f>
        <v/>
      </c>
      <c r="F12" s="16">
        <f>-('Balance Sheet'!I7-'Balance Sheet'!H7)</f>
        <v/>
      </c>
      <c r="G12" s="16">
        <f>-('Balance Sheet'!J7-'Balance Sheet'!I7)</f>
        <v/>
      </c>
      <c r="H12" s="16">
        <f>-('Balance Sheet'!K7-'Balance Sheet'!J7)</f>
        <v/>
      </c>
    </row>
    <row r="13">
      <c r="A13" s="10" t="inlineStr">
        <is>
          <t>Increase/(decrease) in payables</t>
        </is>
      </c>
      <c r="D13" s="16">
        <f>('Balance Sheet'!G16-'Balance Sheet'!F16)</f>
        <v/>
      </c>
      <c r="E13" s="16">
        <f>('Balance Sheet'!H16-'Balance Sheet'!G16)</f>
        <v/>
      </c>
      <c r="F13" s="16">
        <f>('Balance Sheet'!I16-'Balance Sheet'!H16)</f>
        <v/>
      </c>
      <c r="G13" s="16">
        <f>('Balance Sheet'!J16-'Balance Sheet'!I16)</f>
        <v/>
      </c>
      <c r="H13" s="16">
        <f>('Balance Sheet'!K16-'Balance Sheet'!J16)</f>
        <v/>
      </c>
    </row>
    <row r="14">
      <c r="A14" s="10" t="inlineStr">
        <is>
          <t>Increase/(decrease) in accrued liabilities</t>
        </is>
      </c>
      <c r="D14" s="16">
        <f>('Balance Sheet'!G17-'Balance Sheet'!F17)</f>
        <v/>
      </c>
      <c r="E14" s="16">
        <f>('Balance Sheet'!H17-'Balance Sheet'!G17)</f>
        <v/>
      </c>
      <c r="F14" s="16">
        <f>('Balance Sheet'!I17-'Balance Sheet'!H17)</f>
        <v/>
      </c>
      <c r="G14" s="16">
        <f>('Balance Sheet'!J17-'Balance Sheet'!I17)</f>
        <v/>
      </c>
      <c r="H14" s="16">
        <f>('Balance Sheet'!K17-'Balance Sheet'!J17)</f>
        <v/>
      </c>
    </row>
    <row r="15">
      <c r="A15" s="10" t="inlineStr">
        <is>
          <t>Increase/(decrease) in deferred revenue (cur.)</t>
        </is>
      </c>
      <c r="D15" s="16">
        <f>('Balance Sheet'!G18-'Balance Sheet'!F18)</f>
        <v/>
      </c>
      <c r="E15" s="16">
        <f>('Balance Sheet'!H18-'Balance Sheet'!G18)</f>
        <v/>
      </c>
      <c r="F15" s="16">
        <f>('Balance Sheet'!I18-'Balance Sheet'!H18)</f>
        <v/>
      </c>
      <c r="G15" s="16">
        <f>('Balance Sheet'!J18-'Balance Sheet'!I18)</f>
        <v/>
      </c>
      <c r="H15" s="16">
        <f>('Balance Sheet'!K18-'Balance Sheet'!J18)</f>
        <v/>
      </c>
    </row>
    <row r="16">
      <c r="A16" s="10" t="inlineStr">
        <is>
          <t>Increase/(decrease) in customer deposits</t>
        </is>
      </c>
      <c r="D16" s="16">
        <f>('Balance Sheet'!G19-'Balance Sheet'!F19)</f>
        <v/>
      </c>
      <c r="E16" s="16">
        <f>('Balance Sheet'!H19-'Balance Sheet'!G19)</f>
        <v/>
      </c>
      <c r="F16" s="16">
        <f>('Balance Sheet'!I19-'Balance Sheet'!H19)</f>
        <v/>
      </c>
      <c r="G16" s="16">
        <f>('Balance Sheet'!J19-'Balance Sheet'!I19)</f>
        <v/>
      </c>
      <c r="H16" s="16">
        <f>('Balance Sheet'!K19-'Balance Sheet'!J19)</f>
        <v/>
      </c>
    </row>
    <row r="17">
      <c r="A17" s="10" t="inlineStr">
        <is>
          <t>Increase/(decrease) in LT deferred revenue</t>
        </is>
      </c>
      <c r="D17" s="16">
        <f>('Balance Sheet'!G23-'Balance Sheet'!F23)</f>
        <v/>
      </c>
      <c r="E17" s="16">
        <f>('Balance Sheet'!H23-'Balance Sheet'!G23)</f>
        <v/>
      </c>
      <c r="F17" s="16">
        <f>('Balance Sheet'!I23-'Balance Sheet'!H23)</f>
        <v/>
      </c>
      <c r="G17" s="16">
        <f>('Balance Sheet'!J23-'Balance Sheet'!I23)</f>
        <v/>
      </c>
      <c r="H17" s="16">
        <f>('Balance Sheet'!K23-'Balance Sheet'!J23)</f>
        <v/>
      </c>
    </row>
    <row r="18">
      <c r="A18" s="4" t="inlineStr">
        <is>
          <t>Cash from operations</t>
        </is>
      </c>
      <c r="D18" s="17">
        <f>'Cash Flow'!D5+'Cash Flow'!D6+'Cash Flow'!D7+'Cash Flow'!D8+'Cash Flow'!D9+'Cash Flow'!D10+'Cash Flow'!D11+'Cash Flow'!D12+'Cash Flow'!D13+'Cash Flow'!D14+'Cash Flow'!D15+'Cash Flow'!D16+'Cash Flow'!D17</f>
        <v/>
      </c>
      <c r="E18" s="17">
        <f>'Cash Flow'!E5+'Cash Flow'!E6+'Cash Flow'!E7+'Cash Flow'!E8+'Cash Flow'!E9+'Cash Flow'!E10+'Cash Flow'!E11+'Cash Flow'!E12+'Cash Flow'!E13+'Cash Flow'!E14+'Cash Flow'!E15+'Cash Flow'!E16+'Cash Flow'!E17</f>
        <v/>
      </c>
      <c r="F18" s="17">
        <f>'Cash Flow'!F5+'Cash Flow'!F6+'Cash Flow'!F7+'Cash Flow'!F8+'Cash Flow'!F9+'Cash Flow'!F10+'Cash Flow'!F11+'Cash Flow'!F12+'Cash Flow'!F13+'Cash Flow'!F14+'Cash Flow'!F15+'Cash Flow'!F16+'Cash Flow'!F17</f>
        <v/>
      </c>
      <c r="G18" s="17">
        <f>'Cash Flow'!G5+'Cash Flow'!G6+'Cash Flow'!G7+'Cash Flow'!G8+'Cash Flow'!G9+'Cash Flow'!G10+'Cash Flow'!G11+'Cash Flow'!G12+'Cash Flow'!G13+'Cash Flow'!G14+'Cash Flow'!G15+'Cash Flow'!G16+'Cash Flow'!G17</f>
        <v/>
      </c>
      <c r="H18" s="17">
        <f>'Cash Flow'!H5+'Cash Flow'!H6+'Cash Flow'!H7+'Cash Flow'!H8+'Cash Flow'!H9+'Cash Flow'!H10+'Cash Flow'!H11+'Cash Flow'!H12+'Cash Flow'!H13+'Cash Flow'!H14+'Cash Flow'!H15+'Cash Flow'!H16+'Cash Flow'!H17</f>
        <v/>
      </c>
    </row>
    <row r="19">
      <c r="A19" s="8" t="inlineStr">
        <is>
          <t>Investing activities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10" t="inlineStr">
        <is>
          <t>Capital expenditures</t>
        </is>
      </c>
      <c r="D20" s="16">
        <f>-'Schedules'!D5</f>
        <v/>
      </c>
      <c r="E20" s="16">
        <f>-'Schedules'!E5</f>
        <v/>
      </c>
      <c r="F20" s="16">
        <f>-'Schedules'!F5</f>
        <v/>
      </c>
      <c r="G20" s="16">
        <f>-'Schedules'!G5</f>
        <v/>
      </c>
      <c r="H20" s="16">
        <f>-'Schedules'!H5</f>
        <v/>
      </c>
    </row>
    <row r="21">
      <c r="A21" s="4" t="inlineStr">
        <is>
          <t>Cash from investing</t>
        </is>
      </c>
      <c r="D21" s="17">
        <f>'Cash Flow'!D20</f>
        <v/>
      </c>
      <c r="E21" s="17">
        <f>'Cash Flow'!E20</f>
        <v/>
      </c>
      <c r="F21" s="17">
        <f>'Cash Flow'!F20</f>
        <v/>
      </c>
      <c r="G21" s="17">
        <f>'Cash Flow'!G20</f>
        <v/>
      </c>
      <c r="H21" s="17">
        <f>'Cash Flow'!H20</f>
        <v/>
      </c>
    </row>
    <row r="22">
      <c r="A22" s="8" t="inlineStr">
        <is>
          <t>Financing activities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10" t="inlineStr">
        <is>
          <t>Net debt draws / (repayments)</t>
        </is>
      </c>
      <c r="D23" s="16">
        <f>'Schedules'!D17</f>
        <v/>
      </c>
      <c r="E23" s="16">
        <f>'Schedules'!E17</f>
        <v/>
      </c>
      <c r="F23" s="16">
        <f>'Schedules'!F17</f>
        <v/>
      </c>
      <c r="G23" s="16">
        <f>'Schedules'!G17</f>
        <v/>
      </c>
      <c r="H23" s="16">
        <f>'Schedules'!H17</f>
        <v/>
      </c>
    </row>
    <row r="24">
      <c r="A24" s="10" t="inlineStr">
        <is>
          <t>Spectrum obligation repayments</t>
        </is>
      </c>
      <c r="D24" s="16">
        <f>'Schedules'!D20</f>
        <v/>
      </c>
      <c r="E24" s="16">
        <f>'Schedules'!E20</f>
        <v/>
      </c>
      <c r="F24" s="16">
        <f>'Schedules'!F20</f>
        <v/>
      </c>
      <c r="G24" s="16">
        <f>'Schedules'!G20</f>
        <v/>
      </c>
      <c r="H24" s="16">
        <f>'Schedules'!H20</f>
        <v/>
      </c>
    </row>
    <row r="25">
      <c r="A25" s="10" t="inlineStr">
        <is>
          <t>Primary equity issuance / IPO</t>
        </is>
      </c>
      <c r="D25" s="16">
        <f>'Assumptions'!D25</f>
        <v/>
      </c>
      <c r="E25" s="16">
        <f>'Assumptions'!E25</f>
        <v/>
      </c>
      <c r="F25" s="16">
        <f>'Assumptions'!F25</f>
        <v/>
      </c>
      <c r="G25" s="16">
        <f>'Assumptions'!G25</f>
        <v/>
      </c>
      <c r="H25" s="16">
        <f>'Assumptions'!H25</f>
        <v/>
      </c>
    </row>
    <row r="26">
      <c r="A26" s="4" t="inlineStr">
        <is>
          <t>Cash from financing</t>
        </is>
      </c>
      <c r="D26" s="17">
        <f>'Cash Flow'!D23+'Cash Flow'!D24+'Cash Flow'!D25</f>
        <v/>
      </c>
      <c r="E26" s="17">
        <f>'Cash Flow'!E23+'Cash Flow'!E24+'Cash Flow'!E25</f>
        <v/>
      </c>
      <c r="F26" s="17">
        <f>'Cash Flow'!F23+'Cash Flow'!F24+'Cash Flow'!F25</f>
        <v/>
      </c>
      <c r="G26" s="17">
        <f>'Cash Flow'!G23+'Cash Flow'!G24+'Cash Flow'!G25</f>
        <v/>
      </c>
      <c r="H26" s="17">
        <f>'Cash Flow'!H23+'Cash Flow'!H24+'Cash Flow'!H25</f>
        <v/>
      </c>
    </row>
    <row r="27">
      <c r="A27" s="4" t="inlineStr">
        <is>
          <t>Net change in cash</t>
        </is>
      </c>
      <c r="D27" s="17">
        <f>'Cash Flow'!D18+'Cash Flow'!D21+'Cash Flow'!D26</f>
        <v/>
      </c>
      <c r="E27" s="17">
        <f>'Cash Flow'!E18+'Cash Flow'!E21+'Cash Flow'!E26</f>
        <v/>
      </c>
      <c r="F27" s="17">
        <f>'Cash Flow'!F18+'Cash Flow'!F21+'Cash Flow'!F26</f>
        <v/>
      </c>
      <c r="G27" s="17">
        <f>'Cash Flow'!G18+'Cash Flow'!G21+'Cash Flow'!G26</f>
        <v/>
      </c>
      <c r="H27" s="17">
        <f>'Cash Flow'!H18+'Cash Flow'!H21+'Cash Flow'!H26</f>
        <v/>
      </c>
    </row>
    <row r="28">
      <c r="A28" s="10" t="inlineStr">
        <is>
          <t>Cash, beginning of period</t>
        </is>
      </c>
      <c r="D28" s="16">
        <f>'Balance Sheet'!F4</f>
        <v/>
      </c>
      <c r="E28" s="16">
        <f>'Cash Flow'!D29</f>
        <v/>
      </c>
      <c r="F28" s="16">
        <f>'Cash Flow'!E29</f>
        <v/>
      </c>
      <c r="G28" s="16">
        <f>'Cash Flow'!F29</f>
        <v/>
      </c>
      <c r="H28" s="16">
        <f>'Cash Flow'!G29</f>
        <v/>
      </c>
    </row>
    <row r="29">
      <c r="A29" s="4" t="inlineStr">
        <is>
          <t>Cash, end of period</t>
        </is>
      </c>
      <c r="D29" s="22">
        <f>'Cash Flow'!D28+'Cash Flow'!D27</f>
        <v/>
      </c>
      <c r="E29" s="22">
        <f>'Cash Flow'!E28+'Cash Flow'!E27</f>
        <v/>
      </c>
      <c r="F29" s="22">
        <f>'Cash Flow'!F28+'Cash Flow'!F27</f>
        <v/>
      </c>
      <c r="G29" s="22">
        <f>'Cash Flow'!G28+'Cash Flow'!G27</f>
        <v/>
      </c>
      <c r="H29" s="22">
        <f>'Cash Flow'!H28+'Cash Flow'!H27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6" t="inlineStr">
        <is>
          <t>MODEL INTEGRITY CHECKS (should all be ~0)</t>
        </is>
      </c>
    </row>
    <row r="2">
      <c r="A2" t="inlineStr"/>
      <c r="C2" s="7" t="inlineStr">
        <is>
          <t>2025A</t>
        </is>
      </c>
      <c r="D2" s="7" t="inlineStr">
        <is>
          <t>2026E</t>
        </is>
      </c>
      <c r="E2" s="7" t="inlineStr">
        <is>
          <t>2027E</t>
        </is>
      </c>
      <c r="F2" s="7" t="inlineStr">
        <is>
          <t>2028E</t>
        </is>
      </c>
      <c r="G2" s="7" t="inlineStr">
        <is>
          <t>2029E</t>
        </is>
      </c>
      <c r="H2" s="7" t="inlineStr">
        <is>
          <t>2030E</t>
        </is>
      </c>
    </row>
    <row r="3">
      <c r="A3" s="4" t="inlineStr">
        <is>
          <t>Balance sheet balances (A − L&amp;E)</t>
        </is>
      </c>
      <c r="C3" s="20">
        <f>'Balance Sheet'!C32</f>
        <v/>
      </c>
      <c r="D3" s="20">
        <f>'Balance Sheet'!G32</f>
        <v/>
      </c>
      <c r="E3" s="20">
        <f>'Balance Sheet'!H32</f>
        <v/>
      </c>
      <c r="F3" s="20">
        <f>'Balance Sheet'!I32</f>
        <v/>
      </c>
      <c r="G3" s="20">
        <f>'Balance Sheet'!J32</f>
        <v/>
      </c>
      <c r="H3" s="20">
        <f>'Balance Sheet'!K32</f>
        <v/>
      </c>
    </row>
    <row r="4">
      <c r="A4" s="4" t="inlineStr">
        <is>
          <t>Cash flow ties to balance sheet cash</t>
        </is>
      </c>
      <c r="C4" s="24" t="inlineStr">
        <is>
          <t>n/a</t>
        </is>
      </c>
      <c r="D4" s="20">
        <f>'Cash Flow'!D29-'Balance Sheet'!G4</f>
        <v/>
      </c>
      <c r="E4" s="20">
        <f>'Cash Flow'!E29-'Balance Sheet'!H4</f>
        <v/>
      </c>
      <c r="F4" s="20">
        <f>'Cash Flow'!F29-'Balance Sheet'!I4</f>
        <v/>
      </c>
      <c r="G4" s="20">
        <f>'Cash Flow'!G29-'Balance Sheet'!J4</f>
        <v/>
      </c>
      <c r="H4" s="20">
        <f>'Cash Flow'!H29-'Balance Sheet'!K4</f>
        <v/>
      </c>
    </row>
    <row r="5">
      <c r="A5" s="4" t="inlineStr">
        <is>
          <t>PPA bridge balances (Open: A − L&amp;E)</t>
        </is>
      </c>
      <c r="C5" s="20">
        <f>'Balance Sheet'!F32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2026-06-18T16:05:38Z</dcterms:created>
  <dcterms:modified xsi:type="dcterms:W3CDTF">2026-06-18T16:05:38Z</dcterms:modified>
</cp:coreProperties>
</file>