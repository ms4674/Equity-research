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ice History" sheetId="2" state="visible" r:id="rId2"/>
    <sheet name="Current Snapshot" sheetId="3" state="visible" r:id="rId3"/>
    <sheet name="Quarterly Series" sheetId="4" state="visible" r:id="rId4"/>
    <sheet name="Token Usage by Size" sheetId="5" state="visible" r:id="rId5"/>
    <sheet name="Charts" sheetId="6" state="visible" r:id="rId6"/>
    <sheet name="Sources" sheetId="7" state="visible" r:id="rId7"/>
  </sheets>
  <definedNames>
    <definedName name="_xlnm._FilterDatabase" localSheetId="1" hidden="1">'Price History'!$A$1:$N$158</definedName>
    <definedName name="_xlnm._FilterDatabase" localSheetId="2" hidden="1">'Current Snapshot'!$A$2:$L$144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###"/>
    <numFmt numFmtId="166" formatCode="#,##0.0"/>
  </numFmts>
  <fonts count="7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1F3864"/>
      <sz val="12"/>
    </font>
    <font>
      <b val="1"/>
      <color rgb="00FFFFFF"/>
      <sz val="11"/>
    </font>
    <font>
      <b val="1"/>
    </font>
    <font>
      <b val="1"/>
      <color rgb="00FFFFFF"/>
    </font>
    <font>
      <i val="1"/>
      <color rgb="00C000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2E7D32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5" fontId="4" fillId="3" borderId="0" pivotButton="0" quotePrefix="0" xfId="0"/>
    <xf numFmtId="0" fontId="5" fillId="4" borderId="0" applyAlignment="1" pivotButton="0" quotePrefix="0" xfId="0">
      <alignment horizontal="center"/>
    </xf>
    <xf numFmtId="0" fontId="0" fillId="4" borderId="0" pivotButton="0" quotePrefix="0" xfId="0"/>
    <xf numFmtId="0" fontId="5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6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Avg monthly tokens per company by size (millions, log scale)</a:t>
            </a:r>
          </a:p>
        </rich>
      </tx>
    </title>
    <plotArea>
      <lineChart>
        <grouping val="standard"/>
        <ser>
          <idx val="0"/>
          <order val="0"/>
          <tx>
            <strRef>
              <f>'Token Usage by Size'!B4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'Token Usage by Size'!$A$5:$A$19</f>
            </numRef>
          </cat>
          <val>
            <numRef>
              <f>'Token Usage by Size'!$B$5:$B$19</f>
            </numRef>
          </val>
          <smooth val="0"/>
        </ser>
        <ser>
          <idx val="1"/>
          <order val="1"/>
          <tx>
            <strRef>
              <f>'Token Usage by Size'!C4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'Token Usage by Size'!$A$5:$A$19</f>
            </numRef>
          </cat>
          <val>
            <numRef>
              <f>'Token Usage by Size'!$C$5:$C$19</f>
            </numRef>
          </val>
          <smooth val="0"/>
        </ser>
        <ser>
          <idx val="2"/>
          <order val="2"/>
          <tx>
            <strRef>
              <f>'Token Usage by Size'!D4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'Token Usage by Size'!$A$5:$A$19</f>
            </numRef>
          </cat>
          <val>
            <numRef>
              <f>'Token Usage by Size'!$D$5:$D$19</f>
            </numRef>
          </val>
          <smooth val="0"/>
        </ser>
        <ser>
          <idx val="3"/>
          <order val="3"/>
          <tx>
            <strRef>
              <f>'Token Usage by Size'!E4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'Token Usage by Size'!$A$5:$A$19</f>
            </numRef>
          </cat>
          <val>
            <numRef>
              <f>'Token Usage by Size'!$E$5:$E$19</f>
            </numRef>
          </val>
          <smooth val="0"/>
        </ser>
        <ser>
          <idx val="4"/>
          <order val="4"/>
          <tx>
            <strRef>
              <f>'Token Usage by Size'!F4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'Token Usage by Size'!$A$5:$A$19</f>
            </numRef>
          </cat>
          <val>
            <numRef>
              <f>'Token Usage by Size'!$F$5:$F$19</f>
            </numRef>
          </val>
          <smooth val="0"/>
        </ser>
        <ser>
          <idx val="5"/>
          <order val="5"/>
          <tx>
            <strRef>
              <f>'Token Usage by Size'!G4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'Token Usage by Size'!$A$5:$A$19</f>
            </numRef>
          </cat>
          <val>
            <numRef>
              <f>'Token Usage by Size'!$G$5:$G$19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Millions of tokens per company per month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Frontier flagship models - blended $/1M tokens (log scale)</a:t>
            </a:r>
          </a:p>
        </rich>
      </tx>
    </title>
    <plotArea>
      <lineChart>
        <grouping val="standard"/>
        <ser>
          <idx val="0"/>
          <order val="0"/>
          <tx>
            <strRef>
              <f>'Quarterly Series'!B3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'Quarterly Series'!$A$4:$A$18</f>
            </numRef>
          </cat>
          <val>
            <numRef>
              <f>'Quarterly Series'!$B$4:$B$18</f>
            </numRef>
          </val>
          <smooth val="0"/>
        </ser>
        <ser>
          <idx val="1"/>
          <order val="1"/>
          <tx>
            <strRef>
              <f>'Quarterly Series'!C3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'Quarterly Series'!$A$4:$A$18</f>
            </numRef>
          </cat>
          <val>
            <numRef>
              <f>'Quarterly Series'!$C$4:$C$18</f>
            </numRef>
          </val>
          <smooth val="0"/>
        </ser>
        <ser>
          <idx val="2"/>
          <order val="2"/>
          <tx>
            <strRef>
              <f>'Quarterly Series'!D3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'Quarterly Series'!$A$4:$A$18</f>
            </numRef>
          </cat>
          <val>
            <numRef>
              <f>'Quarterly Series'!$D$4:$D$18</f>
            </numRef>
          </val>
          <smooth val="0"/>
        </ser>
        <ser>
          <idx val="3"/>
          <order val="3"/>
          <tx>
            <strRef>
              <f>'Quarterly Series'!E3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'Quarterly Series'!$A$4:$A$18</f>
            </numRef>
          </cat>
          <val>
            <numRef>
              <f>'Quarterly Series'!$E$4:$E$18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$ per 1M tokens (blended 3:1)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Open-weight flagship models - blended $/1M tokens (log scale)</a:t>
            </a:r>
          </a:p>
        </rich>
      </tx>
    </title>
    <plotArea>
      <lineChart>
        <grouping val="standard"/>
        <ser>
          <idx val="0"/>
          <order val="0"/>
          <tx>
            <strRef>
              <f>'Quarterly Series'!F3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'Quarterly Series'!$A$4:$A$18</f>
            </numRef>
          </cat>
          <val>
            <numRef>
              <f>'Quarterly Series'!$F$4:$F$18</f>
            </numRef>
          </val>
          <smooth val="0"/>
        </ser>
        <ser>
          <idx val="1"/>
          <order val="1"/>
          <tx>
            <strRef>
              <f>'Quarterly Series'!G3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'Quarterly Series'!$A$4:$A$18</f>
            </numRef>
          </cat>
          <val>
            <numRef>
              <f>'Quarterly Series'!$G$4:$G$18</f>
            </numRef>
          </val>
          <smooth val="0"/>
        </ser>
        <ser>
          <idx val="2"/>
          <order val="2"/>
          <tx>
            <strRef>
              <f>'Quarterly Series'!H3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'Quarterly Series'!$A$4:$A$18</f>
            </numRef>
          </cat>
          <val>
            <numRef>
              <f>'Quarterly Series'!$H$4:$H$18</f>
            </numRef>
          </val>
          <smooth val="0"/>
        </ser>
        <ser>
          <idx val="3"/>
          <order val="3"/>
          <tx>
            <strRef>
              <f>'Quarterly Series'!I3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'Quarterly Series'!$A$4:$A$18</f>
            </numRef>
          </cat>
          <val>
            <numRef>
              <f>'Quarterly Series'!$I$4:$I$18</f>
            </numRef>
          </val>
          <smooth val="0"/>
        </ser>
        <ser>
          <idx val="4"/>
          <order val="4"/>
          <tx>
            <strRef>
              <f>'Quarterly Series'!J3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'Quarterly Series'!$A$4:$A$18</f>
            </numRef>
          </cat>
          <val>
            <numRef>
              <f>'Quarterly Series'!$J$4:$J$18</f>
            </numRef>
          </val>
          <smooth val="0"/>
        </ser>
        <ser>
          <idx val="5"/>
          <order val="5"/>
          <tx>
            <strRef>
              <f>'Quarterly Series'!K3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'Quarterly Series'!$A$4:$A$18</f>
            </numRef>
          </cat>
          <val>
            <numRef>
              <f>'Quarterly Series'!$K$4:$K$18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$ per 1M tokens (blended 3:1)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Budget / small tier - blended $/1M tokens (log scale)</a:t>
            </a:r>
          </a:p>
        </rich>
      </tx>
    </title>
    <plotArea>
      <lineChart>
        <grouping val="standard"/>
        <ser>
          <idx val="0"/>
          <order val="0"/>
          <tx>
            <strRef>
              <f>'Quarterly Series'!L3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'Quarterly Series'!$A$4:$A$18</f>
            </numRef>
          </cat>
          <val>
            <numRef>
              <f>'Quarterly Series'!$L$4:$L$18</f>
            </numRef>
          </val>
          <smooth val="0"/>
        </ser>
        <ser>
          <idx val="1"/>
          <order val="1"/>
          <tx>
            <strRef>
              <f>'Quarterly Series'!M3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'Quarterly Series'!$A$4:$A$18</f>
            </numRef>
          </cat>
          <val>
            <numRef>
              <f>'Quarterly Series'!$M$4:$M$18</f>
            </numRef>
          </val>
          <smooth val="0"/>
        </ser>
        <ser>
          <idx val="2"/>
          <order val="2"/>
          <tx>
            <strRef>
              <f>'Quarterly Series'!N3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'Quarterly Series'!$A$4:$A$18</f>
            </numRef>
          </cat>
          <val>
            <numRef>
              <f>'Quarterly Series'!$N$4:$N$18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$ per 1M tokens (blended 3:1)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08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25</row>
      <rowOff>0</rowOff>
    </from>
    <ext cx="1080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49</row>
      <rowOff>0</rowOff>
    </from>
    <ext cx="1080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8" customWidth="1" min="2" max="2"/>
  </cols>
  <sheetData>
    <row r="1" ht="24" customHeight="1">
      <c r="B1" s="1" t="inlineStr">
        <is>
          <t>Blended Token Pricing - Frontier &amp; Open-Weight Models, Global</t>
        </is>
      </c>
    </row>
    <row r="2">
      <c r="B2" s="2" t="inlineStr">
        <is>
          <t>Compiled 2026-08-29. Time series of API list prices per 1 million tokens, 2020-2026.</t>
        </is>
      </c>
    </row>
    <row r="3">
      <c r="B3" s="2" t="inlineStr"/>
    </row>
    <row r="4" ht="18" customHeight="1">
      <c r="B4" s="3" t="inlineStr">
        <is>
          <t>What 'blended price' means</t>
        </is>
      </c>
    </row>
    <row r="5">
      <c r="B5" s="2" t="inlineStr">
        <is>
          <t>Blended $/1M tokens = (3 x input price + 1 x output price) / 4.</t>
        </is>
      </c>
    </row>
    <row r="6" ht="30" customHeight="1">
      <c r="B6" s="2" t="inlineStr">
        <is>
          <t>This is the standard 3:1 input:output usage weighting used by industry trackers (Artificial Analysis, ModelPriceWatch, AIMultiple), reflecting that typical workloads consume roughly three input tokens for every output token.</t>
        </is>
      </c>
    </row>
    <row r="7">
      <c r="B7" s="2" t="inlineStr"/>
    </row>
    <row r="8" ht="18" customHeight="1">
      <c r="B8" s="3" t="inlineStr">
        <is>
          <t>Scope</t>
        </is>
      </c>
    </row>
    <row r="9" ht="30" customHeight="1">
      <c r="B9" s="2" t="inlineStr">
        <is>
          <t>- Frontier (proprietary): closed API models from OpenAI, Anthropic, Google, xAI, Meta (Muse Spark), Amazon, Cohere, Mistral (commercial line), and Alibaba's Max line.</t>
        </is>
      </c>
    </row>
    <row r="10" ht="30" customHeight="1">
      <c r="B10" s="2" t="inlineStr">
        <is>
          <t>- Open-weight: models with downloadable weights (Llama, DeepSeek, Qwen open line, Kimi, GLM, MiniMax, Mistral open line, gpt-oss). Priced at the developer's first-party API rate where one exists; otherwise at a reference hosted rate (noted in the Basis column), since open weights themselves are free.</t>
        </is>
      </c>
    </row>
    <row r="11" ht="30" customHeight="1">
      <c r="B11" s="2" t="inlineStr">
        <is>
          <t>- Geography: USA (OpenAI, Anthropic, Google, xAI, Meta, Amazon), China (DeepSeek, Alibaba, Moonshot, Zhipu, MiniMax), France (Mistral), Canada (Cohere).</t>
        </is>
      </c>
    </row>
    <row r="12">
      <c r="B12" s="2" t="inlineStr"/>
    </row>
    <row r="13" ht="18" customHeight="1">
      <c r="B13" s="3" t="inlineStr">
        <is>
          <t>Sheets</t>
        </is>
      </c>
    </row>
    <row r="14" ht="30" customHeight="1">
      <c r="B14" s="2" t="inlineStr">
        <is>
          <t>- Price History: long-format time series - one row per price event (launch, cut, increase) per model. ~160 observations.</t>
        </is>
      </c>
    </row>
    <row r="15" ht="30" customHeight="1">
      <c r="B15" s="2" t="inlineStr">
        <is>
          <t>- Current Snapshot: the latest standard list price for every model as of the compile date, ranked by blended price.</t>
        </is>
      </c>
    </row>
    <row r="16" ht="30" customHeight="1">
      <c r="B16" s="2" t="inlineStr">
        <is>
          <t>- Quarterly Series: carry-forward blended price of each vendor's flagship / budget lineage at each quarter end (the price of the newest model in that lineage at that date). Feeds the charts.</t>
        </is>
      </c>
    </row>
    <row r="17" ht="30" customHeight="1">
      <c r="B17" s="2" t="inlineStr">
        <is>
          <t>- Token Usage by Size: quarterly time series of estimated average monthly token consumption per company, by company-size segment (modeled estimates calibrated to Ramp AI Index, Deloitte, OpenAI Enterprise Signals, and VendorBenchmark anchors; methodology on the sheet).</t>
        </is>
      </c>
    </row>
    <row r="18" ht="30" customHeight="1">
      <c r="B18" s="2" t="inlineStr">
        <is>
          <t>- Charts: blended price trajectories on a log scale - frontier flagships, open-weight flagships, and budget tiers.</t>
        </is>
      </c>
    </row>
    <row r="19">
      <c r="B19" s="2" t="inlineStr">
        <is>
          <t>- Sources: pricing pages, launch announcements, and trackers used.</t>
        </is>
      </c>
    </row>
    <row r="20">
      <c r="B20" s="2" t="inlineStr"/>
    </row>
    <row r="21" ht="18" customHeight="1">
      <c r="B21" s="3" t="inlineStr">
        <is>
          <t>Methodology notes &amp; caveats</t>
        </is>
      </c>
    </row>
    <row r="22" ht="30" customHeight="1">
      <c r="B22" s="2" t="inlineStr">
        <is>
          <t>1. Prices are standard pay-as-you-go list rates for the base (short) context tier. Long-context surcharges, cached-input rates, batch (-50%), priority/fast modes, and free tiers are excluded (noted where material).</t>
        </is>
      </c>
    </row>
    <row r="23" ht="30" customHeight="1">
      <c r="B23" s="2" t="inlineStr">
        <is>
          <t>2. Reasoning models bill hidden reasoning tokens at the output rate; the blended figure understates their effective cost per visible token.</t>
        </is>
      </c>
    </row>
    <row r="24" ht="30" customHeight="1">
      <c r="B24" s="2" t="inlineStr">
        <is>
          <t>3. Chinese CNY list prices converted at the rates published by the trackers used (~6.75-7.1 CNY/USD); conversion noted in the Basis column.</t>
        </is>
      </c>
    </row>
    <row r="25" ht="30" customHeight="1">
      <c r="B25" s="2" t="inlineStr">
        <is>
          <t>4. Date precision: 'approx' marks launch dates estimated to the month from secondary sources; 'exact' dates come from vendor announcements.</t>
        </is>
      </c>
    </row>
    <row r="26" ht="30" customHeight="1">
      <c r="B26" s="2" t="inlineStr">
        <is>
          <t>5. Promotional prices are recorded as events and flagged (e.g. GPT-5.6 Sol's $4/$20 promo through Nov 2026; DeepSeek's off-peak windows).</t>
        </is>
      </c>
    </row>
    <row r="27" ht="30" customHeight="1">
      <c r="B27" s="2" t="inlineStr">
        <is>
          <t>6. Open-weight hosted rates vary 2-4x across hosts; the Basis column names the reference host. Third-party host rates for the same model differ from the first-party rate shown.</t>
        </is>
      </c>
    </row>
    <row r="28" ht="30" customHeight="1">
      <c r="B28" s="2" t="inlineStr">
        <is>
          <t>7. Tokenizers differ across vendors (e.g. Claude Sonnet 5 produces ~30% more tokens for the same text), so $/token is not a perfect cross-vendor unit of work.</t>
        </is>
      </c>
    </row>
    <row r="29">
      <c r="B29" s="2" t="inlineStr"/>
    </row>
    <row r="30" ht="18" customHeight="1">
      <c r="B30" s="3" t="inlineStr">
        <is>
          <t>Headline findings</t>
        </is>
      </c>
    </row>
    <row r="31" ht="30" customHeight="1">
      <c r="B31" s="2" t="inlineStr">
        <is>
          <t>- Frontier flagship blended price fell from $37.50 (GPT-4, Mar 2023) to a floor of ~$3.44 (GPT-5, Aug 2025), then REBOUNDED to $8-11+ in 2026 as reasoning-heavy flagships (GPT-5.5/5.6 at $5/$30, Claude Fable 5 at $10/$50) reset the ceiling.</t>
        </is>
      </c>
    </row>
    <row r="32" ht="30" customHeight="1">
      <c r="B32" s="2" t="inlineStr">
        <is>
          <t>- The budget tier collapsed &gt;99%: $2.00 blended (GPT-3.5 Turbo, Mar 2023) to $0.20-0.45 (GPT-5.6 Luna, Gemini Flash-Lite class, 2026).</t>
        </is>
      </c>
    </row>
    <row r="33" ht="30" customHeight="1">
      <c r="B33" s="2" t="inlineStr">
        <is>
          <t>- Open-weight flagships remain 3-10x cheaper than closed flagships, but their launch prices are rising (Kimi K3 at $6.00 blended is the most expensive open-weight launch to date).</t>
        </is>
      </c>
    </row>
    <row r="34" ht="30" customHeight="1">
      <c r="B34" s="2" t="inlineStr">
        <is>
          <t>- China's open-weight labs (DeepSeek, Qwen, Kimi, GLM) anchor the global price floor; DeepSeek V4 Flash off-peak reaches $0.33 blended.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9" customWidth="1" min="4" max="4"/>
    <col width="24" customWidth="1" min="5" max="5"/>
    <col width="20" customWidth="1" min="6" max="6"/>
    <col width="17" customWidth="1" min="7" max="7"/>
    <col width="15" customWidth="1" min="8" max="8"/>
    <col width="11" customWidth="1" min="9" max="9"/>
    <col width="11" customWidth="1" min="10" max="10"/>
    <col width="15" customWidth="1" min="11" max="11"/>
    <col width="30" customWidth="1" min="12" max="12"/>
    <col width="12" customWidth="1" min="13" max="13"/>
    <col width="58" customWidth="1" min="14" max="14"/>
  </cols>
  <sheetData>
    <row r="1" ht="28" customHeight="1">
      <c r="A1" s="4" t="inlineStr">
        <is>
          <t>Effective date</t>
        </is>
      </c>
      <c r="B1" s="4" t="inlineStr">
        <is>
          <t>Quarter</t>
        </is>
      </c>
      <c r="C1" s="4" t="inlineStr">
        <is>
          <t>Developer</t>
        </is>
      </c>
      <c r="D1" s="4" t="inlineStr">
        <is>
          <t>Country</t>
        </is>
      </c>
      <c r="E1" s="4" t="inlineStr">
        <is>
          <t>Model</t>
        </is>
      </c>
      <c r="F1" s="4" t="inlineStr">
        <is>
          <t>Class</t>
        </is>
      </c>
      <c r="G1" s="4" t="inlineStr">
        <is>
          <t>Tier</t>
        </is>
      </c>
      <c r="H1" s="4" t="inlineStr">
        <is>
          <t>Event</t>
        </is>
      </c>
      <c r="I1" s="4" t="inlineStr">
        <is>
          <t>Input $/1M</t>
        </is>
      </c>
      <c r="J1" s="4" t="inlineStr">
        <is>
          <t>Output $/1M</t>
        </is>
      </c>
      <c r="K1" s="4" t="inlineStr">
        <is>
          <t>Blended $/1M (3:1)</t>
        </is>
      </c>
      <c r="L1" s="4" t="inlineStr">
        <is>
          <t>Pricing basis</t>
        </is>
      </c>
      <c r="M1" s="4" t="inlineStr">
        <is>
          <t>Date precision</t>
        </is>
      </c>
      <c r="N1" s="4" t="inlineStr">
        <is>
          <t>Notes</t>
        </is>
      </c>
    </row>
    <row r="2">
      <c r="A2" s="5" t="n">
        <v>44075</v>
      </c>
      <c r="B2" t="inlineStr">
        <is>
          <t>2020 Q3</t>
        </is>
      </c>
      <c r="C2" t="inlineStr">
        <is>
          <t>OpenAI</t>
        </is>
      </c>
      <c r="D2" t="inlineStr">
        <is>
          <t>USA</t>
        </is>
      </c>
      <c r="E2" t="inlineStr">
        <is>
          <t>GPT-3 (davinci)</t>
        </is>
      </c>
      <c r="F2" t="inlineStr">
        <is>
          <t>Frontier (proprietary)</t>
        </is>
      </c>
      <c r="G2" t="inlineStr">
        <is>
          <t>Flagship</t>
        </is>
      </c>
      <c r="H2" t="inlineStr">
        <is>
          <t>Launch</t>
        </is>
      </c>
      <c r="I2" s="6" t="n">
        <v>60</v>
      </c>
      <c r="J2" s="6" t="n">
        <v>60</v>
      </c>
      <c r="K2" s="7">
        <f>(3*I2+J2)/4</f>
        <v/>
      </c>
      <c r="L2" t="inlineStr">
        <is>
          <t>OpenAI API</t>
        </is>
      </c>
      <c r="M2" t="inlineStr">
        <is>
          <t>approx</t>
        </is>
      </c>
      <c r="N2" t="inlineStr">
        <is>
          <t>Original GPT-3 pricing, $0.06/1K tokens flat (no input/output split)</t>
        </is>
      </c>
    </row>
    <row r="3">
      <c r="A3" s="5" t="n">
        <v>44986</v>
      </c>
      <c r="B3" t="inlineStr">
        <is>
          <t>2023 Q1</t>
        </is>
      </c>
      <c r="C3" t="inlineStr">
        <is>
          <t>OpenAI</t>
        </is>
      </c>
      <c r="D3" t="inlineStr">
        <is>
          <t>USA</t>
        </is>
      </c>
      <c r="E3" t="inlineStr">
        <is>
          <t>GPT-3.5 Turbo</t>
        </is>
      </c>
      <c r="F3" t="inlineStr">
        <is>
          <t>Frontier (proprietary)</t>
        </is>
      </c>
      <c r="G3" t="inlineStr">
        <is>
          <t>Budget</t>
        </is>
      </c>
      <c r="H3" t="inlineStr">
        <is>
          <t>Launch</t>
        </is>
      </c>
      <c r="I3" s="6" t="n">
        <v>2</v>
      </c>
      <c r="J3" s="6" t="n">
        <v>2</v>
      </c>
      <c r="K3" s="7">
        <f>(3*I3+J3)/4</f>
        <v/>
      </c>
      <c r="L3" t="inlineStr">
        <is>
          <t>OpenAI API</t>
        </is>
      </c>
      <c r="M3" t="inlineStr">
        <is>
          <t>exact</t>
        </is>
      </c>
      <c r="N3" t="inlineStr">
        <is>
          <t>$0.002/1K flat at launch</t>
        </is>
      </c>
    </row>
    <row r="4">
      <c r="A4" s="5" t="n">
        <v>44999</v>
      </c>
      <c r="B4" t="inlineStr">
        <is>
          <t>2023 Q1</t>
        </is>
      </c>
      <c r="C4" t="inlineStr">
        <is>
          <t>Anthropic</t>
        </is>
      </c>
      <c r="D4" t="inlineStr">
        <is>
          <t>USA</t>
        </is>
      </c>
      <c r="E4" t="inlineStr">
        <is>
          <t>Claude 1</t>
        </is>
      </c>
      <c r="F4" t="inlineStr">
        <is>
          <t>Frontier (proprietary)</t>
        </is>
      </c>
      <c r="G4" t="inlineStr">
        <is>
          <t>Flagship</t>
        </is>
      </c>
      <c r="H4" t="inlineStr">
        <is>
          <t>Launch</t>
        </is>
      </c>
      <c r="I4" s="6" t="n">
        <v>11.02</v>
      </c>
      <c r="J4" s="6" t="n">
        <v>32.68</v>
      </c>
      <c r="K4" s="7">
        <f>(3*I4+J4)/4</f>
        <v/>
      </c>
      <c r="L4" t="inlineStr">
        <is>
          <t>Anthropic API</t>
        </is>
      </c>
      <c r="M4" t="inlineStr">
        <is>
          <t>exact</t>
        </is>
      </c>
      <c r="N4" t="inlineStr">
        <is>
          <t>Token-equivalent of original per-character pricing</t>
        </is>
      </c>
    </row>
    <row r="5">
      <c r="A5" s="5" t="n">
        <v>44999</v>
      </c>
      <c r="B5" t="inlineStr">
        <is>
          <t>2023 Q1</t>
        </is>
      </c>
      <c r="C5" t="inlineStr">
        <is>
          <t>Anthropic</t>
        </is>
      </c>
      <c r="D5" t="inlineStr">
        <is>
          <t>USA</t>
        </is>
      </c>
      <c r="E5" t="inlineStr">
        <is>
          <t>Claude Instant</t>
        </is>
      </c>
      <c r="F5" t="inlineStr">
        <is>
          <t>Frontier (proprietary)</t>
        </is>
      </c>
      <c r="G5" t="inlineStr">
        <is>
          <t>Budget</t>
        </is>
      </c>
      <c r="H5" t="inlineStr">
        <is>
          <t>Launch</t>
        </is>
      </c>
      <c r="I5" s="6" t="n">
        <v>1.63</v>
      </c>
      <c r="J5" s="6" t="n">
        <v>5.51</v>
      </c>
      <c r="K5" s="7">
        <f>(3*I5+J5)/4</f>
        <v/>
      </c>
      <c r="L5" t="inlineStr">
        <is>
          <t>Anthropic API</t>
        </is>
      </c>
      <c r="M5" t="inlineStr">
        <is>
          <t>exact</t>
        </is>
      </c>
      <c r="N5" t="inlineStr"/>
    </row>
    <row r="6">
      <c r="A6" s="5" t="n">
        <v>44999</v>
      </c>
      <c r="B6" t="inlineStr">
        <is>
          <t>2023 Q1</t>
        </is>
      </c>
      <c r="C6" t="inlineStr">
        <is>
          <t>OpenAI</t>
        </is>
      </c>
      <c r="D6" t="inlineStr">
        <is>
          <t>USA</t>
        </is>
      </c>
      <c r="E6" t="inlineStr">
        <is>
          <t>GPT-4</t>
        </is>
      </c>
      <c r="F6" t="inlineStr">
        <is>
          <t>Frontier (proprietary)</t>
        </is>
      </c>
      <c r="G6" t="inlineStr">
        <is>
          <t>Flagship</t>
        </is>
      </c>
      <c r="H6" t="inlineStr">
        <is>
          <t>Launch</t>
        </is>
      </c>
      <c r="I6" s="6" t="n">
        <v>30</v>
      </c>
      <c r="J6" s="6" t="n">
        <v>60</v>
      </c>
      <c r="K6" s="7">
        <f>(3*I6+J6)/4</f>
        <v/>
      </c>
      <c r="L6" t="inlineStr">
        <is>
          <t>OpenAI API</t>
        </is>
      </c>
      <c r="M6" t="inlineStr">
        <is>
          <t>exact</t>
        </is>
      </c>
      <c r="N6" t="inlineStr">
        <is>
          <t>8K context tier; 32K tier was $60/$120</t>
        </is>
      </c>
    </row>
    <row r="7">
      <c r="A7" s="5" t="n">
        <v>45090</v>
      </c>
      <c r="B7" t="inlineStr">
        <is>
          <t>2023 Q2</t>
        </is>
      </c>
      <c r="C7" t="inlineStr">
        <is>
          <t>OpenAI</t>
        </is>
      </c>
      <c r="D7" t="inlineStr">
        <is>
          <t>USA</t>
        </is>
      </c>
      <c r="E7" t="inlineStr">
        <is>
          <t>GPT-3.5 Turbo</t>
        </is>
      </c>
      <c r="F7" t="inlineStr">
        <is>
          <t>Frontier (proprietary)</t>
        </is>
      </c>
      <c r="G7" t="inlineStr">
        <is>
          <t>Budget</t>
        </is>
      </c>
      <c r="H7" t="inlineStr">
        <is>
          <t>Price cut</t>
        </is>
      </c>
      <c r="I7" s="6" t="n">
        <v>1.5</v>
      </c>
      <c r="J7" s="6" t="n">
        <v>2</v>
      </c>
      <c r="K7" s="7">
        <f>(3*I7+J7)/4</f>
        <v/>
      </c>
      <c r="L7" t="inlineStr">
        <is>
          <t>OpenAI API</t>
        </is>
      </c>
      <c r="M7" t="inlineStr">
        <is>
          <t>exact</t>
        </is>
      </c>
      <c r="N7" t="inlineStr">
        <is>
          <t>25% input price cut</t>
        </is>
      </c>
    </row>
    <row r="8">
      <c r="A8" s="5" t="n">
        <v>45118</v>
      </c>
      <c r="B8" t="inlineStr">
        <is>
          <t>2023 Q3</t>
        </is>
      </c>
      <c r="C8" t="inlineStr">
        <is>
          <t>Anthropic</t>
        </is>
      </c>
      <c r="D8" t="inlineStr">
        <is>
          <t>USA</t>
        </is>
      </c>
      <c r="E8" t="inlineStr">
        <is>
          <t>Claude 2</t>
        </is>
      </c>
      <c r="F8" t="inlineStr">
        <is>
          <t>Frontier (proprietary)</t>
        </is>
      </c>
      <c r="G8" t="inlineStr">
        <is>
          <t>Flagship</t>
        </is>
      </c>
      <c r="H8" t="inlineStr">
        <is>
          <t>Launch</t>
        </is>
      </c>
      <c r="I8" s="6" t="n">
        <v>11.02</v>
      </c>
      <c r="J8" s="6" t="n">
        <v>32.68</v>
      </c>
      <c r="K8" s="7">
        <f>(3*I8+J8)/4</f>
        <v/>
      </c>
      <c r="L8" t="inlineStr">
        <is>
          <t>Anthropic API</t>
        </is>
      </c>
      <c r="M8" t="inlineStr">
        <is>
          <t>exact</t>
        </is>
      </c>
      <c r="N8" t="inlineStr"/>
    </row>
    <row r="9">
      <c r="A9" s="5" t="n">
        <v>45125</v>
      </c>
      <c r="B9" t="inlineStr">
        <is>
          <t>2023 Q3</t>
        </is>
      </c>
      <c r="C9" t="inlineStr">
        <is>
          <t>Meta</t>
        </is>
      </c>
      <c r="D9" t="inlineStr">
        <is>
          <t>USA</t>
        </is>
      </c>
      <c r="E9" t="inlineStr">
        <is>
          <t>Llama 2 70B</t>
        </is>
      </c>
      <c r="F9" t="inlineStr">
        <is>
          <t>Open-weight</t>
        </is>
      </c>
      <c r="G9" t="inlineStr">
        <is>
          <t>Flagship</t>
        </is>
      </c>
      <c r="H9" t="inlineStr">
        <is>
          <t>Launch</t>
        </is>
      </c>
      <c r="I9" s="6" t="n">
        <v>0.9</v>
      </c>
      <c r="J9" s="6" t="n">
        <v>0.9</v>
      </c>
      <c r="K9" s="7">
        <f>(3*I9+J9)/4</f>
        <v/>
      </c>
      <c r="L9" t="inlineStr">
        <is>
          <t>Together AI (reference host)</t>
        </is>
      </c>
      <c r="M9" t="inlineStr">
        <is>
          <t>exact</t>
        </is>
      </c>
      <c r="N9" t="inlineStr">
        <is>
          <t>No first-party API - hosted reference rate</t>
        </is>
      </c>
    </row>
    <row r="10">
      <c r="A10" s="5" t="n">
        <v>45236</v>
      </c>
      <c r="B10" t="inlineStr">
        <is>
          <t>2023 Q4</t>
        </is>
      </c>
      <c r="C10" t="inlineStr">
        <is>
          <t>OpenAI</t>
        </is>
      </c>
      <c r="D10" t="inlineStr">
        <is>
          <t>USA</t>
        </is>
      </c>
      <c r="E10" t="inlineStr">
        <is>
          <t>GPT-3.5 Turbo</t>
        </is>
      </c>
      <c r="F10" t="inlineStr">
        <is>
          <t>Frontier (proprietary)</t>
        </is>
      </c>
      <c r="G10" t="inlineStr">
        <is>
          <t>Budget</t>
        </is>
      </c>
      <c r="H10" t="inlineStr">
        <is>
          <t>Price cut</t>
        </is>
      </c>
      <c r="I10" s="6" t="n">
        <v>1</v>
      </c>
      <c r="J10" s="6" t="n">
        <v>2</v>
      </c>
      <c r="K10" s="7">
        <f>(3*I10+J10)/4</f>
        <v/>
      </c>
      <c r="L10" t="inlineStr">
        <is>
          <t>OpenAI API</t>
        </is>
      </c>
      <c r="M10" t="inlineStr">
        <is>
          <t>exact</t>
        </is>
      </c>
      <c r="N10" t="inlineStr">
        <is>
          <t>gpt-3.5-turbo-1106</t>
        </is>
      </c>
    </row>
    <row r="11">
      <c r="A11" s="5" t="n">
        <v>45236</v>
      </c>
      <c r="B11" t="inlineStr">
        <is>
          <t>2023 Q4</t>
        </is>
      </c>
      <c r="C11" t="inlineStr">
        <is>
          <t>OpenAI</t>
        </is>
      </c>
      <c r="D11" t="inlineStr">
        <is>
          <t>USA</t>
        </is>
      </c>
      <c r="E11" t="inlineStr">
        <is>
          <t>GPT-4 Turbo</t>
        </is>
      </c>
      <c r="F11" t="inlineStr">
        <is>
          <t>Frontier (proprietary)</t>
        </is>
      </c>
      <c r="G11" t="inlineStr">
        <is>
          <t>Flagship</t>
        </is>
      </c>
      <c r="H11" t="inlineStr">
        <is>
          <t>Launch</t>
        </is>
      </c>
      <c r="I11" s="6" t="n">
        <v>10</v>
      </c>
      <c r="J11" s="6" t="n">
        <v>30</v>
      </c>
      <c r="K11" s="7">
        <f>(3*I11+J11)/4</f>
        <v/>
      </c>
      <c r="L11" t="inlineStr">
        <is>
          <t>OpenAI API</t>
        </is>
      </c>
      <c r="M11" t="inlineStr">
        <is>
          <t>exact</t>
        </is>
      </c>
      <c r="N11" t="inlineStr">
        <is>
          <t>128K context</t>
        </is>
      </c>
    </row>
    <row r="12">
      <c r="A12" s="5" t="n">
        <v>45251</v>
      </c>
      <c r="B12" t="inlineStr">
        <is>
          <t>2023 Q4</t>
        </is>
      </c>
      <c r="C12" t="inlineStr">
        <is>
          <t>Anthropic</t>
        </is>
      </c>
      <c r="D12" t="inlineStr">
        <is>
          <t>USA</t>
        </is>
      </c>
      <c r="E12" t="inlineStr">
        <is>
          <t>Claude 2.1</t>
        </is>
      </c>
      <c r="F12" t="inlineStr">
        <is>
          <t>Frontier (proprietary)</t>
        </is>
      </c>
      <c r="G12" t="inlineStr">
        <is>
          <t>Flagship</t>
        </is>
      </c>
      <c r="H12" t="inlineStr">
        <is>
          <t>Launch</t>
        </is>
      </c>
      <c r="I12" s="6" t="n">
        <v>8</v>
      </c>
      <c r="J12" s="6" t="n">
        <v>24</v>
      </c>
      <c r="K12" s="7">
        <f>(3*I12+J12)/4</f>
        <v/>
      </c>
      <c r="L12" t="inlineStr">
        <is>
          <t>Anthropic API</t>
        </is>
      </c>
      <c r="M12" t="inlineStr">
        <is>
          <t>exact</t>
        </is>
      </c>
      <c r="N12" t="inlineStr">
        <is>
          <t>Effective price cut vs Claude 2</t>
        </is>
      </c>
    </row>
    <row r="13">
      <c r="A13" s="5" t="n">
        <v>45251</v>
      </c>
      <c r="B13" t="inlineStr">
        <is>
          <t>2023 Q4</t>
        </is>
      </c>
      <c r="C13" t="inlineStr">
        <is>
          <t>Anthropic</t>
        </is>
      </c>
      <c r="D13" t="inlineStr">
        <is>
          <t>USA</t>
        </is>
      </c>
      <c r="E13" t="inlineStr">
        <is>
          <t>Claude Instant 1.2</t>
        </is>
      </c>
      <c r="F13" t="inlineStr">
        <is>
          <t>Frontier (proprietary)</t>
        </is>
      </c>
      <c r="G13" t="inlineStr">
        <is>
          <t>Budget</t>
        </is>
      </c>
      <c r="H13" t="inlineStr">
        <is>
          <t>Price cut</t>
        </is>
      </c>
      <c r="I13" s="6" t="n">
        <v>0.8</v>
      </c>
      <c r="J13" s="6" t="n">
        <v>2.4</v>
      </c>
      <c r="K13" s="7">
        <f>(3*I13+J13)/4</f>
        <v/>
      </c>
      <c r="L13" t="inlineStr">
        <is>
          <t>Anthropic API</t>
        </is>
      </c>
      <c r="M13" t="inlineStr">
        <is>
          <t>exact</t>
        </is>
      </c>
      <c r="N13" t="inlineStr"/>
    </row>
    <row r="14">
      <c r="A14" s="5" t="n">
        <v>45271</v>
      </c>
      <c r="B14" t="inlineStr">
        <is>
          <t>2023 Q4</t>
        </is>
      </c>
      <c r="C14" t="inlineStr">
        <is>
          <t>Mistral AI</t>
        </is>
      </c>
      <c r="D14" t="inlineStr">
        <is>
          <t>France</t>
        </is>
      </c>
      <c r="E14" t="inlineStr">
        <is>
          <t>Mixtral 8x7B</t>
        </is>
      </c>
      <c r="F14" t="inlineStr">
        <is>
          <t>Open-weight</t>
        </is>
      </c>
      <c r="G14" t="inlineStr">
        <is>
          <t>Mid</t>
        </is>
      </c>
      <c r="H14" t="inlineStr">
        <is>
          <t>Launch</t>
        </is>
      </c>
      <c r="I14" s="6" t="n">
        <v>0.7</v>
      </c>
      <c r="J14" s="6" t="n">
        <v>0.7</v>
      </c>
      <c r="K14" s="7">
        <f>(3*I14+J14)/4</f>
        <v/>
      </c>
      <c r="L14" t="inlineStr">
        <is>
          <t>La Plateforme</t>
        </is>
      </c>
      <c r="M14" t="inlineStr">
        <is>
          <t>exact</t>
        </is>
      </c>
      <c r="N14" t="inlineStr">
        <is>
          <t>Apache 2.0 MoE</t>
        </is>
      </c>
    </row>
    <row r="15">
      <c r="A15" s="5" t="n">
        <v>45316</v>
      </c>
      <c r="B15" t="inlineStr">
        <is>
          <t>2024 Q1</t>
        </is>
      </c>
      <c r="C15" t="inlineStr">
        <is>
          <t>OpenAI</t>
        </is>
      </c>
      <c r="D15" t="inlineStr">
        <is>
          <t>USA</t>
        </is>
      </c>
      <c r="E15" t="inlineStr">
        <is>
          <t>GPT-3.5 Turbo</t>
        </is>
      </c>
      <c r="F15" t="inlineStr">
        <is>
          <t>Frontier (proprietary)</t>
        </is>
      </c>
      <c r="G15" t="inlineStr">
        <is>
          <t>Budget</t>
        </is>
      </c>
      <c r="H15" t="inlineStr">
        <is>
          <t>Price cut</t>
        </is>
      </c>
      <c r="I15" s="6" t="n">
        <v>0.5</v>
      </c>
      <c r="J15" s="6" t="n">
        <v>1.5</v>
      </c>
      <c r="K15" s="7">
        <f>(3*I15+J15)/4</f>
        <v/>
      </c>
      <c r="L15" t="inlineStr">
        <is>
          <t>OpenAI API</t>
        </is>
      </c>
      <c r="M15" t="inlineStr">
        <is>
          <t>exact</t>
        </is>
      </c>
      <c r="N15" t="inlineStr">
        <is>
          <t>gpt-3.5-turbo-0125</t>
        </is>
      </c>
    </row>
    <row r="16">
      <c r="A16" s="5" t="n">
        <v>45337</v>
      </c>
      <c r="B16" t="inlineStr">
        <is>
          <t>2024 Q1</t>
        </is>
      </c>
      <c r="C16" t="inlineStr">
        <is>
          <t>Google</t>
        </is>
      </c>
      <c r="D16" t="inlineStr">
        <is>
          <t>USA</t>
        </is>
      </c>
      <c r="E16" t="inlineStr">
        <is>
          <t>Gemini 1.0 Pro</t>
        </is>
      </c>
      <c r="F16" t="inlineStr">
        <is>
          <t>Frontier (proprietary)</t>
        </is>
      </c>
      <c r="G16" t="inlineStr">
        <is>
          <t>Mid</t>
        </is>
      </c>
      <c r="H16" t="inlineStr">
        <is>
          <t>Launch</t>
        </is>
      </c>
      <c r="I16" s="6" t="n">
        <v>0.5</v>
      </c>
      <c r="J16" s="6" t="n">
        <v>1.5</v>
      </c>
      <c r="K16" s="7">
        <f>(3*I16+J16)/4</f>
        <v/>
      </c>
      <c r="L16" t="inlineStr">
        <is>
          <t>Gemini API</t>
        </is>
      </c>
      <c r="M16" t="inlineStr">
        <is>
          <t>exact</t>
        </is>
      </c>
      <c r="N16" t="inlineStr">
        <is>
          <t>Paid tier GA</t>
        </is>
      </c>
    </row>
    <row r="17">
      <c r="A17" s="5" t="n">
        <v>45348</v>
      </c>
      <c r="B17" t="inlineStr">
        <is>
          <t>2024 Q1</t>
        </is>
      </c>
      <c r="C17" t="inlineStr">
        <is>
          <t>Mistral AI</t>
        </is>
      </c>
      <c r="D17" t="inlineStr">
        <is>
          <t>France</t>
        </is>
      </c>
      <c r="E17" t="inlineStr">
        <is>
          <t>Mistral Large</t>
        </is>
      </c>
      <c r="F17" t="inlineStr">
        <is>
          <t>Frontier (proprietary)</t>
        </is>
      </c>
      <c r="G17" t="inlineStr">
        <is>
          <t>Flagship</t>
        </is>
      </c>
      <c r="H17" t="inlineStr">
        <is>
          <t>Launch</t>
        </is>
      </c>
      <c r="I17" s="6" t="n">
        <v>8</v>
      </c>
      <c r="J17" s="6" t="n">
        <v>24</v>
      </c>
      <c r="K17" s="7">
        <f>(3*I17+J17)/4</f>
        <v/>
      </c>
      <c r="L17" t="inlineStr">
        <is>
          <t>La Plateforme</t>
        </is>
      </c>
      <c r="M17" t="inlineStr">
        <is>
          <t>exact</t>
        </is>
      </c>
      <c r="N17" t="inlineStr">
        <is>
          <t>Proprietary</t>
        </is>
      </c>
    </row>
    <row r="18">
      <c r="A18" s="5" t="n">
        <v>45355</v>
      </c>
      <c r="B18" t="inlineStr">
        <is>
          <t>2024 Q1</t>
        </is>
      </c>
      <c r="C18" t="inlineStr">
        <is>
          <t>Anthropic</t>
        </is>
      </c>
      <c r="D18" t="inlineStr">
        <is>
          <t>USA</t>
        </is>
      </c>
      <c r="E18" t="inlineStr">
        <is>
          <t>Claude 3 Opus</t>
        </is>
      </c>
      <c r="F18" t="inlineStr">
        <is>
          <t>Frontier (proprietary)</t>
        </is>
      </c>
      <c r="G18" t="inlineStr">
        <is>
          <t>Flagship</t>
        </is>
      </c>
      <c r="H18" t="inlineStr">
        <is>
          <t>Launch</t>
        </is>
      </c>
      <c r="I18" s="6" t="n">
        <v>15</v>
      </c>
      <c r="J18" s="6" t="n">
        <v>75</v>
      </c>
      <c r="K18" s="7">
        <f>(3*I18+J18)/4</f>
        <v/>
      </c>
      <c r="L18" t="inlineStr">
        <is>
          <t>Anthropic API</t>
        </is>
      </c>
      <c r="M18" t="inlineStr">
        <is>
          <t>exact</t>
        </is>
      </c>
      <c r="N18" t="inlineStr"/>
    </row>
    <row r="19">
      <c r="A19" s="5" t="n">
        <v>45355</v>
      </c>
      <c r="B19" t="inlineStr">
        <is>
          <t>2024 Q1</t>
        </is>
      </c>
      <c r="C19" t="inlineStr">
        <is>
          <t>Anthropic</t>
        </is>
      </c>
      <c r="D19" t="inlineStr">
        <is>
          <t>USA</t>
        </is>
      </c>
      <c r="E19" t="inlineStr">
        <is>
          <t>Claude 3 Sonnet</t>
        </is>
      </c>
      <c r="F19" t="inlineStr">
        <is>
          <t>Frontier (proprietary)</t>
        </is>
      </c>
      <c r="G19" t="inlineStr">
        <is>
          <t>Mid</t>
        </is>
      </c>
      <c r="H19" t="inlineStr">
        <is>
          <t>Launch</t>
        </is>
      </c>
      <c r="I19" s="6" t="n">
        <v>3</v>
      </c>
      <c r="J19" s="6" t="n">
        <v>15</v>
      </c>
      <c r="K19" s="7">
        <f>(3*I19+J19)/4</f>
        <v/>
      </c>
      <c r="L19" t="inlineStr">
        <is>
          <t>Anthropic API</t>
        </is>
      </c>
      <c r="M19" t="inlineStr">
        <is>
          <t>exact</t>
        </is>
      </c>
      <c r="N19" t="inlineStr"/>
    </row>
    <row r="20">
      <c r="A20" s="5" t="n">
        <v>45364</v>
      </c>
      <c r="B20" t="inlineStr">
        <is>
          <t>2024 Q1</t>
        </is>
      </c>
      <c r="C20" t="inlineStr">
        <is>
          <t>Anthropic</t>
        </is>
      </c>
      <c r="D20" t="inlineStr">
        <is>
          <t>USA</t>
        </is>
      </c>
      <c r="E20" t="inlineStr">
        <is>
          <t>Claude 3 Haiku</t>
        </is>
      </c>
      <c r="F20" t="inlineStr">
        <is>
          <t>Frontier (proprietary)</t>
        </is>
      </c>
      <c r="G20" t="inlineStr">
        <is>
          <t>Budget</t>
        </is>
      </c>
      <c r="H20" t="inlineStr">
        <is>
          <t>Launch</t>
        </is>
      </c>
      <c r="I20" s="6" t="n">
        <v>0.25</v>
      </c>
      <c r="J20" s="6" t="n">
        <v>1.25</v>
      </c>
      <c r="K20" s="7">
        <f>(3*I20+J20)/4</f>
        <v/>
      </c>
      <c r="L20" t="inlineStr">
        <is>
          <t>Anthropic API</t>
        </is>
      </c>
      <c r="M20" t="inlineStr">
        <is>
          <t>exact</t>
        </is>
      </c>
      <c r="N20" t="inlineStr"/>
    </row>
    <row r="21">
      <c r="A21" s="5" t="n">
        <v>45386</v>
      </c>
      <c r="B21" t="inlineStr">
        <is>
          <t>2024 Q2</t>
        </is>
      </c>
      <c r="C21" t="inlineStr">
        <is>
          <t>Cohere</t>
        </is>
      </c>
      <c r="D21" t="inlineStr">
        <is>
          <t>Canada</t>
        </is>
      </c>
      <c r="E21" t="inlineStr">
        <is>
          <t>Command R+</t>
        </is>
      </c>
      <c r="F21" t="inlineStr">
        <is>
          <t>Frontier (proprietary)</t>
        </is>
      </c>
      <c r="G21" t="inlineStr">
        <is>
          <t>Flagship</t>
        </is>
      </c>
      <c r="H21" t="inlineStr">
        <is>
          <t>Launch</t>
        </is>
      </c>
      <c r="I21" s="6" t="n">
        <v>3</v>
      </c>
      <c r="J21" s="6" t="n">
        <v>15</v>
      </c>
      <c r="K21" s="7">
        <f>(3*I21+J21)/4</f>
        <v/>
      </c>
      <c r="L21" t="inlineStr">
        <is>
          <t>Cohere API</t>
        </is>
      </c>
      <c r="M21" t="inlineStr">
        <is>
          <t>exact</t>
        </is>
      </c>
      <c r="N21" t="inlineStr">
        <is>
          <t>Cut to $2.50/$10 with 08-2024 refresh</t>
        </is>
      </c>
    </row>
    <row r="22">
      <c r="A22" s="5" t="n">
        <v>45400</v>
      </c>
      <c r="B22" t="inlineStr">
        <is>
          <t>2024 Q2</t>
        </is>
      </c>
      <c r="C22" t="inlineStr">
        <is>
          <t>Meta</t>
        </is>
      </c>
      <c r="D22" t="inlineStr">
        <is>
          <t>USA</t>
        </is>
      </c>
      <c r="E22" t="inlineStr">
        <is>
          <t>Llama 3 70B</t>
        </is>
      </c>
      <c r="F22" t="inlineStr">
        <is>
          <t>Open-weight</t>
        </is>
      </c>
      <c r="G22" t="inlineStr">
        <is>
          <t>Flagship</t>
        </is>
      </c>
      <c r="H22" t="inlineStr">
        <is>
          <t>Launch</t>
        </is>
      </c>
      <c r="I22" s="6" t="n">
        <v>0.9</v>
      </c>
      <c r="J22" s="6" t="n">
        <v>0.9</v>
      </c>
      <c r="K22" s="7">
        <f>(3*I22+J22)/4</f>
        <v/>
      </c>
      <c r="L22" t="inlineStr">
        <is>
          <t>Together AI (reference host)</t>
        </is>
      </c>
      <c r="M22" t="inlineStr">
        <is>
          <t>exact</t>
        </is>
      </c>
      <c r="N22" t="inlineStr"/>
    </row>
    <row r="23">
      <c r="A23" s="5" t="n">
        <v>45400</v>
      </c>
      <c r="B23" t="inlineStr">
        <is>
          <t>2024 Q2</t>
        </is>
      </c>
      <c r="C23" t="inlineStr">
        <is>
          <t>Meta</t>
        </is>
      </c>
      <c r="D23" t="inlineStr">
        <is>
          <t>USA</t>
        </is>
      </c>
      <c r="E23" t="inlineStr">
        <is>
          <t>Llama 3 8B</t>
        </is>
      </c>
      <c r="F23" t="inlineStr">
        <is>
          <t>Open-weight</t>
        </is>
      </c>
      <c r="G23" t="inlineStr">
        <is>
          <t>Small</t>
        </is>
      </c>
      <c r="H23" t="inlineStr">
        <is>
          <t>Launch</t>
        </is>
      </c>
      <c r="I23" s="6" t="n">
        <v>0.2</v>
      </c>
      <c r="J23" s="6" t="n">
        <v>0.2</v>
      </c>
      <c r="K23" s="7">
        <f>(3*I23+J23)/4</f>
        <v/>
      </c>
      <c r="L23" t="inlineStr">
        <is>
          <t>Together AI (reference host)</t>
        </is>
      </c>
      <c r="M23" t="inlineStr">
        <is>
          <t>exact</t>
        </is>
      </c>
      <c r="N23" t="inlineStr"/>
    </row>
    <row r="24">
      <c r="A24" s="5" t="n">
        <v>45418</v>
      </c>
      <c r="B24" t="inlineStr">
        <is>
          <t>2024 Q2</t>
        </is>
      </c>
      <c r="C24" t="inlineStr">
        <is>
          <t>DeepSeek</t>
        </is>
      </c>
      <c r="D24" t="inlineStr">
        <is>
          <t>China</t>
        </is>
      </c>
      <c r="E24" t="inlineStr">
        <is>
          <t>DeepSeek V2</t>
        </is>
      </c>
      <c r="F24" t="inlineStr">
        <is>
          <t>Open-weight</t>
        </is>
      </c>
      <c r="G24" t="inlineStr">
        <is>
          <t>Flagship</t>
        </is>
      </c>
      <c r="H24" t="inlineStr">
        <is>
          <t>Launch</t>
        </is>
      </c>
      <c r="I24" s="6" t="n">
        <v>0.14</v>
      </c>
      <c r="J24" s="6" t="n">
        <v>0.28</v>
      </c>
      <c r="K24" s="7">
        <f>(3*I24+J24)/4</f>
        <v/>
      </c>
      <c r="L24" t="inlineStr">
        <is>
          <t>DeepSeek API</t>
        </is>
      </c>
      <c r="M24" t="inlineStr">
        <is>
          <t>exact</t>
        </is>
      </c>
      <c r="N24" t="inlineStr">
        <is>
          <t>Triggered China's 2024 LLM price war</t>
        </is>
      </c>
    </row>
    <row r="25">
      <c r="A25" s="5" t="n">
        <v>45425</v>
      </c>
      <c r="B25" t="inlineStr">
        <is>
          <t>2024 Q2</t>
        </is>
      </c>
      <c r="C25" t="inlineStr">
        <is>
          <t>OpenAI</t>
        </is>
      </c>
      <c r="D25" t="inlineStr">
        <is>
          <t>USA</t>
        </is>
      </c>
      <c r="E25" t="inlineStr">
        <is>
          <t>GPT-4o</t>
        </is>
      </c>
      <c r="F25" t="inlineStr">
        <is>
          <t>Frontier (proprietary)</t>
        </is>
      </c>
      <c r="G25" t="inlineStr">
        <is>
          <t>Flagship</t>
        </is>
      </c>
      <c r="H25" t="inlineStr">
        <is>
          <t>Launch</t>
        </is>
      </c>
      <c r="I25" s="6" t="n">
        <v>5</v>
      </c>
      <c r="J25" s="6" t="n">
        <v>15</v>
      </c>
      <c r="K25" s="7">
        <f>(3*I25+J25)/4</f>
        <v/>
      </c>
      <c r="L25" t="inlineStr">
        <is>
          <t>OpenAI API</t>
        </is>
      </c>
      <c r="M25" t="inlineStr">
        <is>
          <t>exact</t>
        </is>
      </c>
      <c r="N25" t="inlineStr"/>
    </row>
    <row r="26">
      <c r="A26" s="5" t="n">
        <v>45436</v>
      </c>
      <c r="B26" t="inlineStr">
        <is>
          <t>2024 Q2</t>
        </is>
      </c>
      <c r="C26" t="inlineStr">
        <is>
          <t>Google</t>
        </is>
      </c>
      <c r="D26" t="inlineStr">
        <is>
          <t>USA</t>
        </is>
      </c>
      <c r="E26" t="inlineStr">
        <is>
          <t>Gemini 1.5 Flash</t>
        </is>
      </c>
      <c r="F26" t="inlineStr">
        <is>
          <t>Frontier (proprietary)</t>
        </is>
      </c>
      <c r="G26" t="inlineStr">
        <is>
          <t>Budget</t>
        </is>
      </c>
      <c r="H26" t="inlineStr">
        <is>
          <t>Launch</t>
        </is>
      </c>
      <c r="I26" s="6" t="n">
        <v>0.35</v>
      </c>
      <c r="J26" s="6" t="n">
        <v>1.05</v>
      </c>
      <c r="K26" s="7">
        <f>(3*I26+J26)/4</f>
        <v/>
      </c>
      <c r="L26" t="inlineStr">
        <is>
          <t>Gemini API</t>
        </is>
      </c>
      <c r="M26" t="inlineStr">
        <is>
          <t>exact</t>
        </is>
      </c>
      <c r="N26" t="inlineStr">
        <is>
          <t>&lt;=128K tier</t>
        </is>
      </c>
    </row>
    <row r="27">
      <c r="A27" s="5" t="n">
        <v>45436</v>
      </c>
      <c r="B27" t="inlineStr">
        <is>
          <t>2024 Q2</t>
        </is>
      </c>
      <c r="C27" t="inlineStr">
        <is>
          <t>Google</t>
        </is>
      </c>
      <c r="D27" t="inlineStr">
        <is>
          <t>USA</t>
        </is>
      </c>
      <c r="E27" t="inlineStr">
        <is>
          <t>Gemini 1.5 Pro</t>
        </is>
      </c>
      <c r="F27" t="inlineStr">
        <is>
          <t>Frontier (proprietary)</t>
        </is>
      </c>
      <c r="G27" t="inlineStr">
        <is>
          <t>Flagship</t>
        </is>
      </c>
      <c r="H27" t="inlineStr">
        <is>
          <t>Launch</t>
        </is>
      </c>
      <c r="I27" s="6" t="n">
        <v>3.5</v>
      </c>
      <c r="J27" s="6" t="n">
        <v>10.5</v>
      </c>
      <c r="K27" s="7">
        <f>(3*I27+J27)/4</f>
        <v/>
      </c>
      <c r="L27" t="inlineStr">
        <is>
          <t>Gemini API</t>
        </is>
      </c>
      <c r="M27" t="inlineStr">
        <is>
          <t>exact</t>
        </is>
      </c>
      <c r="N27" t="inlineStr">
        <is>
          <t>&lt;=128K tier</t>
        </is>
      </c>
    </row>
    <row r="28">
      <c r="A28" s="5" t="n">
        <v>45463</v>
      </c>
      <c r="B28" t="inlineStr">
        <is>
          <t>2024 Q2</t>
        </is>
      </c>
      <c r="C28" t="inlineStr">
        <is>
          <t>Anthropic</t>
        </is>
      </c>
      <c r="D28" t="inlineStr">
        <is>
          <t>USA</t>
        </is>
      </c>
      <c r="E28" t="inlineStr">
        <is>
          <t>Claude 3.5 Sonnet</t>
        </is>
      </c>
      <c r="F28" t="inlineStr">
        <is>
          <t>Frontier (proprietary)</t>
        </is>
      </c>
      <c r="G28" t="inlineStr">
        <is>
          <t>Mid</t>
        </is>
      </c>
      <c r="H28" t="inlineStr">
        <is>
          <t>Launch</t>
        </is>
      </c>
      <c r="I28" s="6" t="n">
        <v>3</v>
      </c>
      <c r="J28" s="6" t="n">
        <v>15</v>
      </c>
      <c r="K28" s="7">
        <f>(3*I28+J28)/4</f>
        <v/>
      </c>
      <c r="L28" t="inlineStr">
        <is>
          <t>Anthropic API</t>
        </is>
      </c>
      <c r="M28" t="inlineStr">
        <is>
          <t>exact</t>
        </is>
      </c>
      <c r="N28" t="inlineStr"/>
    </row>
    <row r="29">
      <c r="A29" s="5" t="n">
        <v>45491</v>
      </c>
      <c r="B29" t="inlineStr">
        <is>
          <t>2024 Q3</t>
        </is>
      </c>
      <c r="C29" t="inlineStr">
        <is>
          <t>OpenAI</t>
        </is>
      </c>
      <c r="D29" t="inlineStr">
        <is>
          <t>USA</t>
        </is>
      </c>
      <c r="E29" t="inlineStr">
        <is>
          <t>GPT-4o mini</t>
        </is>
      </c>
      <c r="F29" t="inlineStr">
        <is>
          <t>Frontier (proprietary)</t>
        </is>
      </c>
      <c r="G29" t="inlineStr">
        <is>
          <t>Budget</t>
        </is>
      </c>
      <c r="H29" t="inlineStr">
        <is>
          <t>Launch</t>
        </is>
      </c>
      <c r="I29" s="6" t="n">
        <v>0.15</v>
      </c>
      <c r="J29" s="6" t="n">
        <v>0.6</v>
      </c>
      <c r="K29" s="7">
        <f>(3*I29+J29)/4</f>
        <v/>
      </c>
      <c r="L29" t="inlineStr">
        <is>
          <t>OpenAI API</t>
        </is>
      </c>
      <c r="M29" t="inlineStr">
        <is>
          <t>exact</t>
        </is>
      </c>
      <c r="N29" t="inlineStr"/>
    </row>
    <row r="30">
      <c r="A30" s="5" t="n">
        <v>45496</v>
      </c>
      <c r="B30" t="inlineStr">
        <is>
          <t>2024 Q3</t>
        </is>
      </c>
      <c r="C30" t="inlineStr">
        <is>
          <t>Meta</t>
        </is>
      </c>
      <c r="D30" t="inlineStr">
        <is>
          <t>USA</t>
        </is>
      </c>
      <c r="E30" t="inlineStr">
        <is>
          <t>Llama 3.1 405B</t>
        </is>
      </c>
      <c r="F30" t="inlineStr">
        <is>
          <t>Open-weight</t>
        </is>
      </c>
      <c r="G30" t="inlineStr">
        <is>
          <t>Flagship</t>
        </is>
      </c>
      <c r="H30" t="inlineStr">
        <is>
          <t>Launch</t>
        </is>
      </c>
      <c r="I30" s="6" t="n">
        <v>3.5</v>
      </c>
      <c r="J30" s="6" t="n">
        <v>3.5</v>
      </c>
      <c r="K30" s="7">
        <f>(3*I30+J30)/4</f>
        <v/>
      </c>
      <c r="L30" t="inlineStr">
        <is>
          <t>Together AI (reference host)</t>
        </is>
      </c>
      <c r="M30" t="inlineStr">
        <is>
          <t>exact</t>
        </is>
      </c>
      <c r="N30" t="inlineStr">
        <is>
          <t>Largest open-weight launch of 2024</t>
        </is>
      </c>
    </row>
    <row r="31">
      <c r="A31" s="5" t="n">
        <v>45496</v>
      </c>
      <c r="B31" t="inlineStr">
        <is>
          <t>2024 Q3</t>
        </is>
      </c>
      <c r="C31" t="inlineStr">
        <is>
          <t>Meta</t>
        </is>
      </c>
      <c r="D31" t="inlineStr">
        <is>
          <t>USA</t>
        </is>
      </c>
      <c r="E31" t="inlineStr">
        <is>
          <t>Llama 3.1 70B</t>
        </is>
      </c>
      <c r="F31" t="inlineStr">
        <is>
          <t>Open-weight</t>
        </is>
      </c>
      <c r="G31" t="inlineStr">
        <is>
          <t>Mid</t>
        </is>
      </c>
      <c r="H31" t="inlineStr">
        <is>
          <t>Launch</t>
        </is>
      </c>
      <c r="I31" s="6" t="n">
        <v>0.88</v>
      </c>
      <c r="J31" s="6" t="n">
        <v>0.88</v>
      </c>
      <c r="K31" s="7">
        <f>(3*I31+J31)/4</f>
        <v/>
      </c>
      <c r="L31" t="inlineStr">
        <is>
          <t>Together AI (reference host)</t>
        </is>
      </c>
      <c r="M31" t="inlineStr">
        <is>
          <t>exact</t>
        </is>
      </c>
      <c r="N31" t="inlineStr"/>
    </row>
    <row r="32">
      <c r="A32" s="5" t="n">
        <v>45496</v>
      </c>
      <c r="B32" t="inlineStr">
        <is>
          <t>2024 Q3</t>
        </is>
      </c>
      <c r="C32" t="inlineStr">
        <is>
          <t>Meta</t>
        </is>
      </c>
      <c r="D32" t="inlineStr">
        <is>
          <t>USA</t>
        </is>
      </c>
      <c r="E32" t="inlineStr">
        <is>
          <t>Llama 3.1 8B</t>
        </is>
      </c>
      <c r="F32" t="inlineStr">
        <is>
          <t>Open-weight</t>
        </is>
      </c>
      <c r="G32" t="inlineStr">
        <is>
          <t>Small</t>
        </is>
      </c>
      <c r="H32" t="inlineStr">
        <is>
          <t>Launch</t>
        </is>
      </c>
      <c r="I32" s="6" t="n">
        <v>0.18</v>
      </c>
      <c r="J32" s="6" t="n">
        <v>0.18</v>
      </c>
      <c r="K32" s="7">
        <f>(3*I32+J32)/4</f>
        <v/>
      </c>
      <c r="L32" t="inlineStr">
        <is>
          <t>Together AI (reference host)</t>
        </is>
      </c>
      <c r="M32" t="inlineStr">
        <is>
          <t>exact</t>
        </is>
      </c>
      <c r="N32" t="inlineStr"/>
    </row>
    <row r="33">
      <c r="A33" s="5" t="n">
        <v>45497</v>
      </c>
      <c r="B33" t="inlineStr">
        <is>
          <t>2024 Q3</t>
        </is>
      </c>
      <c r="C33" t="inlineStr">
        <is>
          <t>Mistral AI</t>
        </is>
      </c>
      <c r="D33" t="inlineStr">
        <is>
          <t>France</t>
        </is>
      </c>
      <c r="E33" t="inlineStr">
        <is>
          <t>Mistral Large 2</t>
        </is>
      </c>
      <c r="F33" t="inlineStr">
        <is>
          <t>Open-weight</t>
        </is>
      </c>
      <c r="G33" t="inlineStr">
        <is>
          <t>Flagship</t>
        </is>
      </c>
      <c r="H33" t="inlineStr">
        <is>
          <t>Launch</t>
        </is>
      </c>
      <c r="I33" s="6" t="n">
        <v>3</v>
      </c>
      <c r="J33" s="6" t="n">
        <v>9</v>
      </c>
      <c r="K33" s="7">
        <f>(3*I33+J33)/4</f>
        <v/>
      </c>
      <c r="L33" t="inlineStr">
        <is>
          <t>La Plateforme</t>
        </is>
      </c>
      <c r="M33" t="inlineStr">
        <is>
          <t>exact</t>
        </is>
      </c>
      <c r="N33" t="inlineStr">
        <is>
          <t>Open weights (research license)</t>
        </is>
      </c>
    </row>
    <row r="34">
      <c r="A34" s="5" t="n">
        <v>45510</v>
      </c>
      <c r="B34" t="inlineStr">
        <is>
          <t>2024 Q3</t>
        </is>
      </c>
      <c r="C34" t="inlineStr">
        <is>
          <t>OpenAI</t>
        </is>
      </c>
      <c r="D34" t="inlineStr">
        <is>
          <t>USA</t>
        </is>
      </c>
      <c r="E34" t="inlineStr">
        <is>
          <t>GPT-4o</t>
        </is>
      </c>
      <c r="F34" t="inlineStr">
        <is>
          <t>Frontier (proprietary)</t>
        </is>
      </c>
      <c r="G34" t="inlineStr">
        <is>
          <t>Flagship</t>
        </is>
      </c>
      <c r="H34" t="inlineStr">
        <is>
          <t>Price cut</t>
        </is>
      </c>
      <c r="I34" s="6" t="n">
        <v>2.5</v>
      </c>
      <c r="J34" s="6" t="n">
        <v>10</v>
      </c>
      <c r="K34" s="7">
        <f>(3*I34+J34)/4</f>
        <v/>
      </c>
      <c r="L34" t="inlineStr">
        <is>
          <t>OpenAI API</t>
        </is>
      </c>
      <c r="M34" t="inlineStr">
        <is>
          <t>exact</t>
        </is>
      </c>
      <c r="N34" t="inlineStr">
        <is>
          <t>gpt-4o-2024-08-06</t>
        </is>
      </c>
    </row>
    <row r="35">
      <c r="A35" s="5" t="n">
        <v>45512</v>
      </c>
      <c r="B35" t="inlineStr">
        <is>
          <t>2024 Q3</t>
        </is>
      </c>
      <c r="C35" t="inlineStr">
        <is>
          <t>Google</t>
        </is>
      </c>
      <c r="D35" t="inlineStr">
        <is>
          <t>USA</t>
        </is>
      </c>
      <c r="E35" t="inlineStr">
        <is>
          <t>Gemini 1.5 Flash</t>
        </is>
      </c>
      <c r="F35" t="inlineStr">
        <is>
          <t>Frontier (proprietary)</t>
        </is>
      </c>
      <c r="G35" t="inlineStr">
        <is>
          <t>Budget</t>
        </is>
      </c>
      <c r="H35" t="inlineStr">
        <is>
          <t>Price cut</t>
        </is>
      </c>
      <c r="I35" s="6" t="n">
        <v>0.075</v>
      </c>
      <c r="J35" s="6" t="n">
        <v>0.3</v>
      </c>
      <c r="K35" s="7">
        <f>(3*I35+J35)/4</f>
        <v/>
      </c>
      <c r="L35" t="inlineStr">
        <is>
          <t>Gemini API</t>
        </is>
      </c>
      <c r="M35" t="inlineStr">
        <is>
          <t>exact</t>
        </is>
      </c>
      <c r="N35" t="inlineStr">
        <is>
          <t>~78% cut</t>
        </is>
      </c>
    </row>
    <row r="36">
      <c r="A36" s="5" t="n">
        <v>45547</v>
      </c>
      <c r="B36" t="inlineStr">
        <is>
          <t>2024 Q3</t>
        </is>
      </c>
      <c r="C36" t="inlineStr">
        <is>
          <t>OpenAI</t>
        </is>
      </c>
      <c r="D36" t="inlineStr">
        <is>
          <t>USA</t>
        </is>
      </c>
      <c r="E36" t="inlineStr">
        <is>
          <t>o1-mini</t>
        </is>
      </c>
      <c r="F36" t="inlineStr">
        <is>
          <t>Frontier (proprietary)</t>
        </is>
      </c>
      <c r="G36" t="inlineStr">
        <is>
          <t>Reasoning budget</t>
        </is>
      </c>
      <c r="H36" t="inlineStr">
        <is>
          <t>Launch</t>
        </is>
      </c>
      <c r="I36" s="6" t="n">
        <v>3</v>
      </c>
      <c r="J36" s="6" t="n">
        <v>12</v>
      </c>
      <c r="K36" s="7">
        <f>(3*I36+J36)/4</f>
        <v/>
      </c>
      <c r="L36" t="inlineStr">
        <is>
          <t>OpenAI API</t>
        </is>
      </c>
      <c r="M36" t="inlineStr">
        <is>
          <t>exact</t>
        </is>
      </c>
      <c r="N36" t="inlineStr"/>
    </row>
    <row r="37">
      <c r="A37" s="5" t="n">
        <v>45547</v>
      </c>
      <c r="B37" t="inlineStr">
        <is>
          <t>2024 Q3</t>
        </is>
      </c>
      <c r="C37" t="inlineStr">
        <is>
          <t>OpenAI</t>
        </is>
      </c>
      <c r="D37" t="inlineStr">
        <is>
          <t>USA</t>
        </is>
      </c>
      <c r="E37" t="inlineStr">
        <is>
          <t>o1-preview</t>
        </is>
      </c>
      <c r="F37" t="inlineStr">
        <is>
          <t>Frontier (proprietary)</t>
        </is>
      </c>
      <c r="G37" t="inlineStr">
        <is>
          <t>Reasoning</t>
        </is>
      </c>
      <c r="H37" t="inlineStr">
        <is>
          <t>Launch</t>
        </is>
      </c>
      <c r="I37" s="6" t="n">
        <v>15</v>
      </c>
      <c r="J37" s="6" t="n">
        <v>60</v>
      </c>
      <c r="K37" s="7">
        <f>(3*I37+J37)/4</f>
        <v/>
      </c>
      <c r="L37" t="inlineStr">
        <is>
          <t>OpenAI API</t>
        </is>
      </c>
      <c r="M37" t="inlineStr">
        <is>
          <t>exact</t>
        </is>
      </c>
      <c r="N37" t="inlineStr">
        <is>
          <t>Reasoning tokens billed as output</t>
        </is>
      </c>
    </row>
    <row r="38">
      <c r="A38" s="5" t="n">
        <v>45566</v>
      </c>
      <c r="B38" t="inlineStr">
        <is>
          <t>2024 Q4</t>
        </is>
      </c>
      <c r="C38" t="inlineStr">
        <is>
          <t>Google</t>
        </is>
      </c>
      <c r="D38" t="inlineStr">
        <is>
          <t>USA</t>
        </is>
      </c>
      <c r="E38" t="inlineStr">
        <is>
          <t>Gemini 1.5 Pro</t>
        </is>
      </c>
      <c r="F38" t="inlineStr">
        <is>
          <t>Frontier (proprietary)</t>
        </is>
      </c>
      <c r="G38" t="inlineStr">
        <is>
          <t>Flagship</t>
        </is>
      </c>
      <c r="H38" t="inlineStr">
        <is>
          <t>Price cut</t>
        </is>
      </c>
      <c r="I38" s="6" t="n">
        <v>1.25</v>
      </c>
      <c r="J38" s="6" t="n">
        <v>5</v>
      </c>
      <c r="K38" s="7">
        <f>(3*I38+J38)/4</f>
        <v/>
      </c>
      <c r="L38" t="inlineStr">
        <is>
          <t>Gemini API</t>
        </is>
      </c>
      <c r="M38" t="inlineStr">
        <is>
          <t>exact</t>
        </is>
      </c>
      <c r="N38" t="inlineStr">
        <is>
          <t>64% cut, &lt;=128K tier</t>
        </is>
      </c>
    </row>
    <row r="39">
      <c r="A39" s="5" t="n">
        <v>45597</v>
      </c>
      <c r="B39" t="inlineStr">
        <is>
          <t>2024 Q4</t>
        </is>
      </c>
      <c r="C39" t="inlineStr">
        <is>
          <t>Mistral AI</t>
        </is>
      </c>
      <c r="D39" t="inlineStr">
        <is>
          <t>France</t>
        </is>
      </c>
      <c r="E39" t="inlineStr">
        <is>
          <t>Mistral Large 2</t>
        </is>
      </c>
      <c r="F39" t="inlineStr">
        <is>
          <t>Open-weight</t>
        </is>
      </c>
      <c r="G39" t="inlineStr">
        <is>
          <t>Flagship</t>
        </is>
      </c>
      <c r="H39" t="inlineStr">
        <is>
          <t>Price cut</t>
        </is>
      </c>
      <c r="I39" s="6" t="n">
        <v>2</v>
      </c>
      <c r="J39" s="6" t="n">
        <v>6</v>
      </c>
      <c r="K39" s="7">
        <f>(3*I39+J39)/4</f>
        <v/>
      </c>
      <c r="L39" t="inlineStr">
        <is>
          <t>La Plateforme</t>
        </is>
      </c>
      <c r="M39" t="inlineStr">
        <is>
          <t>approx</t>
        </is>
      </c>
      <c r="N39" t="inlineStr"/>
    </row>
    <row r="40">
      <c r="A40" s="5" t="n">
        <v>45600</v>
      </c>
      <c r="B40" t="inlineStr">
        <is>
          <t>2024 Q4</t>
        </is>
      </c>
      <c r="C40" t="inlineStr">
        <is>
          <t>Anthropic</t>
        </is>
      </c>
      <c r="D40" t="inlineStr">
        <is>
          <t>USA</t>
        </is>
      </c>
      <c r="E40" t="inlineStr">
        <is>
          <t>Claude 3.5 Haiku</t>
        </is>
      </c>
      <c r="F40" t="inlineStr">
        <is>
          <t>Frontier (proprietary)</t>
        </is>
      </c>
      <c r="G40" t="inlineStr">
        <is>
          <t>Budget</t>
        </is>
      </c>
      <c r="H40" t="inlineStr">
        <is>
          <t>Launch</t>
        </is>
      </c>
      <c r="I40" s="6" t="n">
        <v>1</v>
      </c>
      <c r="J40" s="6" t="n">
        <v>5</v>
      </c>
      <c r="K40" s="7">
        <f>(3*I40+J40)/4</f>
        <v/>
      </c>
      <c r="L40" t="inlineStr">
        <is>
          <t>Anthropic API</t>
        </is>
      </c>
      <c r="M40" t="inlineStr">
        <is>
          <t>exact</t>
        </is>
      </c>
      <c r="N40" t="inlineStr"/>
    </row>
    <row r="41">
      <c r="A41" s="5" t="n">
        <v>45600</v>
      </c>
      <c r="B41" t="inlineStr">
        <is>
          <t>2024 Q4</t>
        </is>
      </c>
      <c r="C41" t="inlineStr">
        <is>
          <t>xAI</t>
        </is>
      </c>
      <c r="D41" t="inlineStr">
        <is>
          <t>USA</t>
        </is>
      </c>
      <c r="E41" t="inlineStr">
        <is>
          <t>Grok Beta</t>
        </is>
      </c>
      <c r="F41" t="inlineStr">
        <is>
          <t>Frontier (proprietary)</t>
        </is>
      </c>
      <c r="G41" t="inlineStr">
        <is>
          <t>Flagship</t>
        </is>
      </c>
      <c r="H41" t="inlineStr">
        <is>
          <t>Launch</t>
        </is>
      </c>
      <c r="I41" s="6" t="n">
        <v>5</v>
      </c>
      <c r="J41" s="6" t="n">
        <v>15</v>
      </c>
      <c r="K41" s="7">
        <f>(3*I41+J41)/4</f>
        <v/>
      </c>
      <c r="L41" t="inlineStr">
        <is>
          <t>xAI API</t>
        </is>
      </c>
      <c r="M41" t="inlineStr">
        <is>
          <t>approx</t>
        </is>
      </c>
      <c r="N41" t="inlineStr"/>
    </row>
    <row r="42">
      <c r="A42" s="5" t="n">
        <v>45627</v>
      </c>
      <c r="B42" t="inlineStr">
        <is>
          <t>2024 Q4</t>
        </is>
      </c>
      <c r="C42" t="inlineStr">
        <is>
          <t>Anthropic</t>
        </is>
      </c>
      <c r="D42" t="inlineStr">
        <is>
          <t>USA</t>
        </is>
      </c>
      <c r="E42" t="inlineStr">
        <is>
          <t>Claude 3.5 Haiku</t>
        </is>
      </c>
      <c r="F42" t="inlineStr">
        <is>
          <t>Frontier (proprietary)</t>
        </is>
      </c>
      <c r="G42" t="inlineStr">
        <is>
          <t>Budget</t>
        </is>
      </c>
      <c r="H42" t="inlineStr">
        <is>
          <t>Price cut</t>
        </is>
      </c>
      <c r="I42" s="6" t="n">
        <v>0.8</v>
      </c>
      <c r="J42" s="6" t="n">
        <v>4</v>
      </c>
      <c r="K42" s="7">
        <f>(3*I42+J42)/4</f>
        <v/>
      </c>
      <c r="L42" t="inlineStr">
        <is>
          <t>Anthropic API</t>
        </is>
      </c>
      <c r="M42" t="inlineStr">
        <is>
          <t>approx</t>
        </is>
      </c>
      <c r="N42" t="inlineStr"/>
    </row>
    <row r="43">
      <c r="A43" s="5" t="n">
        <v>45629</v>
      </c>
      <c r="B43" t="inlineStr">
        <is>
          <t>2024 Q4</t>
        </is>
      </c>
      <c r="C43" t="inlineStr">
        <is>
          <t>Amazon</t>
        </is>
      </c>
      <c r="D43" t="inlineStr">
        <is>
          <t>USA</t>
        </is>
      </c>
      <c r="E43" t="inlineStr">
        <is>
          <t>Nova Lite</t>
        </is>
      </c>
      <c r="F43" t="inlineStr">
        <is>
          <t>Frontier (proprietary)</t>
        </is>
      </c>
      <c r="G43" t="inlineStr">
        <is>
          <t>Budget</t>
        </is>
      </c>
      <c r="H43" t="inlineStr">
        <is>
          <t>Launch</t>
        </is>
      </c>
      <c r="I43" s="6" t="n">
        <v>0.06</v>
      </c>
      <c r="J43" s="6" t="n">
        <v>0.24</v>
      </c>
      <c r="K43" s="7">
        <f>(3*I43+J43)/4</f>
        <v/>
      </c>
      <c r="L43" t="inlineStr">
        <is>
          <t>AWS Bedrock</t>
        </is>
      </c>
      <c r="M43" t="inlineStr">
        <is>
          <t>exact</t>
        </is>
      </c>
      <c r="N43" t="inlineStr"/>
    </row>
    <row r="44">
      <c r="A44" s="5" t="n">
        <v>45629</v>
      </c>
      <c r="B44" t="inlineStr">
        <is>
          <t>2024 Q4</t>
        </is>
      </c>
      <c r="C44" t="inlineStr">
        <is>
          <t>Amazon</t>
        </is>
      </c>
      <c r="D44" t="inlineStr">
        <is>
          <t>USA</t>
        </is>
      </c>
      <c r="E44" t="inlineStr">
        <is>
          <t>Nova Micro</t>
        </is>
      </c>
      <c r="F44" t="inlineStr">
        <is>
          <t>Frontier (proprietary)</t>
        </is>
      </c>
      <c r="G44" t="inlineStr">
        <is>
          <t>Tiny</t>
        </is>
      </c>
      <c r="H44" t="inlineStr">
        <is>
          <t>Launch</t>
        </is>
      </c>
      <c r="I44" s="6" t="n">
        <v>0.035</v>
      </c>
      <c r="J44" s="6" t="n">
        <v>0.14</v>
      </c>
      <c r="K44" s="7">
        <f>(3*I44+J44)/4</f>
        <v/>
      </c>
      <c r="L44" t="inlineStr">
        <is>
          <t>AWS Bedrock</t>
        </is>
      </c>
      <c r="M44" t="inlineStr">
        <is>
          <t>exact</t>
        </is>
      </c>
      <c r="N44" t="inlineStr"/>
    </row>
    <row r="45">
      <c r="A45" s="5" t="n">
        <v>45629</v>
      </c>
      <c r="B45" t="inlineStr">
        <is>
          <t>2024 Q4</t>
        </is>
      </c>
      <c r="C45" t="inlineStr">
        <is>
          <t>Amazon</t>
        </is>
      </c>
      <c r="D45" t="inlineStr">
        <is>
          <t>USA</t>
        </is>
      </c>
      <c r="E45" t="inlineStr">
        <is>
          <t>Nova Pro</t>
        </is>
      </c>
      <c r="F45" t="inlineStr">
        <is>
          <t>Frontier (proprietary)</t>
        </is>
      </c>
      <c r="G45" t="inlineStr">
        <is>
          <t>Mid</t>
        </is>
      </c>
      <c r="H45" t="inlineStr">
        <is>
          <t>Launch</t>
        </is>
      </c>
      <c r="I45" s="6" t="n">
        <v>0.8</v>
      </c>
      <c r="J45" s="6" t="n">
        <v>3.2</v>
      </c>
      <c r="K45" s="7">
        <f>(3*I45+J45)/4</f>
        <v/>
      </c>
      <c r="L45" t="inlineStr">
        <is>
          <t>AWS Bedrock</t>
        </is>
      </c>
      <c r="M45" t="inlineStr">
        <is>
          <t>exact</t>
        </is>
      </c>
      <c r="N45" t="inlineStr"/>
    </row>
    <row r="46">
      <c r="A46" s="5" t="n">
        <v>45632</v>
      </c>
      <c r="B46" t="inlineStr">
        <is>
          <t>2024 Q4</t>
        </is>
      </c>
      <c r="C46" t="inlineStr">
        <is>
          <t>Meta</t>
        </is>
      </c>
      <c r="D46" t="inlineStr">
        <is>
          <t>USA</t>
        </is>
      </c>
      <c r="E46" t="inlineStr">
        <is>
          <t>Llama 3.3 70B</t>
        </is>
      </c>
      <c r="F46" t="inlineStr">
        <is>
          <t>Open-weight</t>
        </is>
      </c>
      <c r="G46" t="inlineStr">
        <is>
          <t>Mid</t>
        </is>
      </c>
      <c r="H46" t="inlineStr">
        <is>
          <t>Launch</t>
        </is>
      </c>
      <c r="I46" s="6" t="n">
        <v>0.88</v>
      </c>
      <c r="J46" s="6" t="n">
        <v>0.88</v>
      </c>
      <c r="K46" s="7">
        <f>(3*I46+J46)/4</f>
        <v/>
      </c>
      <c r="L46" t="inlineStr">
        <is>
          <t>Together AI (reference host)</t>
        </is>
      </c>
      <c r="M46" t="inlineStr">
        <is>
          <t>exact</t>
        </is>
      </c>
      <c r="N46" t="inlineStr"/>
    </row>
    <row r="47">
      <c r="A47" s="5" t="n">
        <v>45638</v>
      </c>
      <c r="B47" t="inlineStr">
        <is>
          <t>2024 Q4</t>
        </is>
      </c>
      <c r="C47" t="inlineStr">
        <is>
          <t>xAI</t>
        </is>
      </c>
      <c r="D47" t="inlineStr">
        <is>
          <t>USA</t>
        </is>
      </c>
      <c r="E47" t="inlineStr">
        <is>
          <t>Grok 2</t>
        </is>
      </c>
      <c r="F47" t="inlineStr">
        <is>
          <t>Frontier (proprietary)</t>
        </is>
      </c>
      <c r="G47" t="inlineStr">
        <is>
          <t>Flagship</t>
        </is>
      </c>
      <c r="H47" t="inlineStr">
        <is>
          <t>Launch</t>
        </is>
      </c>
      <c r="I47" s="6" t="n">
        <v>2</v>
      </c>
      <c r="J47" s="6" t="n">
        <v>10</v>
      </c>
      <c r="K47" s="7">
        <f>(3*I47+J47)/4</f>
        <v/>
      </c>
      <c r="L47" t="inlineStr">
        <is>
          <t>xAI API</t>
        </is>
      </c>
      <c r="M47" t="inlineStr">
        <is>
          <t>exact</t>
        </is>
      </c>
      <c r="N47" t="inlineStr"/>
    </row>
    <row r="48">
      <c r="A48" s="5" t="n">
        <v>45643</v>
      </c>
      <c r="B48" t="inlineStr">
        <is>
          <t>2024 Q4</t>
        </is>
      </c>
      <c r="C48" t="inlineStr">
        <is>
          <t>OpenAI</t>
        </is>
      </c>
      <c r="D48" t="inlineStr">
        <is>
          <t>USA</t>
        </is>
      </c>
      <c r="E48" t="inlineStr">
        <is>
          <t>o1</t>
        </is>
      </c>
      <c r="F48" t="inlineStr">
        <is>
          <t>Frontier (proprietary)</t>
        </is>
      </c>
      <c r="G48" t="inlineStr">
        <is>
          <t>Reasoning</t>
        </is>
      </c>
      <c r="H48" t="inlineStr">
        <is>
          <t>Launch</t>
        </is>
      </c>
      <c r="I48" s="6" t="n">
        <v>15</v>
      </c>
      <c r="J48" s="6" t="n">
        <v>60</v>
      </c>
      <c r="K48" s="7">
        <f>(3*I48+J48)/4</f>
        <v/>
      </c>
      <c r="L48" t="inlineStr">
        <is>
          <t>OpenAI API</t>
        </is>
      </c>
      <c r="M48" t="inlineStr">
        <is>
          <t>exact</t>
        </is>
      </c>
      <c r="N48" t="inlineStr"/>
    </row>
    <row r="49">
      <c r="A49" s="5" t="n">
        <v>45652</v>
      </c>
      <c r="B49" t="inlineStr">
        <is>
          <t>2024 Q4</t>
        </is>
      </c>
      <c r="C49" t="inlineStr">
        <is>
          <t>DeepSeek</t>
        </is>
      </c>
      <c r="D49" t="inlineStr">
        <is>
          <t>China</t>
        </is>
      </c>
      <c r="E49" t="inlineStr">
        <is>
          <t>DeepSeek V3</t>
        </is>
      </c>
      <c r="F49" t="inlineStr">
        <is>
          <t>Open-weight</t>
        </is>
      </c>
      <c r="G49" t="inlineStr">
        <is>
          <t>Flagship</t>
        </is>
      </c>
      <c r="H49" t="inlineStr">
        <is>
          <t>Launch (promo)</t>
        </is>
      </c>
      <c r="I49" s="6" t="n">
        <v>0.14</v>
      </c>
      <c r="J49" s="6" t="n">
        <v>0.28</v>
      </c>
      <c r="K49" s="7">
        <f>(3*I49+J49)/4</f>
        <v/>
      </c>
      <c r="L49" t="inlineStr">
        <is>
          <t>DeepSeek API</t>
        </is>
      </c>
      <c r="M49" t="inlineStr">
        <is>
          <t>exact</t>
        </is>
      </c>
      <c r="N49" t="inlineStr">
        <is>
          <t>Promotional launch pricing</t>
        </is>
      </c>
    </row>
    <row r="50">
      <c r="A50" s="5" t="n">
        <v>45677</v>
      </c>
      <c r="B50" t="inlineStr">
        <is>
          <t>2025 Q1</t>
        </is>
      </c>
      <c r="C50" t="inlineStr">
        <is>
          <t>DeepSeek</t>
        </is>
      </c>
      <c r="D50" t="inlineStr">
        <is>
          <t>China</t>
        </is>
      </c>
      <c r="E50" t="inlineStr">
        <is>
          <t>DeepSeek R1</t>
        </is>
      </c>
      <c r="F50" t="inlineStr">
        <is>
          <t>Open-weight</t>
        </is>
      </c>
      <c r="G50" t="inlineStr">
        <is>
          <t>Reasoning</t>
        </is>
      </c>
      <c r="H50" t="inlineStr">
        <is>
          <t>Launch</t>
        </is>
      </c>
      <c r="I50" s="6" t="n">
        <v>0.55</v>
      </c>
      <c r="J50" s="6" t="n">
        <v>2.19</v>
      </c>
      <c r="K50" s="7">
        <f>(3*I50+J50)/4</f>
        <v/>
      </c>
      <c r="L50" t="inlineStr">
        <is>
          <t>DeepSeek API</t>
        </is>
      </c>
      <c r="M50" t="inlineStr">
        <is>
          <t>exact</t>
        </is>
      </c>
      <c r="N50" t="inlineStr">
        <is>
          <t>Open-weight reasoning model</t>
        </is>
      </c>
    </row>
    <row r="51">
      <c r="A51" s="5" t="n">
        <v>45685</v>
      </c>
      <c r="B51" t="inlineStr">
        <is>
          <t>2025 Q1</t>
        </is>
      </c>
      <c r="C51" t="inlineStr">
        <is>
          <t>Alibaba</t>
        </is>
      </c>
      <c r="D51" t="inlineStr">
        <is>
          <t>China</t>
        </is>
      </c>
      <c r="E51" t="inlineStr">
        <is>
          <t>Qwen2.5-Max</t>
        </is>
      </c>
      <c r="F51" t="inlineStr">
        <is>
          <t>Frontier (proprietary)</t>
        </is>
      </c>
      <c r="G51" t="inlineStr">
        <is>
          <t>Flagship</t>
        </is>
      </c>
      <c r="H51" t="inlineStr">
        <is>
          <t>Launch</t>
        </is>
      </c>
      <c r="I51" s="6" t="n">
        <v>1.6</v>
      </c>
      <c r="J51" s="6" t="n">
        <v>6.4</v>
      </c>
      <c r="K51" s="7">
        <f>(3*I51+J51)/4</f>
        <v/>
      </c>
      <c r="L51" t="inlineStr">
        <is>
          <t>Alibaba Model Studio (intl)</t>
        </is>
      </c>
      <c r="M51" t="inlineStr">
        <is>
          <t>exact</t>
        </is>
      </c>
      <c r="N51" t="inlineStr">
        <is>
          <t>Proprietary Max line</t>
        </is>
      </c>
    </row>
    <row r="52">
      <c r="A52" s="5" t="n">
        <v>45687</v>
      </c>
      <c r="B52" t="inlineStr">
        <is>
          <t>2025 Q1</t>
        </is>
      </c>
      <c r="C52" t="inlineStr">
        <is>
          <t>Mistral AI</t>
        </is>
      </c>
      <c r="D52" t="inlineStr">
        <is>
          <t>France</t>
        </is>
      </c>
      <c r="E52" t="inlineStr">
        <is>
          <t>Mistral Small 3</t>
        </is>
      </c>
      <c r="F52" t="inlineStr">
        <is>
          <t>Open-weight</t>
        </is>
      </c>
      <c r="G52" t="inlineStr">
        <is>
          <t>Small</t>
        </is>
      </c>
      <c r="H52" t="inlineStr">
        <is>
          <t>Launch</t>
        </is>
      </c>
      <c r="I52" s="6" t="n">
        <v>0.1</v>
      </c>
      <c r="J52" s="6" t="n">
        <v>0.3</v>
      </c>
      <c r="K52" s="7">
        <f>(3*I52+J52)/4</f>
        <v/>
      </c>
      <c r="L52" t="inlineStr">
        <is>
          <t>La Plateforme</t>
        </is>
      </c>
      <c r="M52" t="inlineStr">
        <is>
          <t>exact</t>
        </is>
      </c>
      <c r="N52" t="inlineStr">
        <is>
          <t>Apache 2.0</t>
        </is>
      </c>
    </row>
    <row r="53">
      <c r="A53" s="5" t="n">
        <v>45688</v>
      </c>
      <c r="B53" t="inlineStr">
        <is>
          <t>2025 Q1</t>
        </is>
      </c>
      <c r="C53" t="inlineStr">
        <is>
          <t>OpenAI</t>
        </is>
      </c>
      <c r="D53" t="inlineStr">
        <is>
          <t>USA</t>
        </is>
      </c>
      <c r="E53" t="inlineStr">
        <is>
          <t>o3-mini</t>
        </is>
      </c>
      <c r="F53" t="inlineStr">
        <is>
          <t>Frontier (proprietary)</t>
        </is>
      </c>
      <c r="G53" t="inlineStr">
        <is>
          <t>Reasoning budget</t>
        </is>
      </c>
      <c r="H53" t="inlineStr">
        <is>
          <t>Launch</t>
        </is>
      </c>
      <c r="I53" s="6" t="n">
        <v>1.1</v>
      </c>
      <c r="J53" s="6" t="n">
        <v>4.4</v>
      </c>
      <c r="K53" s="7">
        <f>(3*I53+J53)/4</f>
        <v/>
      </c>
      <c r="L53" t="inlineStr">
        <is>
          <t>OpenAI API</t>
        </is>
      </c>
      <c r="M53" t="inlineStr">
        <is>
          <t>exact</t>
        </is>
      </c>
      <c r="N53" t="inlineStr"/>
    </row>
    <row r="54">
      <c r="A54" s="5" t="n">
        <v>45693</v>
      </c>
      <c r="B54" t="inlineStr">
        <is>
          <t>2025 Q1</t>
        </is>
      </c>
      <c r="C54" t="inlineStr">
        <is>
          <t>Google</t>
        </is>
      </c>
      <c r="D54" t="inlineStr">
        <is>
          <t>USA</t>
        </is>
      </c>
      <c r="E54" t="inlineStr">
        <is>
          <t>Gemini 2.0 Flash</t>
        </is>
      </c>
      <c r="F54" t="inlineStr">
        <is>
          <t>Frontier (proprietary)</t>
        </is>
      </c>
      <c r="G54" t="inlineStr">
        <is>
          <t>Budget</t>
        </is>
      </c>
      <c r="H54" t="inlineStr">
        <is>
          <t>Launch</t>
        </is>
      </c>
      <c r="I54" s="6" t="n">
        <v>0.1</v>
      </c>
      <c r="J54" s="6" t="n">
        <v>0.4</v>
      </c>
      <c r="K54" s="7">
        <f>(3*I54+J54)/4</f>
        <v/>
      </c>
      <c r="L54" t="inlineStr">
        <is>
          <t>Gemini API</t>
        </is>
      </c>
      <c r="M54" t="inlineStr">
        <is>
          <t>exact</t>
        </is>
      </c>
      <c r="N54" t="inlineStr"/>
    </row>
    <row r="55">
      <c r="A55" s="5" t="n">
        <v>45696</v>
      </c>
      <c r="B55" t="inlineStr">
        <is>
          <t>2025 Q1</t>
        </is>
      </c>
      <c r="C55" t="inlineStr">
        <is>
          <t>DeepSeek</t>
        </is>
      </c>
      <c r="D55" t="inlineStr">
        <is>
          <t>China</t>
        </is>
      </c>
      <c r="E55" t="inlineStr">
        <is>
          <t>DeepSeek V3</t>
        </is>
      </c>
      <c r="F55" t="inlineStr">
        <is>
          <t>Open-weight</t>
        </is>
      </c>
      <c r="G55" t="inlineStr">
        <is>
          <t>Flagship</t>
        </is>
      </c>
      <c r="H55" t="inlineStr">
        <is>
          <t>Promo ended</t>
        </is>
      </c>
      <c r="I55" s="6" t="n">
        <v>0.27</v>
      </c>
      <c r="J55" s="6" t="n">
        <v>1.1</v>
      </c>
      <c r="K55" s="7">
        <f>(3*I55+J55)/4</f>
        <v/>
      </c>
      <c r="L55" t="inlineStr">
        <is>
          <t>DeepSeek API</t>
        </is>
      </c>
      <c r="M55" t="inlineStr">
        <is>
          <t>exact</t>
        </is>
      </c>
      <c r="N55" t="inlineStr">
        <is>
          <t>Standard rate took effect</t>
        </is>
      </c>
    </row>
    <row r="56">
      <c r="A56" s="5" t="n">
        <v>45712</v>
      </c>
      <c r="B56" t="inlineStr">
        <is>
          <t>2025 Q1</t>
        </is>
      </c>
      <c r="C56" t="inlineStr">
        <is>
          <t>Anthropic</t>
        </is>
      </c>
      <c r="D56" t="inlineStr">
        <is>
          <t>USA</t>
        </is>
      </c>
      <c r="E56" t="inlineStr">
        <is>
          <t>Claude 3.7 Sonnet</t>
        </is>
      </c>
      <c r="F56" t="inlineStr">
        <is>
          <t>Frontier (proprietary)</t>
        </is>
      </c>
      <c r="G56" t="inlineStr">
        <is>
          <t>Mid</t>
        </is>
      </c>
      <c r="H56" t="inlineStr">
        <is>
          <t>Launch</t>
        </is>
      </c>
      <c r="I56" s="6" t="n">
        <v>3</v>
      </c>
      <c r="J56" s="6" t="n">
        <v>15</v>
      </c>
      <c r="K56" s="7">
        <f>(3*I56+J56)/4</f>
        <v/>
      </c>
      <c r="L56" t="inlineStr">
        <is>
          <t>Anthropic API</t>
        </is>
      </c>
      <c r="M56" t="inlineStr">
        <is>
          <t>exact</t>
        </is>
      </c>
      <c r="N56" t="inlineStr">
        <is>
          <t>First hybrid reasoning Claude</t>
        </is>
      </c>
    </row>
    <row r="57">
      <c r="A57" s="5" t="n">
        <v>45713</v>
      </c>
      <c r="B57" t="inlineStr">
        <is>
          <t>2025 Q1</t>
        </is>
      </c>
      <c r="C57" t="inlineStr">
        <is>
          <t>Google</t>
        </is>
      </c>
      <c r="D57" t="inlineStr">
        <is>
          <t>USA</t>
        </is>
      </c>
      <c r="E57" t="inlineStr">
        <is>
          <t>Gemini 2.0 Flash-Lite</t>
        </is>
      </c>
      <c r="F57" t="inlineStr">
        <is>
          <t>Frontier (proprietary)</t>
        </is>
      </c>
      <c r="G57" t="inlineStr">
        <is>
          <t>Tiny</t>
        </is>
      </c>
      <c r="H57" t="inlineStr">
        <is>
          <t>Launch</t>
        </is>
      </c>
      <c r="I57" s="6" t="n">
        <v>0.075</v>
      </c>
      <c r="J57" s="6" t="n">
        <v>0.3</v>
      </c>
      <c r="K57" s="7">
        <f>(3*I57+J57)/4</f>
        <v/>
      </c>
      <c r="L57" t="inlineStr">
        <is>
          <t>Gemini API</t>
        </is>
      </c>
      <c r="M57" t="inlineStr">
        <is>
          <t>exact</t>
        </is>
      </c>
      <c r="N57" t="inlineStr"/>
    </row>
    <row r="58">
      <c r="A58" s="5" t="n">
        <v>45715</v>
      </c>
      <c r="B58" t="inlineStr">
        <is>
          <t>2025 Q1</t>
        </is>
      </c>
      <c r="C58" t="inlineStr">
        <is>
          <t>OpenAI</t>
        </is>
      </c>
      <c r="D58" t="inlineStr">
        <is>
          <t>USA</t>
        </is>
      </c>
      <c r="E58" t="inlineStr">
        <is>
          <t>GPT-4.5 (preview)</t>
        </is>
      </c>
      <c r="F58" t="inlineStr">
        <is>
          <t>Frontier (proprietary)</t>
        </is>
      </c>
      <c r="G58" t="inlineStr">
        <is>
          <t>Premium</t>
        </is>
      </c>
      <c r="H58" t="inlineStr">
        <is>
          <t>Launch</t>
        </is>
      </c>
      <c r="I58" s="6" t="n">
        <v>75</v>
      </c>
      <c r="J58" s="6" t="n">
        <v>150</v>
      </c>
      <c r="K58" s="7">
        <f>(3*I58+J58)/4</f>
        <v/>
      </c>
      <c r="L58" t="inlineStr">
        <is>
          <t>OpenAI API</t>
        </is>
      </c>
      <c r="M58" t="inlineStr">
        <is>
          <t>exact</t>
        </is>
      </c>
      <c r="N58" t="inlineStr">
        <is>
          <t>Research preview; retired July 2025</t>
        </is>
      </c>
    </row>
    <row r="59">
      <c r="A59" s="5" t="n">
        <v>45729</v>
      </c>
      <c r="B59" t="inlineStr">
        <is>
          <t>2025 Q1</t>
        </is>
      </c>
      <c r="C59" t="inlineStr">
        <is>
          <t>Cohere</t>
        </is>
      </c>
      <c r="D59" t="inlineStr">
        <is>
          <t>Canada</t>
        </is>
      </c>
      <c r="E59" t="inlineStr">
        <is>
          <t>Command A</t>
        </is>
      </c>
      <c r="F59" t="inlineStr">
        <is>
          <t>Frontier (proprietary)</t>
        </is>
      </c>
      <c r="G59" t="inlineStr">
        <is>
          <t>Flagship</t>
        </is>
      </c>
      <c r="H59" t="inlineStr">
        <is>
          <t>Launch</t>
        </is>
      </c>
      <c r="I59" s="6" t="n">
        <v>2.5</v>
      </c>
      <c r="J59" s="6" t="n">
        <v>10</v>
      </c>
      <c r="K59" s="7">
        <f>(3*I59+J59)/4</f>
        <v/>
      </c>
      <c r="L59" t="inlineStr">
        <is>
          <t>Cohere API</t>
        </is>
      </c>
      <c r="M59" t="inlineStr">
        <is>
          <t>exact</t>
        </is>
      </c>
      <c r="N59" t="inlineStr"/>
    </row>
    <row r="60">
      <c r="A60" s="5" t="n">
        <v>45735</v>
      </c>
      <c r="B60" t="inlineStr">
        <is>
          <t>2025 Q1</t>
        </is>
      </c>
      <c r="C60" t="inlineStr">
        <is>
          <t>OpenAI</t>
        </is>
      </c>
      <c r="D60" t="inlineStr">
        <is>
          <t>USA</t>
        </is>
      </c>
      <c r="E60" t="inlineStr">
        <is>
          <t>o1-pro</t>
        </is>
      </c>
      <c r="F60" t="inlineStr">
        <is>
          <t>Frontier (proprietary)</t>
        </is>
      </c>
      <c r="G60" t="inlineStr">
        <is>
          <t>Premium reasoning</t>
        </is>
      </c>
      <c r="H60" t="inlineStr">
        <is>
          <t>Launch</t>
        </is>
      </c>
      <c r="I60" s="6" t="n">
        <v>150</v>
      </c>
      <c r="J60" s="6" t="n">
        <v>600</v>
      </c>
      <c r="K60" s="7">
        <f>(3*I60+J60)/4</f>
        <v/>
      </c>
      <c r="L60" t="inlineStr">
        <is>
          <t>OpenAI API</t>
        </is>
      </c>
      <c r="M60" t="inlineStr">
        <is>
          <t>exact</t>
        </is>
      </c>
      <c r="N60" t="inlineStr">
        <is>
          <t>Most expensive list price to date</t>
        </is>
      </c>
    </row>
    <row r="61">
      <c r="A61" s="5" t="n">
        <v>45752</v>
      </c>
      <c r="B61" t="inlineStr">
        <is>
          <t>2025 Q2</t>
        </is>
      </c>
      <c r="C61" t="inlineStr">
        <is>
          <t>Meta</t>
        </is>
      </c>
      <c r="D61" t="inlineStr">
        <is>
          <t>USA</t>
        </is>
      </c>
      <c r="E61" t="inlineStr">
        <is>
          <t>Llama 4 Maverick</t>
        </is>
      </c>
      <c r="F61" t="inlineStr">
        <is>
          <t>Open-weight</t>
        </is>
      </c>
      <c r="G61" t="inlineStr">
        <is>
          <t>Flagship</t>
        </is>
      </c>
      <c r="H61" t="inlineStr">
        <is>
          <t>Launch</t>
        </is>
      </c>
      <c r="I61" s="6" t="n">
        <v>0.27</v>
      </c>
      <c r="J61" s="6" t="n">
        <v>0.85</v>
      </c>
      <c r="K61" s="7">
        <f>(3*I61+J61)/4</f>
        <v/>
      </c>
      <c r="L61" t="inlineStr">
        <is>
          <t>Together AI (reference host)</t>
        </is>
      </c>
      <c r="M61" t="inlineStr">
        <is>
          <t>exact</t>
        </is>
      </c>
      <c r="N61" t="inlineStr"/>
    </row>
    <row r="62">
      <c r="A62" s="5" t="n">
        <v>45752</v>
      </c>
      <c r="B62" t="inlineStr">
        <is>
          <t>2025 Q2</t>
        </is>
      </c>
      <c r="C62" t="inlineStr">
        <is>
          <t>Meta</t>
        </is>
      </c>
      <c r="D62" t="inlineStr">
        <is>
          <t>USA</t>
        </is>
      </c>
      <c r="E62" t="inlineStr">
        <is>
          <t>Llama 4 Scout</t>
        </is>
      </c>
      <c r="F62" t="inlineStr">
        <is>
          <t>Open-weight</t>
        </is>
      </c>
      <c r="G62" t="inlineStr">
        <is>
          <t>Small</t>
        </is>
      </c>
      <c r="H62" t="inlineStr">
        <is>
          <t>Launch</t>
        </is>
      </c>
      <c r="I62" s="6" t="n">
        <v>0.18</v>
      </c>
      <c r="J62" s="6" t="n">
        <v>0.59</v>
      </c>
      <c r="K62" s="7">
        <f>(3*I62+J62)/4</f>
        <v/>
      </c>
      <c r="L62" t="inlineStr">
        <is>
          <t>Together AI (reference host)</t>
        </is>
      </c>
      <c r="M62" t="inlineStr">
        <is>
          <t>exact</t>
        </is>
      </c>
      <c r="N62" t="inlineStr">
        <is>
          <t>10M context MoE</t>
        </is>
      </c>
    </row>
    <row r="63">
      <c r="A63" s="5" t="n">
        <v>45756</v>
      </c>
      <c r="B63" t="inlineStr">
        <is>
          <t>2025 Q2</t>
        </is>
      </c>
      <c r="C63" t="inlineStr">
        <is>
          <t>xAI</t>
        </is>
      </c>
      <c r="D63" t="inlineStr">
        <is>
          <t>USA</t>
        </is>
      </c>
      <c r="E63" t="inlineStr">
        <is>
          <t>Grok 3</t>
        </is>
      </c>
      <c r="F63" t="inlineStr">
        <is>
          <t>Frontier (proprietary)</t>
        </is>
      </c>
      <c r="G63" t="inlineStr">
        <is>
          <t>Flagship</t>
        </is>
      </c>
      <c r="H63" t="inlineStr">
        <is>
          <t>Launch</t>
        </is>
      </c>
      <c r="I63" s="6" t="n">
        <v>3</v>
      </c>
      <c r="J63" s="6" t="n">
        <v>15</v>
      </c>
      <c r="K63" s="7">
        <f>(3*I63+J63)/4</f>
        <v/>
      </c>
      <c r="L63" t="inlineStr">
        <is>
          <t>xAI API</t>
        </is>
      </c>
      <c r="M63" t="inlineStr">
        <is>
          <t>exact</t>
        </is>
      </c>
      <c r="N63" t="inlineStr">
        <is>
          <t>API launch</t>
        </is>
      </c>
    </row>
    <row r="64">
      <c r="A64" s="5" t="n">
        <v>45756</v>
      </c>
      <c r="B64" t="inlineStr">
        <is>
          <t>2025 Q2</t>
        </is>
      </c>
      <c r="C64" t="inlineStr">
        <is>
          <t>xAI</t>
        </is>
      </c>
      <c r="D64" t="inlineStr">
        <is>
          <t>USA</t>
        </is>
      </c>
      <c r="E64" t="inlineStr">
        <is>
          <t>Grok 3 mini</t>
        </is>
      </c>
      <c r="F64" t="inlineStr">
        <is>
          <t>Frontier (proprietary)</t>
        </is>
      </c>
      <c r="G64" t="inlineStr">
        <is>
          <t>Budget</t>
        </is>
      </c>
      <c r="H64" t="inlineStr">
        <is>
          <t>Launch</t>
        </is>
      </c>
      <c r="I64" s="6" t="n">
        <v>0.3</v>
      </c>
      <c r="J64" s="6" t="n">
        <v>0.5</v>
      </c>
      <c r="K64" s="7">
        <f>(3*I64+J64)/4</f>
        <v/>
      </c>
      <c r="L64" t="inlineStr">
        <is>
          <t>xAI API</t>
        </is>
      </c>
      <c r="M64" t="inlineStr">
        <is>
          <t>exact</t>
        </is>
      </c>
      <c r="N64" t="inlineStr"/>
    </row>
    <row r="65">
      <c r="A65" s="5" t="n">
        <v>45761</v>
      </c>
      <c r="B65" t="inlineStr">
        <is>
          <t>2025 Q2</t>
        </is>
      </c>
      <c r="C65" t="inlineStr">
        <is>
          <t>OpenAI</t>
        </is>
      </c>
      <c r="D65" t="inlineStr">
        <is>
          <t>USA</t>
        </is>
      </c>
      <c r="E65" t="inlineStr">
        <is>
          <t>GPT-4.1</t>
        </is>
      </c>
      <c r="F65" t="inlineStr">
        <is>
          <t>Frontier (proprietary)</t>
        </is>
      </c>
      <c r="G65" t="inlineStr">
        <is>
          <t>Mid</t>
        </is>
      </c>
      <c r="H65" t="inlineStr">
        <is>
          <t>Launch</t>
        </is>
      </c>
      <c r="I65" s="6" t="n">
        <v>2</v>
      </c>
      <c r="J65" s="6" t="n">
        <v>8</v>
      </c>
      <c r="K65" s="7">
        <f>(3*I65+J65)/4</f>
        <v/>
      </c>
      <c r="L65" t="inlineStr">
        <is>
          <t>OpenAI API</t>
        </is>
      </c>
      <c r="M65" t="inlineStr">
        <is>
          <t>exact</t>
        </is>
      </c>
      <c r="N65" t="inlineStr">
        <is>
          <t>1M context</t>
        </is>
      </c>
    </row>
    <row r="66">
      <c r="A66" s="5" t="n">
        <v>45761</v>
      </c>
      <c r="B66" t="inlineStr">
        <is>
          <t>2025 Q2</t>
        </is>
      </c>
      <c r="C66" t="inlineStr">
        <is>
          <t>OpenAI</t>
        </is>
      </c>
      <c r="D66" t="inlineStr">
        <is>
          <t>USA</t>
        </is>
      </c>
      <c r="E66" t="inlineStr">
        <is>
          <t>GPT-4.1 mini</t>
        </is>
      </c>
      <c r="F66" t="inlineStr">
        <is>
          <t>Frontier (proprietary)</t>
        </is>
      </c>
      <c r="G66" t="inlineStr">
        <is>
          <t>Budget</t>
        </is>
      </c>
      <c r="H66" t="inlineStr">
        <is>
          <t>Launch</t>
        </is>
      </c>
      <c r="I66" s="6" t="n">
        <v>0.4</v>
      </c>
      <c r="J66" s="6" t="n">
        <v>1.6</v>
      </c>
      <c r="K66" s="7">
        <f>(3*I66+J66)/4</f>
        <v/>
      </c>
      <c r="L66" t="inlineStr">
        <is>
          <t>OpenAI API</t>
        </is>
      </c>
      <c r="M66" t="inlineStr">
        <is>
          <t>exact</t>
        </is>
      </c>
      <c r="N66" t="inlineStr"/>
    </row>
    <row r="67">
      <c r="A67" s="5" t="n">
        <v>45761</v>
      </c>
      <c r="B67" t="inlineStr">
        <is>
          <t>2025 Q2</t>
        </is>
      </c>
      <c r="C67" t="inlineStr">
        <is>
          <t>OpenAI</t>
        </is>
      </c>
      <c r="D67" t="inlineStr">
        <is>
          <t>USA</t>
        </is>
      </c>
      <c r="E67" t="inlineStr">
        <is>
          <t>GPT-4.1 nano</t>
        </is>
      </c>
      <c r="F67" t="inlineStr">
        <is>
          <t>Frontier (proprietary)</t>
        </is>
      </c>
      <c r="G67" t="inlineStr">
        <is>
          <t>Tiny</t>
        </is>
      </c>
      <c r="H67" t="inlineStr">
        <is>
          <t>Launch</t>
        </is>
      </c>
      <c r="I67" s="6" t="n">
        <v>0.1</v>
      </c>
      <c r="J67" s="6" t="n">
        <v>0.4</v>
      </c>
      <c r="K67" s="7">
        <f>(3*I67+J67)/4</f>
        <v/>
      </c>
      <c r="L67" t="inlineStr">
        <is>
          <t>OpenAI API</t>
        </is>
      </c>
      <c r="M67" t="inlineStr">
        <is>
          <t>exact</t>
        </is>
      </c>
      <c r="N67" t="inlineStr"/>
    </row>
    <row r="68">
      <c r="A68" s="5" t="n">
        <v>45763</v>
      </c>
      <c r="B68" t="inlineStr">
        <is>
          <t>2025 Q2</t>
        </is>
      </c>
      <c r="C68" t="inlineStr">
        <is>
          <t>OpenAI</t>
        </is>
      </c>
      <c r="D68" t="inlineStr">
        <is>
          <t>USA</t>
        </is>
      </c>
      <c r="E68" t="inlineStr">
        <is>
          <t>o3</t>
        </is>
      </c>
      <c r="F68" t="inlineStr">
        <is>
          <t>Frontier (proprietary)</t>
        </is>
      </c>
      <c r="G68" t="inlineStr">
        <is>
          <t>Reasoning</t>
        </is>
      </c>
      <c r="H68" t="inlineStr">
        <is>
          <t>Launch</t>
        </is>
      </c>
      <c r="I68" s="6" t="n">
        <v>10</v>
      </c>
      <c r="J68" s="6" t="n">
        <v>40</v>
      </c>
      <c r="K68" s="7">
        <f>(3*I68+J68)/4</f>
        <v/>
      </c>
      <c r="L68" t="inlineStr">
        <is>
          <t>OpenAI API</t>
        </is>
      </c>
      <c r="M68" t="inlineStr">
        <is>
          <t>exact</t>
        </is>
      </c>
      <c r="N68" t="inlineStr"/>
    </row>
    <row r="69">
      <c r="A69" s="5" t="n">
        <v>45763</v>
      </c>
      <c r="B69" t="inlineStr">
        <is>
          <t>2025 Q2</t>
        </is>
      </c>
      <c r="C69" t="inlineStr">
        <is>
          <t>OpenAI</t>
        </is>
      </c>
      <c r="D69" t="inlineStr">
        <is>
          <t>USA</t>
        </is>
      </c>
      <c r="E69" t="inlineStr">
        <is>
          <t>o4-mini</t>
        </is>
      </c>
      <c r="F69" t="inlineStr">
        <is>
          <t>Frontier (proprietary)</t>
        </is>
      </c>
      <c r="G69" t="inlineStr">
        <is>
          <t>Reasoning budget</t>
        </is>
      </c>
      <c r="H69" t="inlineStr">
        <is>
          <t>Launch</t>
        </is>
      </c>
      <c r="I69" s="6" t="n">
        <v>1.1</v>
      </c>
      <c r="J69" s="6" t="n">
        <v>4.4</v>
      </c>
      <c r="K69" s="7">
        <f>(3*I69+J69)/4</f>
        <v/>
      </c>
      <c r="L69" t="inlineStr">
        <is>
          <t>OpenAI API</t>
        </is>
      </c>
      <c r="M69" t="inlineStr">
        <is>
          <t>exact</t>
        </is>
      </c>
      <c r="N69" t="inlineStr"/>
    </row>
    <row r="70">
      <c r="A70" s="5" t="n">
        <v>45776</v>
      </c>
      <c r="B70" t="inlineStr">
        <is>
          <t>2025 Q2</t>
        </is>
      </c>
      <c r="C70" t="inlineStr">
        <is>
          <t>Alibaba</t>
        </is>
      </c>
      <c r="D70" t="inlineStr">
        <is>
          <t>China</t>
        </is>
      </c>
      <c r="E70" t="inlineStr">
        <is>
          <t>Qwen3 235B-A22B</t>
        </is>
      </c>
      <c r="F70" t="inlineStr">
        <is>
          <t>Open-weight</t>
        </is>
      </c>
      <c r="G70" t="inlineStr">
        <is>
          <t>Flagship</t>
        </is>
      </c>
      <c r="H70" t="inlineStr">
        <is>
          <t>Launch</t>
        </is>
      </c>
      <c r="I70" s="6" t="n">
        <v>0.7</v>
      </c>
      <c r="J70" s="6" t="n">
        <v>2.8</v>
      </c>
      <c r="K70" s="7">
        <f>(3*I70+J70)/4</f>
        <v/>
      </c>
      <c r="L70" t="inlineStr">
        <is>
          <t>Alibaba Model Studio (intl)</t>
        </is>
      </c>
      <c r="M70" t="inlineStr">
        <is>
          <t>exact</t>
        </is>
      </c>
      <c r="N70" t="inlineStr">
        <is>
          <t>Non-thinking rate</t>
        </is>
      </c>
    </row>
    <row r="71">
      <c r="A71" s="5" t="n">
        <v>45777</v>
      </c>
      <c r="B71" t="inlineStr">
        <is>
          <t>2025 Q2</t>
        </is>
      </c>
      <c r="C71" t="inlineStr">
        <is>
          <t>Amazon</t>
        </is>
      </c>
      <c r="D71" t="inlineStr">
        <is>
          <t>USA</t>
        </is>
      </c>
      <c r="E71" t="inlineStr">
        <is>
          <t>Nova Premier</t>
        </is>
      </c>
      <c r="F71" t="inlineStr">
        <is>
          <t>Frontier (proprietary)</t>
        </is>
      </c>
      <c r="G71" t="inlineStr">
        <is>
          <t>Flagship</t>
        </is>
      </c>
      <c r="H71" t="inlineStr">
        <is>
          <t>Launch</t>
        </is>
      </c>
      <c r="I71" s="6" t="n">
        <v>2.5</v>
      </c>
      <c r="J71" s="6" t="n">
        <v>12.5</v>
      </c>
      <c r="K71" s="7">
        <f>(3*I71+J71)/4</f>
        <v/>
      </c>
      <c r="L71" t="inlineStr">
        <is>
          <t>AWS Bedrock</t>
        </is>
      </c>
      <c r="M71" t="inlineStr">
        <is>
          <t>exact</t>
        </is>
      </c>
      <c r="N71" t="inlineStr"/>
    </row>
    <row r="72">
      <c r="A72" s="5" t="n">
        <v>45784</v>
      </c>
      <c r="B72" t="inlineStr">
        <is>
          <t>2025 Q2</t>
        </is>
      </c>
      <c r="C72" t="inlineStr">
        <is>
          <t>Mistral AI</t>
        </is>
      </c>
      <c r="D72" t="inlineStr">
        <is>
          <t>France</t>
        </is>
      </c>
      <c r="E72" t="inlineStr">
        <is>
          <t>Mistral Medium 3</t>
        </is>
      </c>
      <c r="F72" t="inlineStr">
        <is>
          <t>Frontier (proprietary)</t>
        </is>
      </c>
      <c r="G72" t="inlineStr">
        <is>
          <t>Mid</t>
        </is>
      </c>
      <c r="H72" t="inlineStr">
        <is>
          <t>Launch</t>
        </is>
      </c>
      <c r="I72" s="6" t="n">
        <v>0.4</v>
      </c>
      <c r="J72" s="6" t="n">
        <v>2</v>
      </c>
      <c r="K72" s="7">
        <f>(3*I72+J72)/4</f>
        <v/>
      </c>
      <c r="L72" t="inlineStr">
        <is>
          <t>La Plateforme</t>
        </is>
      </c>
      <c r="M72" t="inlineStr">
        <is>
          <t>exact</t>
        </is>
      </c>
      <c r="N72" t="inlineStr">
        <is>
          <t>Proprietary</t>
        </is>
      </c>
    </row>
    <row r="73">
      <c r="A73" s="5" t="n">
        <v>45799</v>
      </c>
      <c r="B73" t="inlineStr">
        <is>
          <t>2025 Q2</t>
        </is>
      </c>
      <c r="C73" t="inlineStr">
        <is>
          <t>Anthropic</t>
        </is>
      </c>
      <c r="D73" t="inlineStr">
        <is>
          <t>USA</t>
        </is>
      </c>
      <c r="E73" t="inlineStr">
        <is>
          <t>Claude Opus 4</t>
        </is>
      </c>
      <c r="F73" t="inlineStr">
        <is>
          <t>Frontier (proprietary)</t>
        </is>
      </c>
      <c r="G73" t="inlineStr">
        <is>
          <t>Flagship</t>
        </is>
      </c>
      <c r="H73" t="inlineStr">
        <is>
          <t>Launch</t>
        </is>
      </c>
      <c r="I73" s="6" t="n">
        <v>15</v>
      </c>
      <c r="J73" s="6" t="n">
        <v>75</v>
      </c>
      <c r="K73" s="7">
        <f>(3*I73+J73)/4</f>
        <v/>
      </c>
      <c r="L73" t="inlineStr">
        <is>
          <t>Anthropic API</t>
        </is>
      </c>
      <c r="M73" t="inlineStr">
        <is>
          <t>exact</t>
        </is>
      </c>
      <c r="N73" t="inlineStr"/>
    </row>
    <row r="74">
      <c r="A74" s="5" t="n">
        <v>45799</v>
      </c>
      <c r="B74" t="inlineStr">
        <is>
          <t>2025 Q2</t>
        </is>
      </c>
      <c r="C74" t="inlineStr">
        <is>
          <t>Anthropic</t>
        </is>
      </c>
      <c r="D74" t="inlineStr">
        <is>
          <t>USA</t>
        </is>
      </c>
      <c r="E74" t="inlineStr">
        <is>
          <t>Claude Sonnet 4</t>
        </is>
      </c>
      <c r="F74" t="inlineStr">
        <is>
          <t>Frontier (proprietary)</t>
        </is>
      </c>
      <c r="G74" t="inlineStr">
        <is>
          <t>Mid</t>
        </is>
      </c>
      <c r="H74" t="inlineStr">
        <is>
          <t>Launch</t>
        </is>
      </c>
      <c r="I74" s="6" t="n">
        <v>3</v>
      </c>
      <c r="J74" s="6" t="n">
        <v>15</v>
      </c>
      <c r="K74" s="7">
        <f>(3*I74+J74)/4</f>
        <v/>
      </c>
      <c r="L74" t="inlineStr">
        <is>
          <t>Anthropic API</t>
        </is>
      </c>
      <c r="M74" t="inlineStr">
        <is>
          <t>exact</t>
        </is>
      </c>
      <c r="N74" t="inlineStr"/>
    </row>
    <row r="75">
      <c r="A75" s="5" t="n">
        <v>45818</v>
      </c>
      <c r="B75" t="inlineStr">
        <is>
          <t>2025 Q2</t>
        </is>
      </c>
      <c r="C75" t="inlineStr">
        <is>
          <t>Mistral AI</t>
        </is>
      </c>
      <c r="D75" t="inlineStr">
        <is>
          <t>France</t>
        </is>
      </c>
      <c r="E75" t="inlineStr">
        <is>
          <t>Magistral Medium</t>
        </is>
      </c>
      <c r="F75" t="inlineStr">
        <is>
          <t>Frontier (proprietary)</t>
        </is>
      </c>
      <c r="G75" t="inlineStr">
        <is>
          <t>Reasoning</t>
        </is>
      </c>
      <c r="H75" t="inlineStr">
        <is>
          <t>Launch</t>
        </is>
      </c>
      <c r="I75" s="6" t="n">
        <v>2</v>
      </c>
      <c r="J75" s="6" t="n">
        <v>5</v>
      </c>
      <c r="K75" s="7">
        <f>(3*I75+J75)/4</f>
        <v/>
      </c>
      <c r="L75" t="inlineStr">
        <is>
          <t>La Plateforme</t>
        </is>
      </c>
      <c r="M75" t="inlineStr">
        <is>
          <t>exact</t>
        </is>
      </c>
      <c r="N75" t="inlineStr">
        <is>
          <t>Reasoning model</t>
        </is>
      </c>
    </row>
    <row r="76">
      <c r="A76" s="5" t="n">
        <v>45818</v>
      </c>
      <c r="B76" t="inlineStr">
        <is>
          <t>2025 Q2</t>
        </is>
      </c>
      <c r="C76" t="inlineStr">
        <is>
          <t>OpenAI</t>
        </is>
      </c>
      <c r="D76" t="inlineStr">
        <is>
          <t>USA</t>
        </is>
      </c>
      <c r="E76" t="inlineStr">
        <is>
          <t>o3</t>
        </is>
      </c>
      <c r="F76" t="inlineStr">
        <is>
          <t>Frontier (proprietary)</t>
        </is>
      </c>
      <c r="G76" t="inlineStr">
        <is>
          <t>Reasoning</t>
        </is>
      </c>
      <c r="H76" t="inlineStr">
        <is>
          <t>Price cut</t>
        </is>
      </c>
      <c r="I76" s="6" t="n">
        <v>2</v>
      </c>
      <c r="J76" s="6" t="n">
        <v>8</v>
      </c>
      <c r="K76" s="7">
        <f>(3*I76+J76)/4</f>
        <v/>
      </c>
      <c r="L76" t="inlineStr">
        <is>
          <t>OpenAI API</t>
        </is>
      </c>
      <c r="M76" t="inlineStr">
        <is>
          <t>exact</t>
        </is>
      </c>
      <c r="N76" t="inlineStr">
        <is>
          <t>80% cut</t>
        </is>
      </c>
    </row>
    <row r="77">
      <c r="A77" s="5" t="n">
        <v>45818</v>
      </c>
      <c r="B77" t="inlineStr">
        <is>
          <t>2025 Q2</t>
        </is>
      </c>
      <c r="C77" t="inlineStr">
        <is>
          <t>OpenAI</t>
        </is>
      </c>
      <c r="D77" t="inlineStr">
        <is>
          <t>USA</t>
        </is>
      </c>
      <c r="E77" t="inlineStr">
        <is>
          <t>o3-pro</t>
        </is>
      </c>
      <c r="F77" t="inlineStr">
        <is>
          <t>Frontier (proprietary)</t>
        </is>
      </c>
      <c r="G77" t="inlineStr">
        <is>
          <t>Premium reasoning</t>
        </is>
      </c>
      <c r="H77" t="inlineStr">
        <is>
          <t>Launch</t>
        </is>
      </c>
      <c r="I77" s="6" t="n">
        <v>20</v>
      </c>
      <c r="J77" s="6" t="n">
        <v>80</v>
      </c>
      <c r="K77" s="7">
        <f>(3*I77+J77)/4</f>
        <v/>
      </c>
      <c r="L77" t="inlineStr">
        <is>
          <t>OpenAI API</t>
        </is>
      </c>
      <c r="M77" t="inlineStr">
        <is>
          <t>exact</t>
        </is>
      </c>
      <c r="N77" t="inlineStr"/>
    </row>
    <row r="78">
      <c r="A78" s="5" t="n">
        <v>45825</v>
      </c>
      <c r="B78" t="inlineStr">
        <is>
          <t>2025 Q2</t>
        </is>
      </c>
      <c r="C78" t="inlineStr">
        <is>
          <t>Google</t>
        </is>
      </c>
      <c r="D78" t="inlineStr">
        <is>
          <t>USA</t>
        </is>
      </c>
      <c r="E78" t="inlineStr">
        <is>
          <t>Gemini 2.5 Flash</t>
        </is>
      </c>
      <c r="F78" t="inlineStr">
        <is>
          <t>Frontier (proprietary)</t>
        </is>
      </c>
      <c r="G78" t="inlineStr">
        <is>
          <t>Budget</t>
        </is>
      </c>
      <c r="H78" t="inlineStr">
        <is>
          <t>Launch</t>
        </is>
      </c>
      <c r="I78" s="6" t="n">
        <v>0.3</v>
      </c>
      <c r="J78" s="6" t="n">
        <v>2.5</v>
      </c>
      <c r="K78" s="7">
        <f>(3*I78+J78)/4</f>
        <v/>
      </c>
      <c r="L78" t="inlineStr">
        <is>
          <t>Gemini API</t>
        </is>
      </c>
      <c r="M78" t="inlineStr">
        <is>
          <t>exact</t>
        </is>
      </c>
      <c r="N78" t="inlineStr"/>
    </row>
    <row r="79">
      <c r="A79" s="5" t="n">
        <v>45825</v>
      </c>
      <c r="B79" t="inlineStr">
        <is>
          <t>2025 Q2</t>
        </is>
      </c>
      <c r="C79" t="inlineStr">
        <is>
          <t>Google</t>
        </is>
      </c>
      <c r="D79" t="inlineStr">
        <is>
          <t>USA</t>
        </is>
      </c>
      <c r="E79" t="inlineStr">
        <is>
          <t>Gemini 2.5 Pro</t>
        </is>
      </c>
      <c r="F79" t="inlineStr">
        <is>
          <t>Frontier (proprietary)</t>
        </is>
      </c>
      <c r="G79" t="inlineStr">
        <is>
          <t>Flagship</t>
        </is>
      </c>
      <c r="H79" t="inlineStr">
        <is>
          <t>Launch</t>
        </is>
      </c>
      <c r="I79" s="6" t="n">
        <v>1.25</v>
      </c>
      <c r="J79" s="6" t="n">
        <v>10</v>
      </c>
      <c r="K79" s="7">
        <f>(3*I79+J79)/4</f>
        <v/>
      </c>
      <c r="L79" t="inlineStr">
        <is>
          <t>Gemini API</t>
        </is>
      </c>
      <c r="M79" t="inlineStr">
        <is>
          <t>exact</t>
        </is>
      </c>
      <c r="N79" t="inlineStr">
        <is>
          <t>GA; &lt;=200K tier ($2.50/$15 above)</t>
        </is>
      </c>
    </row>
    <row r="80">
      <c r="A80" s="5" t="n">
        <v>45825</v>
      </c>
      <c r="B80" t="inlineStr">
        <is>
          <t>2025 Q2</t>
        </is>
      </c>
      <c r="C80" t="inlineStr">
        <is>
          <t>MiniMax</t>
        </is>
      </c>
      <c r="D80" t="inlineStr">
        <is>
          <t>China</t>
        </is>
      </c>
      <c r="E80" t="inlineStr">
        <is>
          <t>MiniMax M1</t>
        </is>
      </c>
      <c r="F80" t="inlineStr">
        <is>
          <t>Open-weight</t>
        </is>
      </c>
      <c r="G80" t="inlineStr">
        <is>
          <t>Flagship</t>
        </is>
      </c>
      <c r="H80" t="inlineStr">
        <is>
          <t>Launch</t>
        </is>
      </c>
      <c r="I80" s="6" t="n">
        <v>0.4</v>
      </c>
      <c r="J80" s="6" t="n">
        <v>2.2</v>
      </c>
      <c r="K80" s="7">
        <f>(3*I80+J80)/4</f>
        <v/>
      </c>
      <c r="L80" t="inlineStr">
        <is>
          <t>MiniMax API</t>
        </is>
      </c>
      <c r="M80" t="inlineStr">
        <is>
          <t>exact</t>
        </is>
      </c>
      <c r="N80" t="inlineStr">
        <is>
          <t>&lt;=200K tier</t>
        </is>
      </c>
    </row>
    <row r="81">
      <c r="A81" s="5" t="n">
        <v>45847</v>
      </c>
      <c r="B81" t="inlineStr">
        <is>
          <t>2025 Q3</t>
        </is>
      </c>
      <c r="C81" t="inlineStr">
        <is>
          <t>xAI</t>
        </is>
      </c>
      <c r="D81" t="inlineStr">
        <is>
          <t>USA</t>
        </is>
      </c>
      <c r="E81" t="inlineStr">
        <is>
          <t>Grok 4</t>
        </is>
      </c>
      <c r="F81" t="inlineStr">
        <is>
          <t>Frontier (proprietary)</t>
        </is>
      </c>
      <c r="G81" t="inlineStr">
        <is>
          <t>Flagship</t>
        </is>
      </c>
      <c r="H81" t="inlineStr">
        <is>
          <t>Launch</t>
        </is>
      </c>
      <c r="I81" s="6" t="n">
        <v>3</v>
      </c>
      <c r="J81" s="6" t="n">
        <v>15</v>
      </c>
      <c r="K81" s="7">
        <f>(3*I81+J81)/4</f>
        <v/>
      </c>
      <c r="L81" t="inlineStr">
        <is>
          <t>xAI API</t>
        </is>
      </c>
      <c r="M81" t="inlineStr">
        <is>
          <t>exact</t>
        </is>
      </c>
      <c r="N81" t="inlineStr"/>
    </row>
    <row r="82">
      <c r="A82" s="5" t="n">
        <v>45849</v>
      </c>
      <c r="B82" t="inlineStr">
        <is>
          <t>2025 Q3</t>
        </is>
      </c>
      <c r="C82" t="inlineStr">
        <is>
          <t>Moonshot AI</t>
        </is>
      </c>
      <c r="D82" t="inlineStr">
        <is>
          <t>China</t>
        </is>
      </c>
      <c r="E82" t="inlineStr">
        <is>
          <t>Kimi K2</t>
        </is>
      </c>
      <c r="F82" t="inlineStr">
        <is>
          <t>Open-weight</t>
        </is>
      </c>
      <c r="G82" t="inlineStr">
        <is>
          <t>Flagship</t>
        </is>
      </c>
      <c r="H82" t="inlineStr">
        <is>
          <t>Launch</t>
        </is>
      </c>
      <c r="I82" s="6" t="n">
        <v>0.6</v>
      </c>
      <c r="J82" s="6" t="n">
        <v>2.5</v>
      </c>
      <c r="K82" s="7">
        <f>(3*I82+J82)/4</f>
        <v/>
      </c>
      <c r="L82" t="inlineStr">
        <is>
          <t>Moonshot API</t>
        </is>
      </c>
      <c r="M82" t="inlineStr">
        <is>
          <t>exact</t>
        </is>
      </c>
      <c r="N82" t="inlineStr">
        <is>
          <t>1T-param MoE, open-weight</t>
        </is>
      </c>
    </row>
    <row r="83">
      <c r="A83" s="5" t="n">
        <v>45860</v>
      </c>
      <c r="B83" t="inlineStr">
        <is>
          <t>2025 Q3</t>
        </is>
      </c>
      <c r="C83" t="inlineStr">
        <is>
          <t>Google</t>
        </is>
      </c>
      <c r="D83" t="inlineStr">
        <is>
          <t>USA</t>
        </is>
      </c>
      <c r="E83" t="inlineStr">
        <is>
          <t>Gemini 2.5 Flash-Lite</t>
        </is>
      </c>
      <c r="F83" t="inlineStr">
        <is>
          <t>Frontier (proprietary)</t>
        </is>
      </c>
      <c r="G83" t="inlineStr">
        <is>
          <t>Tiny</t>
        </is>
      </c>
      <c r="H83" t="inlineStr">
        <is>
          <t>Launch</t>
        </is>
      </c>
      <c r="I83" s="6" t="n">
        <v>0.1</v>
      </c>
      <c r="J83" s="6" t="n">
        <v>0.4</v>
      </c>
      <c r="K83" s="7">
        <f>(3*I83+J83)/4</f>
        <v/>
      </c>
      <c r="L83" t="inlineStr">
        <is>
          <t>Gemini API</t>
        </is>
      </c>
      <c r="M83" t="inlineStr">
        <is>
          <t>exact</t>
        </is>
      </c>
      <c r="N83" t="inlineStr"/>
    </row>
    <row r="84">
      <c r="A84" s="5" t="n">
        <v>45866</v>
      </c>
      <c r="B84" t="inlineStr">
        <is>
          <t>2025 Q3</t>
        </is>
      </c>
      <c r="C84" t="inlineStr">
        <is>
          <t>Zhipu AI</t>
        </is>
      </c>
      <c r="D84" t="inlineStr">
        <is>
          <t>China</t>
        </is>
      </c>
      <c r="E84" t="inlineStr">
        <is>
          <t>GLM-4.5</t>
        </is>
      </c>
      <c r="F84" t="inlineStr">
        <is>
          <t>Open-weight</t>
        </is>
      </c>
      <c r="G84" t="inlineStr">
        <is>
          <t>Flagship</t>
        </is>
      </c>
      <c r="H84" t="inlineStr">
        <is>
          <t>Launch</t>
        </is>
      </c>
      <c r="I84" s="6" t="n">
        <v>0.6</v>
      </c>
      <c r="J84" s="6" t="n">
        <v>2.2</v>
      </c>
      <c r="K84" s="7">
        <f>(3*I84+J84)/4</f>
        <v/>
      </c>
      <c r="L84" t="inlineStr">
        <is>
          <t>Z.ai API (intl)</t>
        </is>
      </c>
      <c r="M84" t="inlineStr">
        <is>
          <t>exact</t>
        </is>
      </c>
      <c r="N84" t="inlineStr"/>
    </row>
    <row r="85">
      <c r="A85" s="5" t="n">
        <v>45874</v>
      </c>
      <c r="B85" t="inlineStr">
        <is>
          <t>2025 Q3</t>
        </is>
      </c>
      <c r="C85" t="inlineStr">
        <is>
          <t>Anthropic</t>
        </is>
      </c>
      <c r="D85" t="inlineStr">
        <is>
          <t>USA</t>
        </is>
      </c>
      <c r="E85" t="inlineStr">
        <is>
          <t>Claude Opus 4.1</t>
        </is>
      </c>
      <c r="F85" t="inlineStr">
        <is>
          <t>Frontier (proprietary)</t>
        </is>
      </c>
      <c r="G85" t="inlineStr">
        <is>
          <t>Flagship</t>
        </is>
      </c>
      <c r="H85" t="inlineStr">
        <is>
          <t>Launch</t>
        </is>
      </c>
      <c r="I85" s="6" t="n">
        <v>15</v>
      </c>
      <c r="J85" s="6" t="n">
        <v>75</v>
      </c>
      <c r="K85" s="7">
        <f>(3*I85+J85)/4</f>
        <v/>
      </c>
      <c r="L85" t="inlineStr">
        <is>
          <t>Anthropic API</t>
        </is>
      </c>
      <c r="M85" t="inlineStr">
        <is>
          <t>exact</t>
        </is>
      </c>
      <c r="N85" t="inlineStr"/>
    </row>
    <row r="86">
      <c r="A86" s="5" t="n">
        <v>45874</v>
      </c>
      <c r="B86" t="inlineStr">
        <is>
          <t>2025 Q3</t>
        </is>
      </c>
      <c r="C86" t="inlineStr">
        <is>
          <t>OpenAI</t>
        </is>
      </c>
      <c r="D86" t="inlineStr">
        <is>
          <t>USA</t>
        </is>
      </c>
      <c r="E86" t="inlineStr">
        <is>
          <t>gpt-oss-120b</t>
        </is>
      </c>
      <c r="F86" t="inlineStr">
        <is>
          <t>Open-weight</t>
        </is>
      </c>
      <c r="G86" t="inlineStr">
        <is>
          <t>Mid</t>
        </is>
      </c>
      <c r="H86" t="inlineStr">
        <is>
          <t>Launch</t>
        </is>
      </c>
      <c r="I86" s="6" t="n">
        <v>0.15</v>
      </c>
      <c r="J86" s="6" t="n">
        <v>0.6</v>
      </c>
      <c r="K86" s="7">
        <f>(3*I86+J86)/4</f>
        <v/>
      </c>
      <c r="L86" t="inlineStr">
        <is>
          <t>Together AI (reference host)</t>
        </is>
      </c>
      <c r="M86" t="inlineStr">
        <is>
          <t>exact</t>
        </is>
      </c>
      <c r="N86" t="inlineStr">
        <is>
          <t>Apache 2.0; no first-party price - hosted reference rate</t>
        </is>
      </c>
    </row>
    <row r="87">
      <c r="A87" s="5" t="n">
        <v>45874</v>
      </c>
      <c r="B87" t="inlineStr">
        <is>
          <t>2025 Q3</t>
        </is>
      </c>
      <c r="C87" t="inlineStr">
        <is>
          <t>OpenAI</t>
        </is>
      </c>
      <c r="D87" t="inlineStr">
        <is>
          <t>USA</t>
        </is>
      </c>
      <c r="E87" t="inlineStr">
        <is>
          <t>gpt-oss-20b</t>
        </is>
      </c>
      <c r="F87" t="inlineStr">
        <is>
          <t>Open-weight</t>
        </is>
      </c>
      <c r="G87" t="inlineStr">
        <is>
          <t>Small</t>
        </is>
      </c>
      <c r="H87" t="inlineStr">
        <is>
          <t>Launch</t>
        </is>
      </c>
      <c r="I87" s="6" t="n">
        <v>0.05</v>
      </c>
      <c r="J87" s="6" t="n">
        <v>0.2</v>
      </c>
      <c r="K87" s="7">
        <f>(3*I87+J87)/4</f>
        <v/>
      </c>
      <c r="L87" t="inlineStr">
        <is>
          <t>Together AI (reference host)</t>
        </is>
      </c>
      <c r="M87" t="inlineStr">
        <is>
          <t>exact</t>
        </is>
      </c>
      <c r="N87" t="inlineStr">
        <is>
          <t>Apache 2.0</t>
        </is>
      </c>
    </row>
    <row r="88">
      <c r="A88" s="5" t="n">
        <v>45876</v>
      </c>
      <c r="B88" t="inlineStr">
        <is>
          <t>2025 Q3</t>
        </is>
      </c>
      <c r="C88" t="inlineStr">
        <is>
          <t>OpenAI</t>
        </is>
      </c>
      <c r="D88" t="inlineStr">
        <is>
          <t>USA</t>
        </is>
      </c>
      <c r="E88" t="inlineStr">
        <is>
          <t>GPT-5</t>
        </is>
      </c>
      <c r="F88" t="inlineStr">
        <is>
          <t>Frontier (proprietary)</t>
        </is>
      </c>
      <c r="G88" t="inlineStr">
        <is>
          <t>Flagship</t>
        </is>
      </c>
      <c r="H88" t="inlineStr">
        <is>
          <t>Launch</t>
        </is>
      </c>
      <c r="I88" s="6" t="n">
        <v>1.25</v>
      </c>
      <c r="J88" s="6" t="n">
        <v>10</v>
      </c>
      <c r="K88" s="7">
        <f>(3*I88+J88)/4</f>
        <v/>
      </c>
      <c r="L88" t="inlineStr">
        <is>
          <t>OpenAI API</t>
        </is>
      </c>
      <c r="M88" t="inlineStr">
        <is>
          <t>exact</t>
        </is>
      </c>
      <c r="N88" t="inlineStr">
        <is>
          <t>400K context</t>
        </is>
      </c>
    </row>
    <row r="89">
      <c r="A89" s="5" t="n">
        <v>45876</v>
      </c>
      <c r="B89" t="inlineStr">
        <is>
          <t>2025 Q3</t>
        </is>
      </c>
      <c r="C89" t="inlineStr">
        <is>
          <t>OpenAI</t>
        </is>
      </c>
      <c r="D89" t="inlineStr">
        <is>
          <t>USA</t>
        </is>
      </c>
      <c r="E89" t="inlineStr">
        <is>
          <t>GPT-5 mini</t>
        </is>
      </c>
      <c r="F89" t="inlineStr">
        <is>
          <t>Frontier (proprietary)</t>
        </is>
      </c>
      <c r="G89" t="inlineStr">
        <is>
          <t>Budget</t>
        </is>
      </c>
      <c r="H89" t="inlineStr">
        <is>
          <t>Launch</t>
        </is>
      </c>
      <c r="I89" s="6" t="n">
        <v>0.25</v>
      </c>
      <c r="J89" s="6" t="n">
        <v>2</v>
      </c>
      <c r="K89" s="7">
        <f>(3*I89+J89)/4</f>
        <v/>
      </c>
      <c r="L89" t="inlineStr">
        <is>
          <t>OpenAI API</t>
        </is>
      </c>
      <c r="M89" t="inlineStr">
        <is>
          <t>exact</t>
        </is>
      </c>
      <c r="N89" t="inlineStr"/>
    </row>
    <row r="90">
      <c r="A90" s="5" t="n">
        <v>45876</v>
      </c>
      <c r="B90" t="inlineStr">
        <is>
          <t>2025 Q3</t>
        </is>
      </c>
      <c r="C90" t="inlineStr">
        <is>
          <t>OpenAI</t>
        </is>
      </c>
      <c r="D90" t="inlineStr">
        <is>
          <t>USA</t>
        </is>
      </c>
      <c r="E90" t="inlineStr">
        <is>
          <t>GPT-5 nano</t>
        </is>
      </c>
      <c r="F90" t="inlineStr">
        <is>
          <t>Frontier (proprietary)</t>
        </is>
      </c>
      <c r="G90" t="inlineStr">
        <is>
          <t>Tiny</t>
        </is>
      </c>
      <c r="H90" t="inlineStr">
        <is>
          <t>Launch</t>
        </is>
      </c>
      <c r="I90" s="6" t="n">
        <v>0.05</v>
      </c>
      <c r="J90" s="6" t="n">
        <v>0.4</v>
      </c>
      <c r="K90" s="7">
        <f>(3*I90+J90)/4</f>
        <v/>
      </c>
      <c r="L90" t="inlineStr">
        <is>
          <t>OpenAI API</t>
        </is>
      </c>
      <c r="M90" t="inlineStr">
        <is>
          <t>exact</t>
        </is>
      </c>
      <c r="N90" t="inlineStr"/>
    </row>
    <row r="91">
      <c r="A91" s="5" t="n">
        <v>45890</v>
      </c>
      <c r="B91" t="inlineStr">
        <is>
          <t>2025 Q3</t>
        </is>
      </c>
      <c r="C91" t="inlineStr">
        <is>
          <t>DeepSeek</t>
        </is>
      </c>
      <c r="D91" t="inlineStr">
        <is>
          <t>China</t>
        </is>
      </c>
      <c r="E91" t="inlineStr">
        <is>
          <t>DeepSeek V3.1</t>
        </is>
      </c>
      <c r="F91" t="inlineStr">
        <is>
          <t>Open-weight</t>
        </is>
      </c>
      <c r="G91" t="inlineStr">
        <is>
          <t>Flagship</t>
        </is>
      </c>
      <c r="H91" t="inlineStr">
        <is>
          <t>Launch</t>
        </is>
      </c>
      <c r="I91" s="6" t="n">
        <v>0.5600000000000001</v>
      </c>
      <c r="J91" s="6" t="n">
        <v>1.68</v>
      </c>
      <c r="K91" s="7">
        <f>(3*I91+J91)/4</f>
        <v/>
      </c>
      <c r="L91" t="inlineStr">
        <is>
          <t>DeepSeek API</t>
        </is>
      </c>
      <c r="M91" t="inlineStr">
        <is>
          <t>exact</t>
        </is>
      </c>
      <c r="N91" t="inlineStr">
        <is>
          <t>Unified chat+reasoning pricing</t>
        </is>
      </c>
    </row>
    <row r="92">
      <c r="A92" s="5" t="n">
        <v>45919</v>
      </c>
      <c r="B92" t="inlineStr">
        <is>
          <t>2025 Q3</t>
        </is>
      </c>
      <c r="C92" t="inlineStr">
        <is>
          <t>xAI</t>
        </is>
      </c>
      <c r="D92" t="inlineStr">
        <is>
          <t>USA</t>
        </is>
      </c>
      <c r="E92" t="inlineStr">
        <is>
          <t>Grok 4 Fast</t>
        </is>
      </c>
      <c r="F92" t="inlineStr">
        <is>
          <t>Frontier (proprietary)</t>
        </is>
      </c>
      <c r="G92" t="inlineStr">
        <is>
          <t>Budget</t>
        </is>
      </c>
      <c r="H92" t="inlineStr">
        <is>
          <t>Launch</t>
        </is>
      </c>
      <c r="I92" s="6" t="n">
        <v>0.2</v>
      </c>
      <c r="J92" s="6" t="n">
        <v>0.5</v>
      </c>
      <c r="K92" s="7">
        <f>(3*I92+J92)/4</f>
        <v/>
      </c>
      <c r="L92" t="inlineStr">
        <is>
          <t>xAI API</t>
        </is>
      </c>
      <c r="M92" t="inlineStr">
        <is>
          <t>exact</t>
        </is>
      </c>
      <c r="N92" t="inlineStr">
        <is>
          <t>&lt;128K tier</t>
        </is>
      </c>
    </row>
    <row r="93">
      <c r="A93" s="5" t="n">
        <v>45924</v>
      </c>
      <c r="B93" t="inlineStr">
        <is>
          <t>2025 Q3</t>
        </is>
      </c>
      <c r="C93" t="inlineStr">
        <is>
          <t>Alibaba</t>
        </is>
      </c>
      <c r="D93" t="inlineStr">
        <is>
          <t>China</t>
        </is>
      </c>
      <c r="E93" t="inlineStr">
        <is>
          <t>Qwen3-Max</t>
        </is>
      </c>
      <c r="F93" t="inlineStr">
        <is>
          <t>Frontier (proprietary)</t>
        </is>
      </c>
      <c r="G93" t="inlineStr">
        <is>
          <t>Flagship</t>
        </is>
      </c>
      <c r="H93" t="inlineStr">
        <is>
          <t>Launch</t>
        </is>
      </c>
      <c r="I93" s="6" t="n">
        <v>1.2</v>
      </c>
      <c r="J93" s="6" t="n">
        <v>6</v>
      </c>
      <c r="K93" s="7">
        <f>(3*I93+J93)/4</f>
        <v/>
      </c>
      <c r="L93" t="inlineStr">
        <is>
          <t>Alibaba Model Studio (intl)</t>
        </is>
      </c>
      <c r="M93" t="inlineStr">
        <is>
          <t>exact</t>
        </is>
      </c>
      <c r="N93" t="inlineStr">
        <is>
          <t>&lt;=32K tier; tiered above</t>
        </is>
      </c>
    </row>
    <row r="94">
      <c r="A94" s="5" t="n">
        <v>45929</v>
      </c>
      <c r="B94" t="inlineStr">
        <is>
          <t>2025 Q3</t>
        </is>
      </c>
      <c r="C94" t="inlineStr">
        <is>
          <t>Anthropic</t>
        </is>
      </c>
      <c r="D94" t="inlineStr">
        <is>
          <t>USA</t>
        </is>
      </c>
      <c r="E94" t="inlineStr">
        <is>
          <t>Claude Sonnet 4.5</t>
        </is>
      </c>
      <c r="F94" t="inlineStr">
        <is>
          <t>Frontier (proprietary)</t>
        </is>
      </c>
      <c r="G94" t="inlineStr">
        <is>
          <t>Mid</t>
        </is>
      </c>
      <c r="H94" t="inlineStr">
        <is>
          <t>Launch</t>
        </is>
      </c>
      <c r="I94" s="6" t="n">
        <v>3</v>
      </c>
      <c r="J94" s="6" t="n">
        <v>15</v>
      </c>
      <c r="K94" s="7">
        <f>(3*I94+J94)/4</f>
        <v/>
      </c>
      <c r="L94" t="inlineStr">
        <is>
          <t>Anthropic API</t>
        </is>
      </c>
      <c r="M94" t="inlineStr">
        <is>
          <t>exact</t>
        </is>
      </c>
      <c r="N94" t="inlineStr"/>
    </row>
    <row r="95">
      <c r="A95" s="5" t="n">
        <v>45929</v>
      </c>
      <c r="B95" t="inlineStr">
        <is>
          <t>2025 Q3</t>
        </is>
      </c>
      <c r="C95" t="inlineStr">
        <is>
          <t>DeepSeek</t>
        </is>
      </c>
      <c r="D95" t="inlineStr">
        <is>
          <t>China</t>
        </is>
      </c>
      <c r="E95" t="inlineStr">
        <is>
          <t>DeepSeek V3.2</t>
        </is>
      </c>
      <c r="F95" t="inlineStr">
        <is>
          <t>Open-weight</t>
        </is>
      </c>
      <c r="G95" t="inlineStr">
        <is>
          <t>Flagship</t>
        </is>
      </c>
      <c r="H95" t="inlineStr">
        <is>
          <t>Launch</t>
        </is>
      </c>
      <c r="I95" s="6" t="n">
        <v>0.28</v>
      </c>
      <c r="J95" s="6" t="n">
        <v>0.42</v>
      </c>
      <c r="K95" s="7">
        <f>(3*I95+J95)/4</f>
        <v/>
      </c>
      <c r="L95" t="inlineStr">
        <is>
          <t>DeepSeek API</t>
        </is>
      </c>
      <c r="M95" t="inlineStr">
        <is>
          <t>exact</t>
        </is>
      </c>
      <c r="N95" t="inlineStr">
        <is>
          <t>&gt;50% price cut vs V3.1 (V3.2-Exp)</t>
        </is>
      </c>
    </row>
    <row r="96">
      <c r="A96" s="5" t="n">
        <v>45930</v>
      </c>
      <c r="B96" t="inlineStr">
        <is>
          <t>2025 Q3</t>
        </is>
      </c>
      <c r="C96" t="inlineStr">
        <is>
          <t>Zhipu AI</t>
        </is>
      </c>
      <c r="D96" t="inlineStr">
        <is>
          <t>China</t>
        </is>
      </c>
      <c r="E96" t="inlineStr">
        <is>
          <t>GLM-4.6</t>
        </is>
      </c>
      <c r="F96" t="inlineStr">
        <is>
          <t>Open-weight</t>
        </is>
      </c>
      <c r="G96" t="inlineStr">
        <is>
          <t>Flagship</t>
        </is>
      </c>
      <c r="H96" t="inlineStr">
        <is>
          <t>Launch</t>
        </is>
      </c>
      <c r="I96" s="6" t="n">
        <v>0.6</v>
      </c>
      <c r="J96" s="6" t="n">
        <v>2.2</v>
      </c>
      <c r="K96" s="7">
        <f>(3*I96+J96)/4</f>
        <v/>
      </c>
      <c r="L96" t="inlineStr">
        <is>
          <t>Z.ai API (intl)</t>
        </is>
      </c>
      <c r="M96" t="inlineStr">
        <is>
          <t>exact</t>
        </is>
      </c>
      <c r="N96" t="inlineStr"/>
    </row>
    <row r="97">
      <c r="A97" s="5" t="n">
        <v>45945</v>
      </c>
      <c r="B97" t="inlineStr">
        <is>
          <t>2025 Q4</t>
        </is>
      </c>
      <c r="C97" t="inlineStr">
        <is>
          <t>Anthropic</t>
        </is>
      </c>
      <c r="D97" t="inlineStr">
        <is>
          <t>USA</t>
        </is>
      </c>
      <c r="E97" t="inlineStr">
        <is>
          <t>Claude Haiku 4.5</t>
        </is>
      </c>
      <c r="F97" t="inlineStr">
        <is>
          <t>Frontier (proprietary)</t>
        </is>
      </c>
      <c r="G97" t="inlineStr">
        <is>
          <t>Budget</t>
        </is>
      </c>
      <c r="H97" t="inlineStr">
        <is>
          <t>Launch</t>
        </is>
      </c>
      <c r="I97" s="6" t="n">
        <v>1</v>
      </c>
      <c r="J97" s="6" t="n">
        <v>5</v>
      </c>
      <c r="K97" s="7">
        <f>(3*I97+J97)/4</f>
        <v/>
      </c>
      <c r="L97" t="inlineStr">
        <is>
          <t>Anthropic API</t>
        </is>
      </c>
      <c r="M97" t="inlineStr">
        <is>
          <t>exact</t>
        </is>
      </c>
      <c r="N97" t="inlineStr"/>
    </row>
    <row r="98">
      <c r="A98" s="5" t="n">
        <v>45957</v>
      </c>
      <c r="B98" t="inlineStr">
        <is>
          <t>2025 Q4</t>
        </is>
      </c>
      <c r="C98" t="inlineStr">
        <is>
          <t>MiniMax</t>
        </is>
      </c>
      <c r="D98" t="inlineStr">
        <is>
          <t>China</t>
        </is>
      </c>
      <c r="E98" t="inlineStr">
        <is>
          <t>MiniMax M2</t>
        </is>
      </c>
      <c r="F98" t="inlineStr">
        <is>
          <t>Open-weight</t>
        </is>
      </c>
      <c r="G98" t="inlineStr">
        <is>
          <t>Flagship</t>
        </is>
      </c>
      <c r="H98" t="inlineStr">
        <is>
          <t>Launch</t>
        </is>
      </c>
      <c r="I98" s="6" t="n">
        <v>0.3</v>
      </c>
      <c r="J98" s="6" t="n">
        <v>1.2</v>
      </c>
      <c r="K98" s="7">
        <f>(3*I98+J98)/4</f>
        <v/>
      </c>
      <c r="L98" t="inlineStr">
        <is>
          <t>MiniMax API</t>
        </is>
      </c>
      <c r="M98" t="inlineStr">
        <is>
          <t>exact</t>
        </is>
      </c>
      <c r="N98" t="inlineStr"/>
    </row>
    <row r="99">
      <c r="A99" s="5" t="n">
        <v>45967</v>
      </c>
      <c r="B99" t="inlineStr">
        <is>
          <t>2025 Q4</t>
        </is>
      </c>
      <c r="C99" t="inlineStr">
        <is>
          <t>Moonshot AI</t>
        </is>
      </c>
      <c r="D99" t="inlineStr">
        <is>
          <t>China</t>
        </is>
      </c>
      <c r="E99" t="inlineStr">
        <is>
          <t>Kimi K2 Thinking</t>
        </is>
      </c>
      <c r="F99" t="inlineStr">
        <is>
          <t>Open-weight</t>
        </is>
      </c>
      <c r="G99" t="inlineStr">
        <is>
          <t>Flagship</t>
        </is>
      </c>
      <c r="H99" t="inlineStr">
        <is>
          <t>Launch</t>
        </is>
      </c>
      <c r="I99" s="6" t="n">
        <v>0.6</v>
      </c>
      <c r="J99" s="6" t="n">
        <v>2.5</v>
      </c>
      <c r="K99" s="7">
        <f>(3*I99+J99)/4</f>
        <v/>
      </c>
      <c r="L99" t="inlineStr">
        <is>
          <t>Moonshot API</t>
        </is>
      </c>
      <c r="M99" t="inlineStr">
        <is>
          <t>exact</t>
        </is>
      </c>
      <c r="N99" t="inlineStr"/>
    </row>
    <row r="100">
      <c r="A100" s="5" t="n">
        <v>45973</v>
      </c>
      <c r="B100" t="inlineStr">
        <is>
          <t>2025 Q4</t>
        </is>
      </c>
      <c r="C100" t="inlineStr">
        <is>
          <t>OpenAI</t>
        </is>
      </c>
      <c r="D100" t="inlineStr">
        <is>
          <t>USA</t>
        </is>
      </c>
      <c r="E100" t="inlineStr">
        <is>
          <t>GPT-5.1</t>
        </is>
      </c>
      <c r="F100" t="inlineStr">
        <is>
          <t>Frontier (proprietary)</t>
        </is>
      </c>
      <c r="G100" t="inlineStr">
        <is>
          <t>Flagship</t>
        </is>
      </c>
      <c r="H100" t="inlineStr">
        <is>
          <t>Launch</t>
        </is>
      </c>
      <c r="I100" s="6" t="n">
        <v>1.25</v>
      </c>
      <c r="J100" s="6" t="n">
        <v>10</v>
      </c>
      <c r="K100" s="7">
        <f>(3*I100+J100)/4</f>
        <v/>
      </c>
      <c r="L100" t="inlineStr">
        <is>
          <t>OpenAI API</t>
        </is>
      </c>
      <c r="M100" t="inlineStr">
        <is>
          <t>exact</t>
        </is>
      </c>
      <c r="N100" t="inlineStr">
        <is>
          <t>Same pricing as GPT-5</t>
        </is>
      </c>
    </row>
    <row r="101">
      <c r="A101" s="5" t="n">
        <v>45979</v>
      </c>
      <c r="B101" t="inlineStr">
        <is>
          <t>2025 Q4</t>
        </is>
      </c>
      <c r="C101" t="inlineStr">
        <is>
          <t>Google</t>
        </is>
      </c>
      <c r="D101" t="inlineStr">
        <is>
          <t>USA</t>
        </is>
      </c>
      <c r="E101" t="inlineStr">
        <is>
          <t>Gemini 3 Pro</t>
        </is>
      </c>
      <c r="F101" t="inlineStr">
        <is>
          <t>Frontier (proprietary)</t>
        </is>
      </c>
      <c r="G101" t="inlineStr">
        <is>
          <t>Flagship</t>
        </is>
      </c>
      <c r="H101" t="inlineStr">
        <is>
          <t>Launch</t>
        </is>
      </c>
      <c r="I101" s="6" t="n">
        <v>2</v>
      </c>
      <c r="J101" s="6" t="n">
        <v>12</v>
      </c>
      <c r="K101" s="7">
        <f>(3*I101+J101)/4</f>
        <v/>
      </c>
      <c r="L101" t="inlineStr">
        <is>
          <t>Gemini API</t>
        </is>
      </c>
      <c r="M101" t="inlineStr">
        <is>
          <t>exact</t>
        </is>
      </c>
      <c r="N101" t="inlineStr">
        <is>
          <t>&lt;=200K tier ($4/$18 above)</t>
        </is>
      </c>
    </row>
    <row r="102">
      <c r="A102" s="5" t="n">
        <v>45980</v>
      </c>
      <c r="B102" t="inlineStr">
        <is>
          <t>2025 Q4</t>
        </is>
      </c>
      <c r="C102" t="inlineStr">
        <is>
          <t>xAI</t>
        </is>
      </c>
      <c r="D102" t="inlineStr">
        <is>
          <t>USA</t>
        </is>
      </c>
      <c r="E102" t="inlineStr">
        <is>
          <t>Grok 4.1 Fast</t>
        </is>
      </c>
      <c r="F102" t="inlineStr">
        <is>
          <t>Frontier (proprietary)</t>
        </is>
      </c>
      <c r="G102" t="inlineStr">
        <is>
          <t>Budget</t>
        </is>
      </c>
      <c r="H102" t="inlineStr">
        <is>
          <t>Launch</t>
        </is>
      </c>
      <c r="I102" s="6" t="n">
        <v>0.2</v>
      </c>
      <c r="J102" s="6" t="n">
        <v>0.5</v>
      </c>
      <c r="K102" s="7">
        <f>(3*I102+J102)/4</f>
        <v/>
      </c>
      <c r="L102" t="inlineStr">
        <is>
          <t>xAI API</t>
        </is>
      </c>
      <c r="M102" t="inlineStr">
        <is>
          <t>approx</t>
        </is>
      </c>
      <c r="N102" t="inlineStr"/>
    </row>
    <row r="103">
      <c r="A103" s="5" t="n">
        <v>45985</v>
      </c>
      <c r="B103" t="inlineStr">
        <is>
          <t>2025 Q4</t>
        </is>
      </c>
      <c r="C103" t="inlineStr">
        <is>
          <t>Anthropic</t>
        </is>
      </c>
      <c r="D103" t="inlineStr">
        <is>
          <t>USA</t>
        </is>
      </c>
      <c r="E103" t="inlineStr">
        <is>
          <t>Claude Opus 4.5</t>
        </is>
      </c>
      <c r="F103" t="inlineStr">
        <is>
          <t>Frontier (proprietary)</t>
        </is>
      </c>
      <c r="G103" t="inlineStr">
        <is>
          <t>Flagship</t>
        </is>
      </c>
      <c r="H103" t="inlineStr">
        <is>
          <t>Launch</t>
        </is>
      </c>
      <c r="I103" s="6" t="n">
        <v>5</v>
      </c>
      <c r="J103" s="6" t="n">
        <v>25</v>
      </c>
      <c r="K103" s="7">
        <f>(3*I103+J103)/4</f>
        <v/>
      </c>
      <c r="L103" t="inlineStr">
        <is>
          <t>Anthropic API</t>
        </is>
      </c>
      <c r="M103" t="inlineStr">
        <is>
          <t>exact</t>
        </is>
      </c>
      <c r="N103" t="inlineStr">
        <is>
          <t>67% price cut vs Opus 4.1 ($15/$75)</t>
        </is>
      </c>
    </row>
    <row r="104">
      <c r="A104" s="5" t="n">
        <v>45993</v>
      </c>
      <c r="B104" t="inlineStr">
        <is>
          <t>2025 Q4</t>
        </is>
      </c>
      <c r="C104" t="inlineStr">
        <is>
          <t>Mistral AI</t>
        </is>
      </c>
      <c r="D104" t="inlineStr">
        <is>
          <t>France</t>
        </is>
      </c>
      <c r="E104" t="inlineStr">
        <is>
          <t>Mistral Large 3</t>
        </is>
      </c>
      <c r="F104" t="inlineStr">
        <is>
          <t>Open-weight</t>
        </is>
      </c>
      <c r="G104" t="inlineStr">
        <is>
          <t>Flagship</t>
        </is>
      </c>
      <c r="H104" t="inlineStr">
        <is>
          <t>Launch</t>
        </is>
      </c>
      <c r="I104" s="6" t="n">
        <v>0.5</v>
      </c>
      <c r="J104" s="6" t="n">
        <v>1.5</v>
      </c>
      <c r="K104" s="7">
        <f>(3*I104+J104)/4</f>
        <v/>
      </c>
      <c r="L104" t="inlineStr">
        <is>
          <t>La Plateforme</t>
        </is>
      </c>
      <c r="M104" t="inlineStr">
        <is>
          <t>approx</t>
        </is>
      </c>
      <c r="N104" t="inlineStr">
        <is>
          <t>Open weights (Apache 2.0)</t>
        </is>
      </c>
    </row>
    <row r="105">
      <c r="A105" s="5" t="n">
        <v>46000</v>
      </c>
      <c r="B105" t="inlineStr">
        <is>
          <t>2025 Q4</t>
        </is>
      </c>
      <c r="C105" t="inlineStr">
        <is>
          <t>Google</t>
        </is>
      </c>
      <c r="D105" t="inlineStr">
        <is>
          <t>USA</t>
        </is>
      </c>
      <c r="E105" t="inlineStr">
        <is>
          <t>Gemini 3 Flash</t>
        </is>
      </c>
      <c r="F105" t="inlineStr">
        <is>
          <t>Frontier (proprietary)</t>
        </is>
      </c>
      <c r="G105" t="inlineStr">
        <is>
          <t>Budget</t>
        </is>
      </c>
      <c r="H105" t="inlineStr">
        <is>
          <t>Launch</t>
        </is>
      </c>
      <c r="I105" s="6" t="n">
        <v>0.5</v>
      </c>
      <c r="J105" s="6" t="n">
        <v>3</v>
      </c>
      <c r="K105" s="7">
        <f>(3*I105+J105)/4</f>
        <v/>
      </c>
      <c r="L105" t="inlineStr">
        <is>
          <t>Gemini API</t>
        </is>
      </c>
      <c r="M105" t="inlineStr">
        <is>
          <t>approx</t>
        </is>
      </c>
      <c r="N105" t="inlineStr"/>
    </row>
    <row r="106">
      <c r="A106" s="5" t="n">
        <v>46001</v>
      </c>
      <c r="B106" t="inlineStr">
        <is>
          <t>2025 Q4</t>
        </is>
      </c>
      <c r="C106" t="inlineStr">
        <is>
          <t>Zhipu AI</t>
        </is>
      </c>
      <c r="D106" t="inlineStr">
        <is>
          <t>China</t>
        </is>
      </c>
      <c r="E106" t="inlineStr">
        <is>
          <t>GLM-4.7</t>
        </is>
      </c>
      <c r="F106" t="inlineStr">
        <is>
          <t>Open-weight</t>
        </is>
      </c>
      <c r="G106" t="inlineStr">
        <is>
          <t>Flagship</t>
        </is>
      </c>
      <c r="H106" t="inlineStr">
        <is>
          <t>Launch</t>
        </is>
      </c>
      <c r="I106" s="6" t="n">
        <v>0.6</v>
      </c>
      <c r="J106" s="6" t="n">
        <v>2.2</v>
      </c>
      <c r="K106" s="7">
        <f>(3*I106+J106)/4</f>
        <v/>
      </c>
      <c r="L106" t="inlineStr">
        <is>
          <t>Z.ai API (intl)</t>
        </is>
      </c>
      <c r="M106" t="inlineStr">
        <is>
          <t>approx</t>
        </is>
      </c>
      <c r="N106" t="inlineStr">
        <is>
          <t>CN endpoint CNY 2/8 (~$0.30/$1.19)</t>
        </is>
      </c>
    </row>
    <row r="107">
      <c r="A107" s="5" t="n">
        <v>46002</v>
      </c>
      <c r="B107" t="inlineStr">
        <is>
          <t>2025 Q4</t>
        </is>
      </c>
      <c r="C107" t="inlineStr">
        <is>
          <t>OpenAI</t>
        </is>
      </c>
      <c r="D107" t="inlineStr">
        <is>
          <t>USA</t>
        </is>
      </c>
      <c r="E107" t="inlineStr">
        <is>
          <t>GPT-5.2</t>
        </is>
      </c>
      <c r="F107" t="inlineStr">
        <is>
          <t>Frontier (proprietary)</t>
        </is>
      </c>
      <c r="G107" t="inlineStr">
        <is>
          <t>Flagship</t>
        </is>
      </c>
      <c r="H107" t="inlineStr">
        <is>
          <t>Launch</t>
        </is>
      </c>
      <c r="I107" s="6" t="n">
        <v>1.75</v>
      </c>
      <c r="J107" s="6" t="n">
        <v>14</v>
      </c>
      <c r="K107" s="7">
        <f>(3*I107+J107)/4</f>
        <v/>
      </c>
      <c r="L107" t="inlineStr">
        <is>
          <t>OpenAI API</t>
        </is>
      </c>
      <c r="M107" t="inlineStr">
        <is>
          <t>exact</t>
        </is>
      </c>
      <c r="N107" t="inlineStr"/>
    </row>
    <row r="108">
      <c r="A108" s="5" t="n">
        <v>46002</v>
      </c>
      <c r="B108" t="inlineStr">
        <is>
          <t>2025 Q4</t>
        </is>
      </c>
      <c r="C108" t="inlineStr">
        <is>
          <t>OpenAI</t>
        </is>
      </c>
      <c r="D108" t="inlineStr">
        <is>
          <t>USA</t>
        </is>
      </c>
      <c r="E108" t="inlineStr">
        <is>
          <t>GPT-5.2 Pro</t>
        </is>
      </c>
      <c r="F108" t="inlineStr">
        <is>
          <t>Frontier (proprietary)</t>
        </is>
      </c>
      <c r="G108" t="inlineStr">
        <is>
          <t>Premium reasoning</t>
        </is>
      </c>
      <c r="H108" t="inlineStr">
        <is>
          <t>Launch</t>
        </is>
      </c>
      <c r="I108" s="6" t="n">
        <v>21</v>
      </c>
      <c r="J108" s="6" t="n">
        <v>168</v>
      </c>
      <c r="K108" s="7">
        <f>(3*I108+J108)/4</f>
        <v/>
      </c>
      <c r="L108" t="inlineStr">
        <is>
          <t>OpenAI API</t>
        </is>
      </c>
      <c r="M108" t="inlineStr">
        <is>
          <t>exact</t>
        </is>
      </c>
      <c r="N108" t="inlineStr"/>
    </row>
    <row r="109">
      <c r="A109" s="5" t="n">
        <v>46037</v>
      </c>
      <c r="B109" t="inlineStr">
        <is>
          <t>2026 Q1</t>
        </is>
      </c>
      <c r="C109" t="inlineStr">
        <is>
          <t>Moonshot AI</t>
        </is>
      </c>
      <c r="D109" t="inlineStr">
        <is>
          <t>China</t>
        </is>
      </c>
      <c r="E109" t="inlineStr">
        <is>
          <t>Kimi K2.5</t>
        </is>
      </c>
      <c r="F109" t="inlineStr">
        <is>
          <t>Open-weight</t>
        </is>
      </c>
      <c r="G109" t="inlineStr">
        <is>
          <t>Flagship</t>
        </is>
      </c>
      <c r="H109" t="inlineStr">
        <is>
          <t>Launch</t>
        </is>
      </c>
      <c r="I109" s="6" t="n">
        <v>0.59</v>
      </c>
      <c r="J109" s="6" t="n">
        <v>3.11</v>
      </c>
      <c r="K109" s="7">
        <f>(3*I109+J109)/4</f>
        <v/>
      </c>
      <c r="L109" t="inlineStr">
        <is>
          <t>Moonshot API (CN, converted)</t>
        </is>
      </c>
      <c r="M109" t="inlineStr">
        <is>
          <t>approx</t>
        </is>
      </c>
      <c r="N109" t="inlineStr">
        <is>
          <t>CNY 4/21 per 1M</t>
        </is>
      </c>
    </row>
    <row r="110">
      <c r="A110" s="5" t="n">
        <v>46054</v>
      </c>
      <c r="B110" t="inlineStr">
        <is>
          <t>2026 Q1</t>
        </is>
      </c>
      <c r="C110" t="inlineStr">
        <is>
          <t>MiniMax</t>
        </is>
      </c>
      <c r="D110" t="inlineStr">
        <is>
          <t>China</t>
        </is>
      </c>
      <c r="E110" t="inlineStr">
        <is>
          <t>MiniMax M2.5</t>
        </is>
      </c>
      <c r="F110" t="inlineStr">
        <is>
          <t>Open-weight</t>
        </is>
      </c>
      <c r="G110" t="inlineStr">
        <is>
          <t>Flagship</t>
        </is>
      </c>
      <c r="H110" t="inlineStr">
        <is>
          <t>Launch</t>
        </is>
      </c>
      <c r="I110" s="6" t="n">
        <v>0.3</v>
      </c>
      <c r="J110" s="6" t="n">
        <v>1.2</v>
      </c>
      <c r="K110" s="7">
        <f>(3*I110+J110)/4</f>
        <v/>
      </c>
      <c r="L110" t="inlineStr">
        <is>
          <t>MiniMax API</t>
        </is>
      </c>
      <c r="M110" t="inlineStr">
        <is>
          <t>approx</t>
        </is>
      </c>
      <c r="N110" t="inlineStr"/>
    </row>
    <row r="111">
      <c r="A111" s="5" t="n">
        <v>46058</v>
      </c>
      <c r="B111" t="inlineStr">
        <is>
          <t>2026 Q1</t>
        </is>
      </c>
      <c r="C111" t="inlineStr">
        <is>
          <t>Anthropic</t>
        </is>
      </c>
      <c r="D111" t="inlineStr">
        <is>
          <t>USA</t>
        </is>
      </c>
      <c r="E111" t="inlineStr">
        <is>
          <t>Claude Opus 4.6</t>
        </is>
      </c>
      <c r="F111" t="inlineStr">
        <is>
          <t>Frontier (proprietary)</t>
        </is>
      </c>
      <c r="G111" t="inlineStr">
        <is>
          <t>Flagship</t>
        </is>
      </c>
      <c r="H111" t="inlineStr">
        <is>
          <t>Launch</t>
        </is>
      </c>
      <c r="I111" s="6" t="n">
        <v>5</v>
      </c>
      <c r="J111" s="6" t="n">
        <v>25</v>
      </c>
      <c r="K111" s="7">
        <f>(3*I111+J111)/4</f>
        <v/>
      </c>
      <c r="L111" t="inlineStr">
        <is>
          <t>Anthropic API</t>
        </is>
      </c>
      <c r="M111" t="inlineStr">
        <is>
          <t>exact</t>
        </is>
      </c>
      <c r="N111" t="inlineStr"/>
    </row>
    <row r="112">
      <c r="A112" s="5" t="n">
        <v>46058</v>
      </c>
      <c r="B112" t="inlineStr">
        <is>
          <t>2026 Q1</t>
        </is>
      </c>
      <c r="C112" t="inlineStr">
        <is>
          <t>Anthropic</t>
        </is>
      </c>
      <c r="D112" t="inlineStr">
        <is>
          <t>USA</t>
        </is>
      </c>
      <c r="E112" t="inlineStr">
        <is>
          <t>Claude Sonnet 4.6</t>
        </is>
      </c>
      <c r="F112" t="inlineStr">
        <is>
          <t>Frontier (proprietary)</t>
        </is>
      </c>
      <c r="G112" t="inlineStr">
        <is>
          <t>Mid</t>
        </is>
      </c>
      <c r="H112" t="inlineStr">
        <is>
          <t>Launch</t>
        </is>
      </c>
      <c r="I112" s="6" t="n">
        <v>3</v>
      </c>
      <c r="J112" s="6" t="n">
        <v>15</v>
      </c>
      <c r="K112" s="7">
        <f>(3*I112+J112)/4</f>
        <v/>
      </c>
      <c r="L112" t="inlineStr">
        <is>
          <t>Anthropic API</t>
        </is>
      </c>
      <c r="M112" t="inlineStr">
        <is>
          <t>approx</t>
        </is>
      </c>
      <c r="N112" t="inlineStr"/>
    </row>
    <row r="113">
      <c r="A113" s="5" t="n">
        <v>46068</v>
      </c>
      <c r="B113" t="inlineStr">
        <is>
          <t>2026 Q1</t>
        </is>
      </c>
      <c r="C113" t="inlineStr">
        <is>
          <t>Alibaba</t>
        </is>
      </c>
      <c r="D113" t="inlineStr">
        <is>
          <t>China</t>
        </is>
      </c>
      <c r="E113" t="inlineStr">
        <is>
          <t>Qwen3.5 397B</t>
        </is>
      </c>
      <c r="F113" t="inlineStr">
        <is>
          <t>Open-weight</t>
        </is>
      </c>
      <c r="G113" t="inlineStr">
        <is>
          <t>Flagship</t>
        </is>
      </c>
      <c r="H113" t="inlineStr">
        <is>
          <t>Launch</t>
        </is>
      </c>
      <c r="I113" s="6" t="n">
        <v>0.6</v>
      </c>
      <c r="J113" s="6" t="n">
        <v>3.6</v>
      </c>
      <c r="K113" s="7">
        <f>(3*I113+J113)/4</f>
        <v/>
      </c>
      <c r="L113" t="inlineStr">
        <is>
          <t>Alibaba Model Studio (intl)</t>
        </is>
      </c>
      <c r="M113" t="inlineStr">
        <is>
          <t>approx</t>
        </is>
      </c>
      <c r="N113" t="inlineStr">
        <is>
          <t>Open-weight flagship</t>
        </is>
      </c>
    </row>
    <row r="114">
      <c r="A114" s="5" t="n">
        <v>46068</v>
      </c>
      <c r="B114" t="inlineStr">
        <is>
          <t>2026 Q1</t>
        </is>
      </c>
      <c r="C114" t="inlineStr">
        <is>
          <t>Alibaba</t>
        </is>
      </c>
      <c r="D114" t="inlineStr">
        <is>
          <t>China</t>
        </is>
      </c>
      <c r="E114" t="inlineStr">
        <is>
          <t>Qwen3.5 Flash</t>
        </is>
      </c>
      <c r="F114" t="inlineStr">
        <is>
          <t>Open-weight</t>
        </is>
      </c>
      <c r="G114" t="inlineStr">
        <is>
          <t>Small</t>
        </is>
      </c>
      <c r="H114" t="inlineStr">
        <is>
          <t>Launch</t>
        </is>
      </c>
      <c r="I114" s="6" t="n">
        <v>0.1</v>
      </c>
      <c r="J114" s="6" t="n">
        <v>0.4</v>
      </c>
      <c r="K114" s="7">
        <f>(3*I114+J114)/4</f>
        <v/>
      </c>
      <c r="L114" t="inlineStr">
        <is>
          <t>Alibaba Model Studio (intl)</t>
        </is>
      </c>
      <c r="M114" t="inlineStr">
        <is>
          <t>approx</t>
        </is>
      </c>
      <c r="N114" t="inlineStr">
        <is>
          <t>CN endpoint CNY 0.2/2 (&lt;=128K)</t>
        </is>
      </c>
    </row>
    <row r="115">
      <c r="A115" s="5" t="n">
        <v>46068</v>
      </c>
      <c r="B115" t="inlineStr">
        <is>
          <t>2026 Q1</t>
        </is>
      </c>
      <c r="C115" t="inlineStr">
        <is>
          <t>Zhipu AI</t>
        </is>
      </c>
      <c r="D115" t="inlineStr">
        <is>
          <t>China</t>
        </is>
      </c>
      <c r="E115" t="inlineStr">
        <is>
          <t>GLM-5</t>
        </is>
      </c>
      <c r="F115" t="inlineStr">
        <is>
          <t>Open-weight</t>
        </is>
      </c>
      <c r="G115" t="inlineStr">
        <is>
          <t>Flagship</t>
        </is>
      </c>
      <c r="H115" t="inlineStr">
        <is>
          <t>Launch</t>
        </is>
      </c>
      <c r="I115" s="6" t="n">
        <v>1</v>
      </c>
      <c r="J115" s="6" t="n">
        <v>3.2</v>
      </c>
      <c r="K115" s="7">
        <f>(3*I115+J115)/4</f>
        <v/>
      </c>
      <c r="L115" t="inlineStr">
        <is>
          <t>Z.ai API (intl)</t>
        </is>
      </c>
      <c r="M115" t="inlineStr">
        <is>
          <t>approx</t>
        </is>
      </c>
      <c r="N115" t="inlineStr"/>
    </row>
    <row r="116">
      <c r="A116" s="5" t="n">
        <v>46082</v>
      </c>
      <c r="B116" t="inlineStr">
        <is>
          <t>2026 Q1</t>
        </is>
      </c>
      <c r="C116" t="inlineStr">
        <is>
          <t>Google</t>
        </is>
      </c>
      <c r="D116" t="inlineStr">
        <is>
          <t>USA</t>
        </is>
      </c>
      <c r="E116" t="inlineStr">
        <is>
          <t>Gemini 3.1 Pro</t>
        </is>
      </c>
      <c r="F116" t="inlineStr">
        <is>
          <t>Frontier (proprietary)</t>
        </is>
      </c>
      <c r="G116" t="inlineStr">
        <is>
          <t>Flagship</t>
        </is>
      </c>
      <c r="H116" t="inlineStr">
        <is>
          <t>Launch</t>
        </is>
      </c>
      <c r="I116" s="6" t="n">
        <v>2</v>
      </c>
      <c r="J116" s="6" t="n">
        <v>12</v>
      </c>
      <c r="K116" s="7">
        <f>(3*I116+J116)/4</f>
        <v/>
      </c>
      <c r="L116" t="inlineStr">
        <is>
          <t>Gemini API</t>
        </is>
      </c>
      <c r="M116" t="inlineStr">
        <is>
          <t>approx</t>
        </is>
      </c>
      <c r="N116" t="inlineStr">
        <is>
          <t>&lt;=200K tier ($4/$18 above); 2M context</t>
        </is>
      </c>
    </row>
    <row r="117">
      <c r="A117" s="5" t="n">
        <v>46082</v>
      </c>
      <c r="B117" t="inlineStr">
        <is>
          <t>2026 Q1</t>
        </is>
      </c>
      <c r="C117" t="inlineStr">
        <is>
          <t>Mistral AI</t>
        </is>
      </c>
      <c r="D117" t="inlineStr">
        <is>
          <t>France</t>
        </is>
      </c>
      <c r="E117" t="inlineStr">
        <is>
          <t>Mistral Small 4</t>
        </is>
      </c>
      <c r="F117" t="inlineStr">
        <is>
          <t>Open-weight</t>
        </is>
      </c>
      <c r="G117" t="inlineStr">
        <is>
          <t>Small</t>
        </is>
      </c>
      <c r="H117" t="inlineStr">
        <is>
          <t>Launch</t>
        </is>
      </c>
      <c r="I117" s="6" t="n">
        <v>0.15</v>
      </c>
      <c r="J117" s="6" t="n">
        <v>0.6</v>
      </c>
      <c r="K117" s="7">
        <f>(3*I117+J117)/4</f>
        <v/>
      </c>
      <c r="L117" t="inlineStr">
        <is>
          <t>La Plateforme</t>
        </is>
      </c>
      <c r="M117" t="inlineStr">
        <is>
          <t>approx</t>
        </is>
      </c>
      <c r="N117" t="inlineStr"/>
    </row>
    <row r="118">
      <c r="A118" s="5" t="n">
        <v>46086</v>
      </c>
      <c r="B118" t="inlineStr">
        <is>
          <t>2026 Q1</t>
        </is>
      </c>
      <c r="C118" t="inlineStr">
        <is>
          <t>OpenAI</t>
        </is>
      </c>
      <c r="D118" t="inlineStr">
        <is>
          <t>USA</t>
        </is>
      </c>
      <c r="E118" t="inlineStr">
        <is>
          <t>GPT-5.4</t>
        </is>
      </c>
      <c r="F118" t="inlineStr">
        <is>
          <t>Frontier (proprietary)</t>
        </is>
      </c>
      <c r="G118" t="inlineStr">
        <is>
          <t>Flagship</t>
        </is>
      </c>
      <c r="H118" t="inlineStr">
        <is>
          <t>Launch</t>
        </is>
      </c>
      <c r="I118" s="6" t="n">
        <v>2.5</v>
      </c>
      <c r="J118" s="6" t="n">
        <v>15</v>
      </c>
      <c r="K118" s="7">
        <f>(3*I118+J118)/4</f>
        <v/>
      </c>
      <c r="L118" t="inlineStr">
        <is>
          <t>OpenAI API</t>
        </is>
      </c>
      <c r="M118" t="inlineStr">
        <is>
          <t>exact</t>
        </is>
      </c>
      <c r="N118" t="inlineStr">
        <is>
          <t>First mainline model with native computer use; 1M context option</t>
        </is>
      </c>
    </row>
    <row r="119">
      <c r="A119" s="5" t="n">
        <v>46086</v>
      </c>
      <c r="B119" t="inlineStr">
        <is>
          <t>2026 Q1</t>
        </is>
      </c>
      <c r="C119" t="inlineStr">
        <is>
          <t>OpenAI</t>
        </is>
      </c>
      <c r="D119" t="inlineStr">
        <is>
          <t>USA</t>
        </is>
      </c>
      <c r="E119" t="inlineStr">
        <is>
          <t>GPT-5.4 Pro</t>
        </is>
      </c>
      <c r="F119" t="inlineStr">
        <is>
          <t>Frontier (proprietary)</t>
        </is>
      </c>
      <c r="G119" t="inlineStr">
        <is>
          <t>Premium reasoning</t>
        </is>
      </c>
      <c r="H119" t="inlineStr">
        <is>
          <t>Launch</t>
        </is>
      </c>
      <c r="I119" s="6" t="n">
        <v>30</v>
      </c>
      <c r="J119" s="6" t="n">
        <v>180</v>
      </c>
      <c r="K119" s="7">
        <f>(3*I119+J119)/4</f>
        <v/>
      </c>
      <c r="L119" t="inlineStr">
        <is>
          <t>OpenAI API</t>
        </is>
      </c>
      <c r="M119" t="inlineStr">
        <is>
          <t>exact</t>
        </is>
      </c>
      <c r="N119" t="inlineStr"/>
    </row>
    <row r="120">
      <c r="A120" s="5" t="n">
        <v>46090</v>
      </c>
      <c r="B120" t="inlineStr">
        <is>
          <t>2026 Q1</t>
        </is>
      </c>
      <c r="C120" t="inlineStr">
        <is>
          <t>xAI</t>
        </is>
      </c>
      <c r="D120" t="inlineStr">
        <is>
          <t>USA</t>
        </is>
      </c>
      <c r="E120" t="inlineStr">
        <is>
          <t>Grok 4.20</t>
        </is>
      </c>
      <c r="F120" t="inlineStr">
        <is>
          <t>Frontier (proprietary)</t>
        </is>
      </c>
      <c r="G120" t="inlineStr">
        <is>
          <t>Flagship</t>
        </is>
      </c>
      <c r="H120" t="inlineStr">
        <is>
          <t>Launch</t>
        </is>
      </c>
      <c r="I120" s="6" t="n">
        <v>1.25</v>
      </c>
      <c r="J120" s="6" t="n">
        <v>2.5</v>
      </c>
      <c r="K120" s="7">
        <f>(3*I120+J120)/4</f>
        <v/>
      </c>
      <c r="L120" t="inlineStr">
        <is>
          <t>xAI API</t>
        </is>
      </c>
      <c r="M120" t="inlineStr">
        <is>
          <t>approx</t>
        </is>
      </c>
      <c r="N120" t="inlineStr">
        <is>
          <t>&lt;200K tier (2x above); snapshot id 0309</t>
        </is>
      </c>
    </row>
    <row r="121">
      <c r="A121" s="5" t="n">
        <v>46096</v>
      </c>
      <c r="B121" t="inlineStr">
        <is>
          <t>2026 Q1</t>
        </is>
      </c>
      <c r="C121" t="inlineStr">
        <is>
          <t>Moonshot AI</t>
        </is>
      </c>
      <c r="D121" t="inlineStr">
        <is>
          <t>China</t>
        </is>
      </c>
      <c r="E121" t="inlineStr">
        <is>
          <t>Kimi K2.6</t>
        </is>
      </c>
      <c r="F121" t="inlineStr">
        <is>
          <t>Open-weight</t>
        </is>
      </c>
      <c r="G121" t="inlineStr">
        <is>
          <t>Flagship</t>
        </is>
      </c>
      <c r="H121" t="inlineStr">
        <is>
          <t>Launch</t>
        </is>
      </c>
      <c r="I121" s="6" t="n">
        <v>0.96</v>
      </c>
      <c r="J121" s="6" t="n">
        <v>4</v>
      </c>
      <c r="K121" s="7">
        <f>(3*I121+J121)/4</f>
        <v/>
      </c>
      <c r="L121" t="inlineStr">
        <is>
          <t>Moonshot API (CN, converted)</t>
        </is>
      </c>
      <c r="M121" t="inlineStr">
        <is>
          <t>approx</t>
        </is>
      </c>
      <c r="N121" t="inlineStr">
        <is>
          <t>CNY 6.5/27 per 1M</t>
        </is>
      </c>
    </row>
    <row r="122">
      <c r="A122" s="5" t="n">
        <v>46098</v>
      </c>
      <c r="B122" t="inlineStr">
        <is>
          <t>2026 Q1</t>
        </is>
      </c>
      <c r="C122" t="inlineStr">
        <is>
          <t>OpenAI</t>
        </is>
      </c>
      <c r="D122" t="inlineStr">
        <is>
          <t>USA</t>
        </is>
      </c>
      <c r="E122" t="inlineStr">
        <is>
          <t>GPT-5.4 mini</t>
        </is>
      </c>
      <c r="F122" t="inlineStr">
        <is>
          <t>Frontier (proprietary)</t>
        </is>
      </c>
      <c r="G122" t="inlineStr">
        <is>
          <t>Budget</t>
        </is>
      </c>
      <c r="H122" t="inlineStr">
        <is>
          <t>Launch</t>
        </is>
      </c>
      <c r="I122" s="6" t="n">
        <v>0.75</v>
      </c>
      <c r="J122" s="6" t="n">
        <v>4.5</v>
      </c>
      <c r="K122" s="7">
        <f>(3*I122+J122)/4</f>
        <v/>
      </c>
      <c r="L122" t="inlineStr">
        <is>
          <t>OpenAI API</t>
        </is>
      </c>
      <c r="M122" t="inlineStr">
        <is>
          <t>exact</t>
        </is>
      </c>
      <c r="N122" t="inlineStr"/>
    </row>
    <row r="123">
      <c r="A123" s="5" t="n">
        <v>46098</v>
      </c>
      <c r="B123" t="inlineStr">
        <is>
          <t>2026 Q1</t>
        </is>
      </c>
      <c r="C123" t="inlineStr">
        <is>
          <t>OpenAI</t>
        </is>
      </c>
      <c r="D123" t="inlineStr">
        <is>
          <t>USA</t>
        </is>
      </c>
      <c r="E123" t="inlineStr">
        <is>
          <t>GPT-5.4 nano</t>
        </is>
      </c>
      <c r="F123" t="inlineStr">
        <is>
          <t>Frontier (proprietary)</t>
        </is>
      </c>
      <c r="G123" t="inlineStr">
        <is>
          <t>Tiny</t>
        </is>
      </c>
      <c r="H123" t="inlineStr">
        <is>
          <t>Launch</t>
        </is>
      </c>
      <c r="I123" s="6" t="n">
        <v>0.2</v>
      </c>
      <c r="J123" s="6" t="n">
        <v>1.25</v>
      </c>
      <c r="K123" s="7">
        <f>(3*I123+J123)/4</f>
        <v/>
      </c>
      <c r="L123" t="inlineStr">
        <is>
          <t>OpenAI API</t>
        </is>
      </c>
      <c r="M123" t="inlineStr">
        <is>
          <t>exact</t>
        </is>
      </c>
      <c r="N123" t="inlineStr"/>
    </row>
    <row r="124">
      <c r="A124" s="5" t="n">
        <v>46113</v>
      </c>
      <c r="B124" t="inlineStr">
        <is>
          <t>2026 Q2</t>
        </is>
      </c>
      <c r="C124" t="inlineStr">
        <is>
          <t>Alibaba</t>
        </is>
      </c>
      <c r="D124" t="inlineStr">
        <is>
          <t>China</t>
        </is>
      </c>
      <c r="E124" t="inlineStr">
        <is>
          <t>Qwen3.6 Plus</t>
        </is>
      </c>
      <c r="F124" t="inlineStr">
        <is>
          <t>Frontier (proprietary)</t>
        </is>
      </c>
      <c r="G124" t="inlineStr">
        <is>
          <t>Mid</t>
        </is>
      </c>
      <c r="H124" t="inlineStr">
        <is>
          <t>Launch</t>
        </is>
      </c>
      <c r="I124" s="6" t="n">
        <v>0.325</v>
      </c>
      <c r="J124" s="6" t="n">
        <v>1.95</v>
      </c>
      <c r="K124" s="7">
        <f>(3*I124+J124)/4</f>
        <v/>
      </c>
      <c r="L124" t="inlineStr">
        <is>
          <t>Alibaba Model Studio (intl)</t>
        </is>
      </c>
      <c r="M124" t="inlineStr">
        <is>
          <t>approx</t>
        </is>
      </c>
      <c r="N124" t="inlineStr">
        <is>
          <t>Singapore endpoint; CN cheaper</t>
        </is>
      </c>
    </row>
    <row r="125">
      <c r="A125" s="5" t="n">
        <v>46113</v>
      </c>
      <c r="B125" t="inlineStr">
        <is>
          <t>2026 Q2</t>
        </is>
      </c>
      <c r="C125" t="inlineStr">
        <is>
          <t>Google</t>
        </is>
      </c>
      <c r="D125" t="inlineStr">
        <is>
          <t>USA</t>
        </is>
      </c>
      <c r="E125" t="inlineStr">
        <is>
          <t>Gemini 3.1 Flash-Lite</t>
        </is>
      </c>
      <c r="F125" t="inlineStr">
        <is>
          <t>Frontier (proprietary)</t>
        </is>
      </c>
      <c r="G125" t="inlineStr">
        <is>
          <t>Tiny</t>
        </is>
      </c>
      <c r="H125" t="inlineStr">
        <is>
          <t>Launch</t>
        </is>
      </c>
      <c r="I125" s="6" t="n">
        <v>0.25</v>
      </c>
      <c r="J125" s="6" t="n">
        <v>1.5</v>
      </c>
      <c r="K125" s="7">
        <f>(3*I125+J125)/4</f>
        <v/>
      </c>
      <c r="L125" t="inlineStr">
        <is>
          <t>Gemini API</t>
        </is>
      </c>
      <c r="M125" t="inlineStr">
        <is>
          <t>approx</t>
        </is>
      </c>
      <c r="N125" t="inlineStr"/>
    </row>
    <row r="126">
      <c r="A126" s="5" t="n">
        <v>46127</v>
      </c>
      <c r="B126" t="inlineStr">
        <is>
          <t>2026 Q2</t>
        </is>
      </c>
      <c r="C126" t="inlineStr">
        <is>
          <t>Zhipu AI</t>
        </is>
      </c>
      <c r="D126" t="inlineStr">
        <is>
          <t>China</t>
        </is>
      </c>
      <c r="E126" t="inlineStr">
        <is>
          <t>GLM-5.1</t>
        </is>
      </c>
      <c r="F126" t="inlineStr">
        <is>
          <t>Open-weight</t>
        </is>
      </c>
      <c r="G126" t="inlineStr">
        <is>
          <t>Flagship</t>
        </is>
      </c>
      <c r="H126" t="inlineStr">
        <is>
          <t>Launch</t>
        </is>
      </c>
      <c r="I126" s="6" t="n">
        <v>1.4</v>
      </c>
      <c r="J126" s="6" t="n">
        <v>4.4</v>
      </c>
      <c r="K126" s="7">
        <f>(3*I126+J126)/4</f>
        <v/>
      </c>
      <c r="L126" t="inlineStr">
        <is>
          <t>Z.ai API (intl)</t>
        </is>
      </c>
      <c r="M126" t="inlineStr">
        <is>
          <t>approx</t>
        </is>
      </c>
      <c r="N126" t="inlineStr">
        <is>
          <t>CN CNY 6/24</t>
        </is>
      </c>
    </row>
    <row r="127">
      <c r="A127" s="5" t="n">
        <v>46127</v>
      </c>
      <c r="B127" t="inlineStr">
        <is>
          <t>2026 Q2</t>
        </is>
      </c>
      <c r="C127" t="inlineStr">
        <is>
          <t>xAI</t>
        </is>
      </c>
      <c r="D127" t="inlineStr">
        <is>
          <t>USA</t>
        </is>
      </c>
      <c r="E127" t="inlineStr">
        <is>
          <t>Grok 4.3</t>
        </is>
      </c>
      <c r="F127" t="inlineStr">
        <is>
          <t>Frontier (proprietary)</t>
        </is>
      </c>
      <c r="G127" t="inlineStr">
        <is>
          <t>Flagship</t>
        </is>
      </c>
      <c r="H127" t="inlineStr">
        <is>
          <t>Launch</t>
        </is>
      </c>
      <c r="I127" s="6" t="n">
        <v>1.25</v>
      </c>
      <c r="J127" s="6" t="n">
        <v>2.5</v>
      </c>
      <c r="K127" s="7">
        <f>(3*I127+J127)/4</f>
        <v/>
      </c>
      <c r="L127" t="inlineStr">
        <is>
          <t>xAI API</t>
        </is>
      </c>
      <c r="M127" t="inlineStr">
        <is>
          <t>approx</t>
        </is>
      </c>
      <c r="N127" t="inlineStr">
        <is>
          <t>&lt;200K tier</t>
        </is>
      </c>
    </row>
    <row r="128">
      <c r="A128" s="5" t="n">
        <v>46128</v>
      </c>
      <c r="B128" t="inlineStr">
        <is>
          <t>2026 Q2</t>
        </is>
      </c>
      <c r="C128" t="inlineStr">
        <is>
          <t>Anthropic</t>
        </is>
      </c>
      <c r="D128" t="inlineStr">
        <is>
          <t>USA</t>
        </is>
      </c>
      <c r="E128" t="inlineStr">
        <is>
          <t>Claude Opus 4.7</t>
        </is>
      </c>
      <c r="F128" t="inlineStr">
        <is>
          <t>Frontier (proprietary)</t>
        </is>
      </c>
      <c r="G128" t="inlineStr">
        <is>
          <t>Flagship</t>
        </is>
      </c>
      <c r="H128" t="inlineStr">
        <is>
          <t>Launch</t>
        </is>
      </c>
      <c r="I128" s="6" t="n">
        <v>5</v>
      </c>
      <c r="J128" s="6" t="n">
        <v>25</v>
      </c>
      <c r="K128" s="7">
        <f>(3*I128+J128)/4</f>
        <v/>
      </c>
      <c r="L128" t="inlineStr">
        <is>
          <t>Anthropic API</t>
        </is>
      </c>
      <c r="M128" t="inlineStr">
        <is>
          <t>exact</t>
        </is>
      </c>
      <c r="N128" t="inlineStr"/>
    </row>
    <row r="129">
      <c r="A129" s="5" t="n">
        <v>46136</v>
      </c>
      <c r="B129" t="inlineStr">
        <is>
          <t>2026 Q2</t>
        </is>
      </c>
      <c r="C129" t="inlineStr">
        <is>
          <t>OpenAI</t>
        </is>
      </c>
      <c r="D129" t="inlineStr">
        <is>
          <t>USA</t>
        </is>
      </c>
      <c r="E129" t="inlineStr">
        <is>
          <t>GPT-5.5</t>
        </is>
      </c>
      <c r="F129" t="inlineStr">
        <is>
          <t>Frontier (proprietary)</t>
        </is>
      </c>
      <c r="G129" t="inlineStr">
        <is>
          <t>Flagship</t>
        </is>
      </c>
      <c r="H129" t="inlineStr">
        <is>
          <t>Launch</t>
        </is>
      </c>
      <c r="I129" s="6" t="n">
        <v>5</v>
      </c>
      <c r="J129" s="6" t="n">
        <v>30</v>
      </c>
      <c r="K129" s="7">
        <f>(3*I129+J129)/4</f>
        <v/>
      </c>
      <c r="L129" t="inlineStr">
        <is>
          <t>OpenAI API</t>
        </is>
      </c>
      <c r="M129" t="inlineStr">
        <is>
          <t>exact</t>
        </is>
      </c>
      <c r="N129" t="inlineStr">
        <is>
          <t>API availability 2026-04-24 (announced 04-23)</t>
        </is>
      </c>
    </row>
    <row r="130">
      <c r="A130" s="5" t="n">
        <v>46136</v>
      </c>
      <c r="B130" t="inlineStr">
        <is>
          <t>2026 Q2</t>
        </is>
      </c>
      <c r="C130" t="inlineStr">
        <is>
          <t>OpenAI</t>
        </is>
      </c>
      <c r="D130" t="inlineStr">
        <is>
          <t>USA</t>
        </is>
      </c>
      <c r="E130" t="inlineStr">
        <is>
          <t>GPT-5.5 Pro</t>
        </is>
      </c>
      <c r="F130" t="inlineStr">
        <is>
          <t>Frontier (proprietary)</t>
        </is>
      </c>
      <c r="G130" t="inlineStr">
        <is>
          <t>Premium reasoning</t>
        </is>
      </c>
      <c r="H130" t="inlineStr">
        <is>
          <t>Launch</t>
        </is>
      </c>
      <c r="I130" s="6" t="n">
        <v>30</v>
      </c>
      <c r="J130" s="6" t="n">
        <v>180</v>
      </c>
      <c r="K130" s="7">
        <f>(3*I130+J130)/4</f>
        <v/>
      </c>
      <c r="L130" t="inlineStr">
        <is>
          <t>OpenAI API</t>
        </is>
      </c>
      <c r="M130" t="inlineStr">
        <is>
          <t>exact</t>
        </is>
      </c>
      <c r="N130" t="inlineStr"/>
    </row>
    <row r="131">
      <c r="A131" s="5" t="n">
        <v>46143</v>
      </c>
      <c r="B131" t="inlineStr">
        <is>
          <t>2026 Q2</t>
        </is>
      </c>
      <c r="C131" t="inlineStr">
        <is>
          <t>DeepSeek</t>
        </is>
      </c>
      <c r="D131" t="inlineStr">
        <is>
          <t>China</t>
        </is>
      </c>
      <c r="E131" t="inlineStr">
        <is>
          <t>DeepSeek V4 Flash</t>
        </is>
      </c>
      <c r="F131" t="inlineStr">
        <is>
          <t>Open-weight</t>
        </is>
      </c>
      <c r="G131" t="inlineStr">
        <is>
          <t>Mid</t>
        </is>
      </c>
      <c r="H131" t="inlineStr">
        <is>
          <t>Launch</t>
        </is>
      </c>
      <c r="I131" s="6" t="n">
        <v>0.44</v>
      </c>
      <c r="J131" s="6" t="n">
        <v>1.33</v>
      </c>
      <c r="K131" s="7">
        <f>(3*I131+J131)/4</f>
        <v/>
      </c>
      <c r="L131" t="inlineStr">
        <is>
          <t>DeepSeek API</t>
        </is>
      </c>
      <c r="M131" t="inlineStr">
        <is>
          <t>approx</t>
        </is>
      </c>
      <c r="N131" t="inlineStr">
        <is>
          <t>CNY 3/9 per 1M; off-peak 50% off since 2026-08-16 ($0.22/$0.66)</t>
        </is>
      </c>
    </row>
    <row r="132">
      <c r="A132" s="5" t="n">
        <v>46157</v>
      </c>
      <c r="B132" t="inlineStr">
        <is>
          <t>2026 Q2</t>
        </is>
      </c>
      <c r="C132" t="inlineStr">
        <is>
          <t>xAI</t>
        </is>
      </c>
      <c r="D132" t="inlineStr">
        <is>
          <t>USA</t>
        </is>
      </c>
      <c r="E132" t="inlineStr">
        <is>
          <t>Grok 4.5</t>
        </is>
      </c>
      <c r="F132" t="inlineStr">
        <is>
          <t>Frontier (proprietary)</t>
        </is>
      </c>
      <c r="G132" t="inlineStr">
        <is>
          <t>Flagship</t>
        </is>
      </c>
      <c r="H132" t="inlineStr">
        <is>
          <t>Launch</t>
        </is>
      </c>
      <c r="I132" s="6" t="n">
        <v>2</v>
      </c>
      <c r="J132" s="6" t="n">
        <v>6</v>
      </c>
      <c r="K132" s="7">
        <f>(3*I132+J132)/4</f>
        <v/>
      </c>
      <c r="L132" t="inlineStr">
        <is>
          <t>xAI API</t>
        </is>
      </c>
      <c r="M132" t="inlineStr">
        <is>
          <t>approx</t>
        </is>
      </c>
      <c r="N132" t="inlineStr">
        <is>
          <t>&lt;200K tier (2x above)</t>
        </is>
      </c>
    </row>
    <row r="133">
      <c r="A133" s="5" t="n">
        <v>46161</v>
      </c>
      <c r="B133" t="inlineStr">
        <is>
          <t>2026 Q2</t>
        </is>
      </c>
      <c r="C133" t="inlineStr">
        <is>
          <t>Google</t>
        </is>
      </c>
      <c r="D133" t="inlineStr">
        <is>
          <t>USA</t>
        </is>
      </c>
      <c r="E133" t="inlineStr">
        <is>
          <t>Gemini 3.5 Flash</t>
        </is>
      </c>
      <c r="F133" t="inlineStr">
        <is>
          <t>Frontier (proprietary)</t>
        </is>
      </c>
      <c r="G133" t="inlineStr">
        <is>
          <t>Budget</t>
        </is>
      </c>
      <c r="H133" t="inlineStr">
        <is>
          <t>Launch</t>
        </is>
      </c>
      <c r="I133" s="6" t="n">
        <v>1.5</v>
      </c>
      <c r="J133" s="6" t="n">
        <v>9</v>
      </c>
      <c r="K133" s="7">
        <f>(3*I133+J133)/4</f>
        <v/>
      </c>
      <c r="L133" t="inlineStr">
        <is>
          <t>Gemini API</t>
        </is>
      </c>
      <c r="M133" t="inlineStr">
        <is>
          <t>exact</t>
        </is>
      </c>
      <c r="N133" t="inlineStr">
        <is>
          <t>Price INCREASE vs 3 Flash; positioned above 3.1 Pro on coding</t>
        </is>
      </c>
    </row>
    <row r="134">
      <c r="A134" s="5" t="n">
        <v>46162</v>
      </c>
      <c r="B134" t="inlineStr">
        <is>
          <t>2026 Q2</t>
        </is>
      </c>
      <c r="C134" t="inlineStr">
        <is>
          <t>Alibaba</t>
        </is>
      </c>
      <c r="D134" t="inlineStr">
        <is>
          <t>China</t>
        </is>
      </c>
      <c r="E134" t="inlineStr">
        <is>
          <t>Qwen3.7 Max</t>
        </is>
      </c>
      <c r="F134" t="inlineStr">
        <is>
          <t>Frontier (proprietary)</t>
        </is>
      </c>
      <c r="G134" t="inlineStr">
        <is>
          <t>Flagship</t>
        </is>
      </c>
      <c r="H134" t="inlineStr">
        <is>
          <t>Launch</t>
        </is>
      </c>
      <c r="I134" s="6" t="n">
        <v>1.78</v>
      </c>
      <c r="J134" s="6" t="n">
        <v>5.34</v>
      </c>
      <c r="K134" s="7">
        <f>(3*I134+J134)/4</f>
        <v/>
      </c>
      <c r="L134" t="inlineStr">
        <is>
          <t>Alibaba Model Studio (CN, converted)</t>
        </is>
      </c>
      <c r="M134" t="inlineStr">
        <is>
          <t>exact</t>
        </is>
      </c>
      <c r="N134" t="inlineStr">
        <is>
          <t>CNY 12/36 per 1M at ~6.75 CNY/USD</t>
        </is>
      </c>
    </row>
    <row r="135">
      <c r="A135" s="5" t="n">
        <v>46174</v>
      </c>
      <c r="B135" t="inlineStr">
        <is>
          <t>2026 Q2</t>
        </is>
      </c>
      <c r="C135" t="inlineStr">
        <is>
          <t>Anthropic</t>
        </is>
      </c>
      <c r="D135" t="inlineStr">
        <is>
          <t>USA</t>
        </is>
      </c>
      <c r="E135" t="inlineStr">
        <is>
          <t>Claude Opus 4.8</t>
        </is>
      </c>
      <c r="F135" t="inlineStr">
        <is>
          <t>Frontier (proprietary)</t>
        </is>
      </c>
      <c r="G135" t="inlineStr">
        <is>
          <t>Flagship</t>
        </is>
      </c>
      <c r="H135" t="inlineStr">
        <is>
          <t>Launch</t>
        </is>
      </c>
      <c r="I135" s="6" t="n">
        <v>5</v>
      </c>
      <c r="J135" s="6" t="n">
        <v>25</v>
      </c>
      <c r="K135" s="7">
        <f>(3*I135+J135)/4</f>
        <v/>
      </c>
      <c r="L135" t="inlineStr">
        <is>
          <t>Anthropic API</t>
        </is>
      </c>
      <c r="M135" t="inlineStr">
        <is>
          <t>approx</t>
        </is>
      </c>
      <c r="N135" t="inlineStr"/>
    </row>
    <row r="136">
      <c r="A136" s="5" t="n">
        <v>46174</v>
      </c>
      <c r="B136" t="inlineStr">
        <is>
          <t>2026 Q2</t>
        </is>
      </c>
      <c r="C136" t="inlineStr">
        <is>
          <t>Google</t>
        </is>
      </c>
      <c r="D136" t="inlineStr">
        <is>
          <t>USA</t>
        </is>
      </c>
      <c r="E136" t="inlineStr">
        <is>
          <t>Gemini 3.5 Flash-Lite</t>
        </is>
      </c>
      <c r="F136" t="inlineStr">
        <is>
          <t>Frontier (proprietary)</t>
        </is>
      </c>
      <c r="G136" t="inlineStr">
        <is>
          <t>Tiny</t>
        </is>
      </c>
      <c r="H136" t="inlineStr">
        <is>
          <t>Launch</t>
        </is>
      </c>
      <c r="I136" s="6" t="n">
        <v>0.3</v>
      </c>
      <c r="J136" s="6" t="n">
        <v>2.5</v>
      </c>
      <c r="K136" s="7">
        <f>(3*I136+J136)/4</f>
        <v/>
      </c>
      <c r="L136" t="inlineStr">
        <is>
          <t>Gemini API</t>
        </is>
      </c>
      <c r="M136" t="inlineStr">
        <is>
          <t>approx</t>
        </is>
      </c>
      <c r="N136" t="inlineStr"/>
    </row>
    <row r="137">
      <c r="A137" s="5" t="n">
        <v>46174</v>
      </c>
      <c r="B137" t="inlineStr">
        <is>
          <t>2026 Q2</t>
        </is>
      </c>
      <c r="C137" t="inlineStr">
        <is>
          <t>Mistral AI</t>
        </is>
      </c>
      <c r="D137" t="inlineStr">
        <is>
          <t>France</t>
        </is>
      </c>
      <c r="E137" t="inlineStr">
        <is>
          <t>Mistral Medium 3.5</t>
        </is>
      </c>
      <c r="F137" t="inlineStr">
        <is>
          <t>Frontier (proprietary)</t>
        </is>
      </c>
      <c r="G137" t="inlineStr">
        <is>
          <t>Mid</t>
        </is>
      </c>
      <c r="H137" t="inlineStr">
        <is>
          <t>Launch</t>
        </is>
      </c>
      <c r="I137" s="6" t="n">
        <v>1.5</v>
      </c>
      <c r="J137" s="6" t="n">
        <v>7.5</v>
      </c>
      <c r="K137" s="7">
        <f>(3*I137+J137)/4</f>
        <v/>
      </c>
      <c r="L137" t="inlineStr">
        <is>
          <t>La Plateforme</t>
        </is>
      </c>
      <c r="M137" t="inlineStr">
        <is>
          <t>approx</t>
        </is>
      </c>
      <c r="N137" t="inlineStr"/>
    </row>
    <row r="138">
      <c r="A138" s="5" t="n">
        <v>46182</v>
      </c>
      <c r="B138" t="inlineStr">
        <is>
          <t>2026 Q2</t>
        </is>
      </c>
      <c r="C138" t="inlineStr">
        <is>
          <t>Anthropic</t>
        </is>
      </c>
      <c r="D138" t="inlineStr">
        <is>
          <t>USA</t>
        </is>
      </c>
      <c r="E138" t="inlineStr">
        <is>
          <t>Claude Fable 5</t>
        </is>
      </c>
      <c r="F138" t="inlineStr">
        <is>
          <t>Frontier (proprietary)</t>
        </is>
      </c>
      <c r="G138" t="inlineStr">
        <is>
          <t>Premium</t>
        </is>
      </c>
      <c r="H138" t="inlineStr">
        <is>
          <t>Launch</t>
        </is>
      </c>
      <c r="I138" s="6" t="n">
        <v>10</v>
      </c>
      <c r="J138" s="6" t="n">
        <v>50</v>
      </c>
      <c r="K138" s="7">
        <f>(3*I138+J138)/4</f>
        <v/>
      </c>
      <c r="L138" t="inlineStr">
        <is>
          <t>Anthropic API</t>
        </is>
      </c>
      <c r="M138" t="inlineStr">
        <is>
          <t>exact</t>
        </is>
      </c>
      <c r="N138" t="inlineStr">
        <is>
          <t>Premium agentic tier above Opus; Mythos 5 (limited availability) same price</t>
        </is>
      </c>
    </row>
    <row r="139">
      <c r="A139" s="5" t="n">
        <v>46188</v>
      </c>
      <c r="B139" t="inlineStr">
        <is>
          <t>2026 Q2</t>
        </is>
      </c>
      <c r="C139" t="inlineStr">
        <is>
          <t>MiniMax</t>
        </is>
      </c>
      <c r="D139" t="inlineStr">
        <is>
          <t>China</t>
        </is>
      </c>
      <c r="E139" t="inlineStr">
        <is>
          <t>MiniMax M3</t>
        </is>
      </c>
      <c r="F139" t="inlineStr">
        <is>
          <t>Open-weight</t>
        </is>
      </c>
      <c r="G139" t="inlineStr">
        <is>
          <t>Flagship</t>
        </is>
      </c>
      <c r="H139" t="inlineStr">
        <is>
          <t>Launch</t>
        </is>
      </c>
      <c r="I139" s="6" t="n">
        <v>0.3</v>
      </c>
      <c r="J139" s="6" t="n">
        <v>1.2</v>
      </c>
      <c r="K139" s="7">
        <f>(3*I139+J139)/4</f>
        <v/>
      </c>
      <c r="L139" t="inlineStr">
        <is>
          <t>MiniMax API</t>
        </is>
      </c>
      <c r="M139" t="inlineStr">
        <is>
          <t>approx</t>
        </is>
      </c>
      <c r="N139" t="inlineStr">
        <is>
          <t>&lt;=512K tier (2x above)</t>
        </is>
      </c>
    </row>
    <row r="140">
      <c r="A140" s="5" t="n">
        <v>46188</v>
      </c>
      <c r="B140" t="inlineStr">
        <is>
          <t>2026 Q2</t>
        </is>
      </c>
      <c r="C140" t="inlineStr">
        <is>
          <t>Zhipu AI</t>
        </is>
      </c>
      <c r="D140" t="inlineStr">
        <is>
          <t>China</t>
        </is>
      </c>
      <c r="E140" t="inlineStr">
        <is>
          <t>GLM-5.2</t>
        </is>
      </c>
      <c r="F140" t="inlineStr">
        <is>
          <t>Open-weight</t>
        </is>
      </c>
      <c r="G140" t="inlineStr">
        <is>
          <t>Flagship</t>
        </is>
      </c>
      <c r="H140" t="inlineStr">
        <is>
          <t>Launch</t>
        </is>
      </c>
      <c r="I140" s="6" t="n">
        <v>1.4</v>
      </c>
      <c r="J140" s="6" t="n">
        <v>4.4</v>
      </c>
      <c r="K140" s="7">
        <f>(3*I140+J140)/4</f>
        <v/>
      </c>
      <c r="L140" t="inlineStr">
        <is>
          <t>Z.ai API (intl)</t>
        </is>
      </c>
      <c r="M140" t="inlineStr">
        <is>
          <t>approx</t>
        </is>
      </c>
      <c r="N140" t="inlineStr">
        <is>
          <t>MIT-licensed open weights; CN CNY 8/28</t>
        </is>
      </c>
    </row>
    <row r="141">
      <c r="A141" s="5" t="n">
        <v>46203</v>
      </c>
      <c r="B141" t="inlineStr">
        <is>
          <t>2026 Q2</t>
        </is>
      </c>
      <c r="C141" t="inlineStr">
        <is>
          <t>Anthropic</t>
        </is>
      </c>
      <c r="D141" t="inlineStr">
        <is>
          <t>USA</t>
        </is>
      </c>
      <c r="E141" t="inlineStr">
        <is>
          <t>Claude Sonnet 5</t>
        </is>
      </c>
      <c r="F141" t="inlineStr">
        <is>
          <t>Frontier (proprietary)</t>
        </is>
      </c>
      <c r="G141" t="inlineStr">
        <is>
          <t>Mid</t>
        </is>
      </c>
      <c r="H141" t="inlineStr">
        <is>
          <t>Launch</t>
        </is>
      </c>
      <c r="I141" s="6" t="n">
        <v>2</v>
      </c>
      <c r="J141" s="6" t="n">
        <v>10</v>
      </c>
      <c r="K141" s="7">
        <f>(3*I141+J141)/4</f>
        <v/>
      </c>
      <c r="L141" t="inlineStr">
        <is>
          <t>Anthropic API</t>
        </is>
      </c>
      <c r="M141" t="inlineStr">
        <is>
          <t>exact</t>
        </is>
      </c>
      <c r="N141" t="inlineStr">
        <is>
          <t>Intro price made standard on 2026-08-10; scheduled rise to $3/$15 cancelled</t>
        </is>
      </c>
    </row>
    <row r="142">
      <c r="A142" s="5" t="n">
        <v>46204</v>
      </c>
      <c r="B142" t="inlineStr">
        <is>
          <t>2026 Q3</t>
        </is>
      </c>
      <c r="C142" t="inlineStr">
        <is>
          <t>xAI</t>
        </is>
      </c>
      <c r="D142" t="inlineStr">
        <is>
          <t>USA</t>
        </is>
      </c>
      <c r="E142" t="inlineStr">
        <is>
          <t>Grok Build 0.1</t>
        </is>
      </c>
      <c r="F142" t="inlineStr">
        <is>
          <t>Frontier (proprietary)</t>
        </is>
      </c>
      <c r="G142" t="inlineStr">
        <is>
          <t>Budget</t>
        </is>
      </c>
      <c r="H142" t="inlineStr">
        <is>
          <t>Launch</t>
        </is>
      </c>
      <c r="I142" s="6" t="n">
        <v>1</v>
      </c>
      <c r="J142" s="6" t="n">
        <v>2</v>
      </c>
      <c r="K142" s="7">
        <f>(3*I142+J142)/4</f>
        <v/>
      </c>
      <c r="L142" t="inlineStr">
        <is>
          <t>xAI API</t>
        </is>
      </c>
      <c r="M142" t="inlineStr">
        <is>
          <t>approx</t>
        </is>
      </c>
      <c r="N142" t="inlineStr">
        <is>
          <t>Coding/app-building model</t>
        </is>
      </c>
    </row>
    <row r="143">
      <c r="A143" s="5" t="n">
        <v>46212</v>
      </c>
      <c r="B143" t="inlineStr">
        <is>
          <t>2026 Q3</t>
        </is>
      </c>
      <c r="C143" t="inlineStr">
        <is>
          <t>OpenAI</t>
        </is>
      </c>
      <c r="D143" t="inlineStr">
        <is>
          <t>USA</t>
        </is>
      </c>
      <c r="E143" t="inlineStr">
        <is>
          <t>GPT-5.6 Luna</t>
        </is>
      </c>
      <c r="F143" t="inlineStr">
        <is>
          <t>Frontier (proprietary)</t>
        </is>
      </c>
      <c r="G143" t="inlineStr">
        <is>
          <t>Budget</t>
        </is>
      </c>
      <c r="H143" t="inlineStr">
        <is>
          <t>Launch</t>
        </is>
      </c>
      <c r="I143" s="6" t="n">
        <v>1</v>
      </c>
      <c r="J143" s="6" t="n">
        <v>6</v>
      </c>
      <c r="K143" s="7">
        <f>(3*I143+J143)/4</f>
        <v/>
      </c>
      <c r="L143" t="inlineStr">
        <is>
          <t>OpenAI API</t>
        </is>
      </c>
      <c r="M143" t="inlineStr">
        <is>
          <t>exact</t>
        </is>
      </c>
      <c r="N143" t="inlineStr"/>
    </row>
    <row r="144">
      <c r="A144" s="5" t="n">
        <v>46212</v>
      </c>
      <c r="B144" t="inlineStr">
        <is>
          <t>2026 Q3</t>
        </is>
      </c>
      <c r="C144" t="inlineStr">
        <is>
          <t>OpenAI</t>
        </is>
      </c>
      <c r="D144" t="inlineStr">
        <is>
          <t>USA</t>
        </is>
      </c>
      <c r="E144" t="inlineStr">
        <is>
          <t>GPT-5.6 Sol</t>
        </is>
      </c>
      <c r="F144" t="inlineStr">
        <is>
          <t>Frontier (proprietary)</t>
        </is>
      </c>
      <c r="G144" t="inlineStr">
        <is>
          <t>Flagship</t>
        </is>
      </c>
      <c r="H144" t="inlineStr">
        <is>
          <t>Launch</t>
        </is>
      </c>
      <c r="I144" s="6" t="n">
        <v>5</v>
      </c>
      <c r="J144" s="6" t="n">
        <v>30</v>
      </c>
      <c r="K144" s="7">
        <f>(3*I144+J144)/4</f>
        <v/>
      </c>
      <c r="L144" t="inlineStr">
        <is>
          <t>OpenAI API</t>
        </is>
      </c>
      <c r="M144" t="inlineStr">
        <is>
          <t>exact</t>
        </is>
      </c>
      <c r="N144" t="inlineStr">
        <is>
          <t>GA 2026-07-09 after limited preview from 06-26; 1.05M context</t>
        </is>
      </c>
    </row>
    <row r="145">
      <c r="A145" s="5" t="n">
        <v>46212</v>
      </c>
      <c r="B145" t="inlineStr">
        <is>
          <t>2026 Q3</t>
        </is>
      </c>
      <c r="C145" t="inlineStr">
        <is>
          <t>OpenAI</t>
        </is>
      </c>
      <c r="D145" t="inlineStr">
        <is>
          <t>USA</t>
        </is>
      </c>
      <c r="E145" t="inlineStr">
        <is>
          <t>GPT-5.6 Terra</t>
        </is>
      </c>
      <c r="F145" t="inlineStr">
        <is>
          <t>Frontier (proprietary)</t>
        </is>
      </c>
      <c r="G145" t="inlineStr">
        <is>
          <t>Mid</t>
        </is>
      </c>
      <c r="H145" t="inlineStr">
        <is>
          <t>Launch</t>
        </is>
      </c>
      <c r="I145" s="6" t="n">
        <v>2.5</v>
      </c>
      <c r="J145" s="6" t="n">
        <v>15</v>
      </c>
      <c r="K145" s="7">
        <f>(3*I145+J145)/4</f>
        <v/>
      </c>
      <c r="L145" t="inlineStr">
        <is>
          <t>OpenAI API</t>
        </is>
      </c>
      <c r="M145" t="inlineStr">
        <is>
          <t>exact</t>
        </is>
      </c>
      <c r="N145" t="inlineStr"/>
    </row>
    <row r="146">
      <c r="A146" s="5" t="n">
        <v>46218</v>
      </c>
      <c r="B146" t="inlineStr">
        <is>
          <t>2026 Q3</t>
        </is>
      </c>
      <c r="C146" t="inlineStr">
        <is>
          <t>Google</t>
        </is>
      </c>
      <c r="D146" t="inlineStr">
        <is>
          <t>USA</t>
        </is>
      </c>
      <c r="E146" t="inlineStr">
        <is>
          <t>Gemini 3.6 Flash</t>
        </is>
      </c>
      <c r="F146" t="inlineStr">
        <is>
          <t>Frontier (proprietary)</t>
        </is>
      </c>
      <c r="G146" t="inlineStr">
        <is>
          <t>Budget</t>
        </is>
      </c>
      <c r="H146" t="inlineStr">
        <is>
          <t>Launch</t>
        </is>
      </c>
      <c r="I146" s="6" t="n">
        <v>1.5</v>
      </c>
      <c r="J146" s="6" t="n">
        <v>7.5</v>
      </c>
      <c r="K146" s="7">
        <f>(3*I146+J146)/4</f>
        <v/>
      </c>
      <c r="L146" t="inlineStr">
        <is>
          <t>Gemini API</t>
        </is>
      </c>
      <c r="M146" t="inlineStr">
        <is>
          <t>approx</t>
        </is>
      </c>
      <c r="N146" t="inlineStr"/>
    </row>
    <row r="147">
      <c r="A147" s="5" t="n">
        <v>46219</v>
      </c>
      <c r="B147" t="inlineStr">
        <is>
          <t>2026 Q3</t>
        </is>
      </c>
      <c r="C147" t="inlineStr">
        <is>
          <t>Moonshot AI</t>
        </is>
      </c>
      <c r="D147" t="inlineStr">
        <is>
          <t>China</t>
        </is>
      </c>
      <c r="E147" t="inlineStr">
        <is>
          <t>Kimi K3</t>
        </is>
      </c>
      <c r="F147" t="inlineStr">
        <is>
          <t>Open-weight</t>
        </is>
      </c>
      <c r="G147" t="inlineStr">
        <is>
          <t>Flagship</t>
        </is>
      </c>
      <c r="H147" t="inlineStr">
        <is>
          <t>Launch</t>
        </is>
      </c>
      <c r="I147" s="6" t="n">
        <v>3</v>
      </c>
      <c r="J147" s="6" t="n">
        <v>15</v>
      </c>
      <c r="K147" s="7">
        <f>(3*I147+J147)/4</f>
        <v/>
      </c>
      <c r="L147" t="inlineStr">
        <is>
          <t>Moonshot API</t>
        </is>
      </c>
      <c r="M147" t="inlineStr">
        <is>
          <t>exact</t>
        </is>
      </c>
      <c r="N147" t="inlineStr">
        <is>
          <t>2.8T-param flagship, 1M context; CNY 20/100; most expensive open-weight launch to date</t>
        </is>
      </c>
    </row>
    <row r="148">
      <c r="A148" s="5" t="n">
        <v>46227</v>
      </c>
      <c r="B148" t="inlineStr">
        <is>
          <t>2026 Q3</t>
        </is>
      </c>
      <c r="C148" t="inlineStr">
        <is>
          <t>Anthropic</t>
        </is>
      </c>
      <c r="D148" t="inlineStr">
        <is>
          <t>USA</t>
        </is>
      </c>
      <c r="E148" t="inlineStr">
        <is>
          <t>Claude Opus 5</t>
        </is>
      </c>
      <c r="F148" t="inlineStr">
        <is>
          <t>Frontier (proprietary)</t>
        </is>
      </c>
      <c r="G148" t="inlineStr">
        <is>
          <t>Flagship</t>
        </is>
      </c>
      <c r="H148" t="inlineStr">
        <is>
          <t>Launch</t>
        </is>
      </c>
      <c r="I148" s="6" t="n">
        <v>5</v>
      </c>
      <c r="J148" s="6" t="n">
        <v>25</v>
      </c>
      <c r="K148" s="7">
        <f>(3*I148+J148)/4</f>
        <v/>
      </c>
      <c r="L148" t="inlineStr">
        <is>
          <t>Anthropic API</t>
        </is>
      </c>
      <c r="M148" t="inlineStr">
        <is>
          <t>exact</t>
        </is>
      </c>
      <c r="N148" t="inlineStr">
        <is>
          <t>1M context default</t>
        </is>
      </c>
    </row>
    <row r="149">
      <c r="A149" s="5" t="n">
        <v>46233</v>
      </c>
      <c r="B149" t="inlineStr">
        <is>
          <t>2026 Q3</t>
        </is>
      </c>
      <c r="C149" t="inlineStr">
        <is>
          <t>OpenAI</t>
        </is>
      </c>
      <c r="D149" t="inlineStr">
        <is>
          <t>USA</t>
        </is>
      </c>
      <c r="E149" t="inlineStr">
        <is>
          <t>GPT-5.6 Luna</t>
        </is>
      </c>
      <c r="F149" t="inlineStr">
        <is>
          <t>Frontier (proprietary)</t>
        </is>
      </c>
      <c r="G149" t="inlineStr">
        <is>
          <t>Budget</t>
        </is>
      </c>
      <c r="H149" t="inlineStr">
        <is>
          <t>Price cut</t>
        </is>
      </c>
      <c r="I149" s="6" t="n">
        <v>0.2</v>
      </c>
      <c r="J149" s="6" t="n">
        <v>1.2</v>
      </c>
      <c r="K149" s="7">
        <f>(3*I149+J149)/4</f>
        <v/>
      </c>
      <c r="L149" t="inlineStr">
        <is>
          <t>OpenAI API</t>
        </is>
      </c>
      <c r="M149" t="inlineStr">
        <is>
          <t>exact</t>
        </is>
      </c>
      <c r="N149" t="inlineStr">
        <is>
          <t>80% cut</t>
        </is>
      </c>
    </row>
    <row r="150">
      <c r="A150" s="5" t="n">
        <v>46233</v>
      </c>
      <c r="B150" t="inlineStr">
        <is>
          <t>2026 Q3</t>
        </is>
      </c>
      <c r="C150" t="inlineStr">
        <is>
          <t>OpenAI</t>
        </is>
      </c>
      <c r="D150" t="inlineStr">
        <is>
          <t>USA</t>
        </is>
      </c>
      <c r="E150" t="inlineStr">
        <is>
          <t>GPT-5.6 Terra</t>
        </is>
      </c>
      <c r="F150" t="inlineStr">
        <is>
          <t>Frontier (proprietary)</t>
        </is>
      </c>
      <c r="G150" t="inlineStr">
        <is>
          <t>Mid</t>
        </is>
      </c>
      <c r="H150" t="inlineStr">
        <is>
          <t>Price cut</t>
        </is>
      </c>
      <c r="I150" s="6" t="n">
        <v>2</v>
      </c>
      <c r="J150" s="6" t="n">
        <v>12</v>
      </c>
      <c r="K150" s="7">
        <f>(3*I150+J150)/4</f>
        <v/>
      </c>
      <c r="L150" t="inlineStr">
        <is>
          <t>OpenAI API</t>
        </is>
      </c>
      <c r="M150" t="inlineStr">
        <is>
          <t>exact</t>
        </is>
      </c>
      <c r="N150" t="inlineStr">
        <is>
          <t>20% cut</t>
        </is>
      </c>
    </row>
    <row r="151">
      <c r="A151" s="5" t="n">
        <v>46235</v>
      </c>
      <c r="B151" t="inlineStr">
        <is>
          <t>2026 Q3</t>
        </is>
      </c>
      <c r="C151" t="inlineStr">
        <is>
          <t>Meta</t>
        </is>
      </c>
      <c r="D151" t="inlineStr">
        <is>
          <t>USA</t>
        </is>
      </c>
      <c r="E151" t="inlineStr">
        <is>
          <t>Llama 4 Maverick</t>
        </is>
      </c>
      <c r="F151" t="inlineStr">
        <is>
          <t>Open-weight</t>
        </is>
      </c>
      <c r="G151" t="inlineStr">
        <is>
          <t>Flagship</t>
        </is>
      </c>
      <c r="H151" t="inlineStr">
        <is>
          <t>Host price decline</t>
        </is>
      </c>
      <c r="I151" s="6" t="n">
        <v>0.15</v>
      </c>
      <c r="J151" s="6" t="n">
        <v>0.6</v>
      </c>
      <c r="K151" s="7">
        <f>(3*I151+J151)/4</f>
        <v/>
      </c>
      <c r="L151" t="inlineStr">
        <is>
          <t>Cheapest tracked host (DeepInfra)</t>
        </is>
      </c>
      <c r="M151" t="inlineStr">
        <is>
          <t>approx</t>
        </is>
      </c>
      <c r="N151" t="inlineStr"/>
    </row>
    <row r="152">
      <c r="A152" s="5" t="n">
        <v>46235</v>
      </c>
      <c r="B152" t="inlineStr">
        <is>
          <t>2026 Q3</t>
        </is>
      </c>
      <c r="C152" t="inlineStr">
        <is>
          <t>Meta</t>
        </is>
      </c>
      <c r="D152" t="inlineStr">
        <is>
          <t>USA</t>
        </is>
      </c>
      <c r="E152" t="inlineStr">
        <is>
          <t>Llama 4 Scout</t>
        </is>
      </c>
      <c r="F152" t="inlineStr">
        <is>
          <t>Open-weight</t>
        </is>
      </c>
      <c r="G152" t="inlineStr">
        <is>
          <t>Small</t>
        </is>
      </c>
      <c r="H152" t="inlineStr">
        <is>
          <t>Host price decline</t>
        </is>
      </c>
      <c r="I152" s="6" t="n">
        <v>0.08</v>
      </c>
      <c r="J152" s="6" t="n">
        <v>0.3</v>
      </c>
      <c r="K152" s="7">
        <f>(3*I152+J152)/4</f>
        <v/>
      </c>
      <c r="L152" t="inlineStr">
        <is>
          <t>Cheapest tracked host</t>
        </is>
      </c>
      <c r="M152" t="inlineStr">
        <is>
          <t>approx</t>
        </is>
      </c>
      <c r="N152" t="inlineStr">
        <is>
          <t>Together/DeepInfra tier, Aug 2026</t>
        </is>
      </c>
    </row>
    <row r="153">
      <c r="A153" s="5" t="n">
        <v>46235</v>
      </c>
      <c r="B153" t="inlineStr">
        <is>
          <t>2026 Q3</t>
        </is>
      </c>
      <c r="C153" t="inlineStr">
        <is>
          <t>Meta</t>
        </is>
      </c>
      <c r="D153" t="inlineStr">
        <is>
          <t>USA</t>
        </is>
      </c>
      <c r="E153" t="inlineStr">
        <is>
          <t>Muse Spark 1.2</t>
        </is>
      </c>
      <c r="F153" t="inlineStr">
        <is>
          <t>Frontier (proprietary)</t>
        </is>
      </c>
      <c r="G153" t="inlineStr">
        <is>
          <t>Mid</t>
        </is>
      </c>
      <c r="H153" t="inlineStr">
        <is>
          <t>Launch</t>
        </is>
      </c>
      <c r="I153" s="6" t="n">
        <v>1.25</v>
      </c>
      <c r="J153" s="6" t="n">
        <v>4.25</v>
      </c>
      <c r="K153" s="7">
        <f>(3*I153+J153)/4</f>
        <v/>
      </c>
      <c r="L153" t="inlineStr">
        <is>
          <t>Meta Model API (public preview)</t>
        </is>
      </c>
      <c r="M153" t="inlineStr">
        <is>
          <t>approx</t>
        </is>
      </c>
      <c r="N153" t="inlineStr">
        <is>
          <t>Meta's proprietary frontier line; Muse Spark 1.0 launched 2026-04-08</t>
        </is>
      </c>
    </row>
    <row r="154">
      <c r="A154" s="5" t="n">
        <v>46244</v>
      </c>
      <c r="B154" t="inlineStr">
        <is>
          <t>2026 Q3</t>
        </is>
      </c>
      <c r="C154" t="inlineStr">
        <is>
          <t>xAI</t>
        </is>
      </c>
      <c r="D154" t="inlineStr">
        <is>
          <t>USA</t>
        </is>
      </c>
      <c r="E154" t="inlineStr">
        <is>
          <t>Grok 4.6</t>
        </is>
      </c>
      <c r="F154" t="inlineStr">
        <is>
          <t>Frontier (proprietary)</t>
        </is>
      </c>
      <c r="G154" t="inlineStr">
        <is>
          <t>Flagship</t>
        </is>
      </c>
      <c r="H154" t="inlineStr">
        <is>
          <t>Launch</t>
        </is>
      </c>
      <c r="I154" s="6" t="n">
        <v>2</v>
      </c>
      <c r="J154" s="6" t="n">
        <v>6</v>
      </c>
      <c r="K154" s="7">
        <f>(3*I154+J154)/4</f>
        <v/>
      </c>
      <c r="L154" t="inlineStr">
        <is>
          <t>xAI API</t>
        </is>
      </c>
      <c r="M154" t="inlineStr">
        <is>
          <t>approx</t>
        </is>
      </c>
      <c r="N154" t="inlineStr">
        <is>
          <t>&lt;200K tier (2x above); 500K context</t>
        </is>
      </c>
    </row>
    <row r="155">
      <c r="A155" s="5" t="n">
        <v>46247</v>
      </c>
      <c r="B155" t="inlineStr">
        <is>
          <t>2026 Q3</t>
        </is>
      </c>
      <c r="C155" t="inlineStr">
        <is>
          <t>DeepSeek</t>
        </is>
      </c>
      <c r="D155" t="inlineStr">
        <is>
          <t>China</t>
        </is>
      </c>
      <c r="E155" t="inlineStr">
        <is>
          <t>DeepSeek V4 Pro</t>
        </is>
      </c>
      <c r="F155" t="inlineStr">
        <is>
          <t>Open-weight</t>
        </is>
      </c>
      <c r="G155" t="inlineStr">
        <is>
          <t>Flagship</t>
        </is>
      </c>
      <c r="H155" t="inlineStr">
        <is>
          <t>Launch</t>
        </is>
      </c>
      <c r="I155" s="6" t="n">
        <v>1.33</v>
      </c>
      <c r="J155" s="6" t="n">
        <v>4</v>
      </c>
      <c r="K155" s="7">
        <f>(3*I155+J155)/4</f>
        <v/>
      </c>
      <c r="L155" t="inlineStr">
        <is>
          <t>DeepSeek API</t>
        </is>
      </c>
      <c r="M155" t="inlineStr">
        <is>
          <t>exact</t>
        </is>
      </c>
      <c r="N155" t="inlineStr">
        <is>
          <t>CNY 9/27 per 1M; off-peak $0.66/$1.98; snapshot deepseek-v4-pro-0813</t>
        </is>
      </c>
    </row>
    <row r="156">
      <c r="A156" s="5" t="n">
        <v>46249</v>
      </c>
      <c r="B156" t="inlineStr">
        <is>
          <t>2026 Q3</t>
        </is>
      </c>
      <c r="C156" t="inlineStr">
        <is>
          <t>Alibaba</t>
        </is>
      </c>
      <c r="D156" t="inlineStr">
        <is>
          <t>China</t>
        </is>
      </c>
      <c r="E156" t="inlineStr">
        <is>
          <t>Qwen3.8 Max</t>
        </is>
      </c>
      <c r="F156" t="inlineStr">
        <is>
          <t>Frontier (proprietary)</t>
        </is>
      </c>
      <c r="G156" t="inlineStr">
        <is>
          <t>Flagship</t>
        </is>
      </c>
      <c r="H156" t="inlineStr">
        <is>
          <t>Launch</t>
        </is>
      </c>
      <c r="I156" s="6" t="n">
        <v>1.78</v>
      </c>
      <c r="J156" s="6" t="n">
        <v>5.34</v>
      </c>
      <c r="K156" s="7">
        <f>(3*I156+J156)/4</f>
        <v/>
      </c>
      <c r="L156" t="inlineStr">
        <is>
          <t>Alibaba Model Studio (CN, converted)</t>
        </is>
      </c>
      <c r="M156" t="inlineStr">
        <is>
          <t>approx</t>
        </is>
      </c>
      <c r="N156" t="inlineStr">
        <is>
          <t>CNY 12/36; Prime speed tier CNY 24/72</t>
        </is>
      </c>
    </row>
    <row r="157">
      <c r="A157" s="5" t="n">
        <v>46249</v>
      </c>
      <c r="B157" t="inlineStr">
        <is>
          <t>2026 Q3</t>
        </is>
      </c>
      <c r="C157" t="inlineStr">
        <is>
          <t>Zhipu AI</t>
        </is>
      </c>
      <c r="D157" t="inlineStr">
        <is>
          <t>China</t>
        </is>
      </c>
      <c r="E157" t="inlineStr">
        <is>
          <t>GLM-5.3</t>
        </is>
      </c>
      <c r="F157" t="inlineStr">
        <is>
          <t>Open-weight</t>
        </is>
      </c>
      <c r="G157" t="inlineStr">
        <is>
          <t>Flagship</t>
        </is>
      </c>
      <c r="H157" t="inlineStr">
        <is>
          <t>Launch</t>
        </is>
      </c>
      <c r="I157" s="6" t="n">
        <v>1.19</v>
      </c>
      <c r="J157" s="6" t="n">
        <v>4.15</v>
      </c>
      <c r="K157" s="7">
        <f>(3*I157+J157)/4</f>
        <v/>
      </c>
      <c r="L157" t="inlineStr">
        <is>
          <t>Zhipu CN (converted)</t>
        </is>
      </c>
      <c r="M157" t="inlineStr">
        <is>
          <t>approx</t>
        </is>
      </c>
      <c r="N157" t="inlineStr">
        <is>
          <t>CNY 8/28 per 1M at ~6.75 CNY/USD; intl rate not yet listed</t>
        </is>
      </c>
    </row>
    <row r="158">
      <c r="A158" s="5" t="n">
        <v>46255</v>
      </c>
      <c r="B158" t="inlineStr">
        <is>
          <t>2026 Q3</t>
        </is>
      </c>
      <c r="C158" t="inlineStr">
        <is>
          <t>OpenAI</t>
        </is>
      </c>
      <c r="D158" t="inlineStr">
        <is>
          <t>USA</t>
        </is>
      </c>
      <c r="E158" t="inlineStr">
        <is>
          <t>GPT-5.6 Sol</t>
        </is>
      </c>
      <c r="F158" t="inlineStr">
        <is>
          <t>Frontier (proprietary)</t>
        </is>
      </c>
      <c r="G158" t="inlineStr">
        <is>
          <t>Flagship</t>
        </is>
      </c>
      <c r="H158" t="inlineStr">
        <is>
          <t>Promotional cut</t>
        </is>
      </c>
      <c r="I158" s="6" t="n">
        <v>4</v>
      </c>
      <c r="J158" s="6" t="n">
        <v>20</v>
      </c>
      <c r="K158" s="7">
        <f>(3*I158+J158)/4</f>
        <v/>
      </c>
      <c r="L158" t="inlineStr">
        <is>
          <t>OpenAI API</t>
        </is>
      </c>
      <c r="M158" t="inlineStr">
        <is>
          <t>exact</t>
        </is>
      </c>
      <c r="N158" t="inlineStr">
        <is>
          <t>Promo rate through at least 2026-11-21; list remains $5/$30</t>
        </is>
      </c>
    </row>
  </sheetData>
  <autoFilter ref="A1:N1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24" customWidth="1" min="4" max="4"/>
    <col width="20" customWidth="1" min="5" max="5"/>
    <col width="17" customWidth="1" min="6" max="6"/>
    <col width="11" customWidth="1" min="7" max="7"/>
    <col width="11" customWidth="1" min="8" max="8"/>
    <col width="15" customWidth="1" min="9" max="9"/>
    <col width="12" customWidth="1" min="10" max="10"/>
    <col width="30" customWidth="1" min="11" max="11"/>
    <col width="58" customWidth="1" min="12" max="12"/>
  </cols>
  <sheetData>
    <row r="1">
      <c r="A1" s="3" t="inlineStr">
        <is>
          <t>Latest standard list price per model, as of 2026-08-29 - ranked cheapest to most expensive by blended price</t>
        </is>
      </c>
    </row>
    <row r="2" ht="28" customHeight="1">
      <c r="A2" s="4" t="inlineStr">
        <is>
          <t>Rank</t>
        </is>
      </c>
      <c r="B2" s="4" t="inlineStr">
        <is>
          <t>Developer</t>
        </is>
      </c>
      <c r="C2" s="4" t="inlineStr">
        <is>
          <t>Country</t>
        </is>
      </c>
      <c r="D2" s="4" t="inlineStr">
        <is>
          <t>Model</t>
        </is>
      </c>
      <c r="E2" s="4" t="inlineStr">
        <is>
          <t>Class</t>
        </is>
      </c>
      <c r="F2" s="4" t="inlineStr">
        <is>
          <t>Tier</t>
        </is>
      </c>
      <c r="G2" s="4" t="inlineStr">
        <is>
          <t>Input $/1M</t>
        </is>
      </c>
      <c r="H2" s="4" t="inlineStr">
        <is>
          <t>Output $/1M</t>
        </is>
      </c>
      <c r="I2" s="4" t="inlineStr">
        <is>
          <t>Blended $/1M (3:1)</t>
        </is>
      </c>
      <c r="J2" s="4" t="inlineStr">
        <is>
          <t>Price as of</t>
        </is>
      </c>
      <c r="K2" s="4" t="inlineStr">
        <is>
          <t>Pricing basis</t>
        </is>
      </c>
      <c r="L2" s="4" t="inlineStr">
        <is>
          <t>Notes</t>
        </is>
      </c>
    </row>
    <row r="3">
      <c r="A3" t="n">
        <v>1</v>
      </c>
      <c r="B3" t="inlineStr">
        <is>
          <t>Amazon</t>
        </is>
      </c>
      <c r="C3" t="inlineStr">
        <is>
          <t>USA</t>
        </is>
      </c>
      <c r="D3" t="inlineStr">
        <is>
          <t>Nova Micro</t>
        </is>
      </c>
      <c r="E3" t="inlineStr">
        <is>
          <t>Frontier (proprietary)</t>
        </is>
      </c>
      <c r="F3" t="inlineStr">
        <is>
          <t>Tiny</t>
        </is>
      </c>
      <c r="G3" s="6" t="n">
        <v>0.035</v>
      </c>
      <c r="H3" s="6" t="n">
        <v>0.14</v>
      </c>
      <c r="I3" s="7">
        <f>(3*G3+H3)/4</f>
        <v/>
      </c>
      <c r="J3" s="5" t="n">
        <v>45629</v>
      </c>
      <c r="K3" t="inlineStr">
        <is>
          <t>AWS Bedrock</t>
        </is>
      </c>
      <c r="L3" t="inlineStr"/>
    </row>
    <row r="4">
      <c r="A4" t="n">
        <v>2</v>
      </c>
      <c r="B4" t="inlineStr">
        <is>
          <t>OpenAI</t>
        </is>
      </c>
      <c r="C4" t="inlineStr">
        <is>
          <t>USA</t>
        </is>
      </c>
      <c r="D4" t="inlineStr">
        <is>
          <t>gpt-oss-20b</t>
        </is>
      </c>
      <c r="E4" t="inlineStr">
        <is>
          <t>Open-weight</t>
        </is>
      </c>
      <c r="F4" t="inlineStr">
        <is>
          <t>Small</t>
        </is>
      </c>
      <c r="G4" s="6" t="n">
        <v>0.05</v>
      </c>
      <c r="H4" s="6" t="n">
        <v>0.2</v>
      </c>
      <c r="I4" s="7">
        <f>(3*G4+H4)/4</f>
        <v/>
      </c>
      <c r="J4" s="5" t="n">
        <v>45874</v>
      </c>
      <c r="K4" t="inlineStr">
        <is>
          <t>Together AI (reference host)</t>
        </is>
      </c>
      <c r="L4" t="inlineStr">
        <is>
          <t>Apache 2.0</t>
        </is>
      </c>
    </row>
    <row r="5">
      <c r="A5" t="n">
        <v>3</v>
      </c>
      <c r="B5" t="inlineStr">
        <is>
          <t>Amazon</t>
        </is>
      </c>
      <c r="C5" t="inlineStr">
        <is>
          <t>USA</t>
        </is>
      </c>
      <c r="D5" t="inlineStr">
        <is>
          <t>Nova Lite</t>
        </is>
      </c>
      <c r="E5" t="inlineStr">
        <is>
          <t>Frontier (proprietary)</t>
        </is>
      </c>
      <c r="F5" t="inlineStr">
        <is>
          <t>Budget</t>
        </is>
      </c>
      <c r="G5" s="6" t="n">
        <v>0.06</v>
      </c>
      <c r="H5" s="6" t="n">
        <v>0.24</v>
      </c>
      <c r="I5" s="7">
        <f>(3*G5+H5)/4</f>
        <v/>
      </c>
      <c r="J5" s="5" t="n">
        <v>45629</v>
      </c>
      <c r="K5" t="inlineStr">
        <is>
          <t>AWS Bedrock</t>
        </is>
      </c>
      <c r="L5" t="inlineStr"/>
    </row>
    <row r="6">
      <c r="A6" t="n">
        <v>4</v>
      </c>
      <c r="B6" t="inlineStr">
        <is>
          <t>Google</t>
        </is>
      </c>
      <c r="C6" t="inlineStr">
        <is>
          <t>USA</t>
        </is>
      </c>
      <c r="D6" t="inlineStr">
        <is>
          <t>Gemini 1.5 Flash</t>
        </is>
      </c>
      <c r="E6" t="inlineStr">
        <is>
          <t>Frontier (proprietary)</t>
        </is>
      </c>
      <c r="F6" t="inlineStr">
        <is>
          <t>Budget</t>
        </is>
      </c>
      <c r="G6" s="6" t="n">
        <v>0.075</v>
      </c>
      <c r="H6" s="6" t="n">
        <v>0.3</v>
      </c>
      <c r="I6" s="7">
        <f>(3*G6+H6)/4</f>
        <v/>
      </c>
      <c r="J6" s="5" t="n">
        <v>45512</v>
      </c>
      <c r="K6" t="inlineStr">
        <is>
          <t>Gemini API</t>
        </is>
      </c>
      <c r="L6" t="inlineStr">
        <is>
          <t>~78% cut</t>
        </is>
      </c>
    </row>
    <row r="7">
      <c r="A7" t="n">
        <v>5</v>
      </c>
      <c r="B7" t="inlineStr">
        <is>
          <t>Google</t>
        </is>
      </c>
      <c r="C7" t="inlineStr">
        <is>
          <t>USA</t>
        </is>
      </c>
      <c r="D7" t="inlineStr">
        <is>
          <t>Gemini 2.0 Flash-Lite</t>
        </is>
      </c>
      <c r="E7" t="inlineStr">
        <is>
          <t>Frontier (proprietary)</t>
        </is>
      </c>
      <c r="F7" t="inlineStr">
        <is>
          <t>Tiny</t>
        </is>
      </c>
      <c r="G7" s="6" t="n">
        <v>0.075</v>
      </c>
      <c r="H7" s="6" t="n">
        <v>0.3</v>
      </c>
      <c r="I7" s="7">
        <f>(3*G7+H7)/4</f>
        <v/>
      </c>
      <c r="J7" s="5" t="n">
        <v>45713</v>
      </c>
      <c r="K7" t="inlineStr">
        <is>
          <t>Gemini API</t>
        </is>
      </c>
      <c r="L7" t="inlineStr"/>
    </row>
    <row r="8">
      <c r="A8" t="n">
        <v>6</v>
      </c>
      <c r="B8" t="inlineStr">
        <is>
          <t>Meta</t>
        </is>
      </c>
      <c r="C8" t="inlineStr">
        <is>
          <t>USA</t>
        </is>
      </c>
      <c r="D8" t="inlineStr">
        <is>
          <t>Llama 4 Scout</t>
        </is>
      </c>
      <c r="E8" t="inlineStr">
        <is>
          <t>Open-weight</t>
        </is>
      </c>
      <c r="F8" t="inlineStr">
        <is>
          <t>Small</t>
        </is>
      </c>
      <c r="G8" s="6" t="n">
        <v>0.08</v>
      </c>
      <c r="H8" s="6" t="n">
        <v>0.3</v>
      </c>
      <c r="I8" s="7">
        <f>(3*G8+H8)/4</f>
        <v/>
      </c>
      <c r="J8" s="5" t="n">
        <v>46235</v>
      </c>
      <c r="K8" t="inlineStr">
        <is>
          <t>Cheapest tracked host</t>
        </is>
      </c>
      <c r="L8" t="inlineStr">
        <is>
          <t>Together/DeepInfra tier, Aug 2026</t>
        </is>
      </c>
    </row>
    <row r="9">
      <c r="A9" t="n">
        <v>7</v>
      </c>
      <c r="B9" t="inlineStr">
        <is>
          <t>OpenAI</t>
        </is>
      </c>
      <c r="C9" t="inlineStr">
        <is>
          <t>USA</t>
        </is>
      </c>
      <c r="D9" t="inlineStr">
        <is>
          <t>GPT-5 nano</t>
        </is>
      </c>
      <c r="E9" t="inlineStr">
        <is>
          <t>Frontier (proprietary)</t>
        </is>
      </c>
      <c r="F9" t="inlineStr">
        <is>
          <t>Tiny</t>
        </is>
      </c>
      <c r="G9" s="6" t="n">
        <v>0.05</v>
      </c>
      <c r="H9" s="6" t="n">
        <v>0.4</v>
      </c>
      <c r="I9" s="7">
        <f>(3*G9+H9)/4</f>
        <v/>
      </c>
      <c r="J9" s="5" t="n">
        <v>45876</v>
      </c>
      <c r="K9" t="inlineStr">
        <is>
          <t>OpenAI API</t>
        </is>
      </c>
      <c r="L9" t="inlineStr"/>
    </row>
    <row r="10">
      <c r="A10" t="n">
        <v>8</v>
      </c>
      <c r="B10" t="inlineStr">
        <is>
          <t>Mistral AI</t>
        </is>
      </c>
      <c r="C10" t="inlineStr">
        <is>
          <t>France</t>
        </is>
      </c>
      <c r="D10" t="inlineStr">
        <is>
          <t>Mistral Small 3</t>
        </is>
      </c>
      <c r="E10" t="inlineStr">
        <is>
          <t>Open-weight</t>
        </is>
      </c>
      <c r="F10" t="inlineStr">
        <is>
          <t>Small</t>
        </is>
      </c>
      <c r="G10" s="6" t="n">
        <v>0.1</v>
      </c>
      <c r="H10" s="6" t="n">
        <v>0.3</v>
      </c>
      <c r="I10" s="7">
        <f>(3*G10+H10)/4</f>
        <v/>
      </c>
      <c r="J10" s="5" t="n">
        <v>45687</v>
      </c>
      <c r="K10" t="inlineStr">
        <is>
          <t>La Plateforme</t>
        </is>
      </c>
      <c r="L10" t="inlineStr">
        <is>
          <t>Apache 2.0</t>
        </is>
      </c>
    </row>
    <row r="11">
      <c r="A11" t="n">
        <v>9</v>
      </c>
      <c r="B11" t="inlineStr">
        <is>
          <t>DeepSeek</t>
        </is>
      </c>
      <c r="C11" t="inlineStr">
        <is>
          <t>China</t>
        </is>
      </c>
      <c r="D11" t="inlineStr">
        <is>
          <t>DeepSeek V2</t>
        </is>
      </c>
      <c r="E11" t="inlineStr">
        <is>
          <t>Open-weight</t>
        </is>
      </c>
      <c r="F11" t="inlineStr">
        <is>
          <t>Flagship</t>
        </is>
      </c>
      <c r="G11" s="6" t="n">
        <v>0.14</v>
      </c>
      <c r="H11" s="6" t="n">
        <v>0.28</v>
      </c>
      <c r="I11" s="7">
        <f>(3*G11+H11)/4</f>
        <v/>
      </c>
      <c r="J11" s="5" t="n">
        <v>45418</v>
      </c>
      <c r="K11" t="inlineStr">
        <is>
          <t>DeepSeek API</t>
        </is>
      </c>
      <c r="L11" t="inlineStr">
        <is>
          <t>Triggered China's 2024 LLM price war</t>
        </is>
      </c>
    </row>
    <row r="12">
      <c r="A12" t="n">
        <v>10</v>
      </c>
      <c r="B12" t="inlineStr">
        <is>
          <t>Google</t>
        </is>
      </c>
      <c r="C12" t="inlineStr">
        <is>
          <t>USA</t>
        </is>
      </c>
      <c r="D12" t="inlineStr">
        <is>
          <t>Gemini 2.0 Flash</t>
        </is>
      </c>
      <c r="E12" t="inlineStr">
        <is>
          <t>Frontier (proprietary)</t>
        </is>
      </c>
      <c r="F12" t="inlineStr">
        <is>
          <t>Budget</t>
        </is>
      </c>
      <c r="G12" s="6" t="n">
        <v>0.1</v>
      </c>
      <c r="H12" s="6" t="n">
        <v>0.4</v>
      </c>
      <c r="I12" s="7">
        <f>(3*G12+H12)/4</f>
        <v/>
      </c>
      <c r="J12" s="5" t="n">
        <v>45693</v>
      </c>
      <c r="K12" t="inlineStr">
        <is>
          <t>Gemini API</t>
        </is>
      </c>
      <c r="L12" t="inlineStr"/>
    </row>
    <row r="13">
      <c r="A13" t="n">
        <v>11</v>
      </c>
      <c r="B13" t="inlineStr">
        <is>
          <t>OpenAI</t>
        </is>
      </c>
      <c r="C13" t="inlineStr">
        <is>
          <t>USA</t>
        </is>
      </c>
      <c r="D13" t="inlineStr">
        <is>
          <t>GPT-4.1 nano</t>
        </is>
      </c>
      <c r="E13" t="inlineStr">
        <is>
          <t>Frontier (proprietary)</t>
        </is>
      </c>
      <c r="F13" t="inlineStr">
        <is>
          <t>Tiny</t>
        </is>
      </c>
      <c r="G13" s="6" t="n">
        <v>0.1</v>
      </c>
      <c r="H13" s="6" t="n">
        <v>0.4</v>
      </c>
      <c r="I13" s="7">
        <f>(3*G13+H13)/4</f>
        <v/>
      </c>
      <c r="J13" s="5" t="n">
        <v>45761</v>
      </c>
      <c r="K13" t="inlineStr">
        <is>
          <t>OpenAI API</t>
        </is>
      </c>
      <c r="L13" t="inlineStr"/>
    </row>
    <row r="14">
      <c r="A14" t="n">
        <v>12</v>
      </c>
      <c r="B14" t="inlineStr">
        <is>
          <t>Google</t>
        </is>
      </c>
      <c r="C14" t="inlineStr">
        <is>
          <t>USA</t>
        </is>
      </c>
      <c r="D14" t="inlineStr">
        <is>
          <t>Gemini 2.5 Flash-Lite</t>
        </is>
      </c>
      <c r="E14" t="inlineStr">
        <is>
          <t>Frontier (proprietary)</t>
        </is>
      </c>
      <c r="F14" t="inlineStr">
        <is>
          <t>Tiny</t>
        </is>
      </c>
      <c r="G14" s="6" t="n">
        <v>0.1</v>
      </c>
      <c r="H14" s="6" t="n">
        <v>0.4</v>
      </c>
      <c r="I14" s="7">
        <f>(3*G14+H14)/4</f>
        <v/>
      </c>
      <c r="J14" s="5" t="n">
        <v>45860</v>
      </c>
      <c r="K14" t="inlineStr">
        <is>
          <t>Gemini API</t>
        </is>
      </c>
      <c r="L14" t="inlineStr"/>
    </row>
    <row r="15">
      <c r="A15" t="n">
        <v>13</v>
      </c>
      <c r="B15" t="inlineStr">
        <is>
          <t>Alibaba</t>
        </is>
      </c>
      <c r="C15" t="inlineStr">
        <is>
          <t>China</t>
        </is>
      </c>
      <c r="D15" t="inlineStr">
        <is>
          <t>Qwen3.5 Flash</t>
        </is>
      </c>
      <c r="E15" t="inlineStr">
        <is>
          <t>Open-weight</t>
        </is>
      </c>
      <c r="F15" t="inlineStr">
        <is>
          <t>Small</t>
        </is>
      </c>
      <c r="G15" s="6" t="n">
        <v>0.1</v>
      </c>
      <c r="H15" s="6" t="n">
        <v>0.4</v>
      </c>
      <c r="I15" s="7">
        <f>(3*G15+H15)/4</f>
        <v/>
      </c>
      <c r="J15" s="5" t="n">
        <v>46068</v>
      </c>
      <c r="K15" t="inlineStr">
        <is>
          <t>Alibaba Model Studio (intl)</t>
        </is>
      </c>
      <c r="L15" t="inlineStr">
        <is>
          <t>CN endpoint CNY 0.2/2 (&lt;=128K)</t>
        </is>
      </c>
    </row>
    <row r="16">
      <c r="A16" t="n">
        <v>14</v>
      </c>
      <c r="B16" t="inlineStr">
        <is>
          <t>Meta</t>
        </is>
      </c>
      <c r="C16" t="inlineStr">
        <is>
          <t>USA</t>
        </is>
      </c>
      <c r="D16" t="inlineStr">
        <is>
          <t>Llama 3.1 8B</t>
        </is>
      </c>
      <c r="E16" t="inlineStr">
        <is>
          <t>Open-weight</t>
        </is>
      </c>
      <c r="F16" t="inlineStr">
        <is>
          <t>Small</t>
        </is>
      </c>
      <c r="G16" s="6" t="n">
        <v>0.18</v>
      </c>
      <c r="H16" s="6" t="n">
        <v>0.18</v>
      </c>
      <c r="I16" s="7">
        <f>(3*G16+H16)/4</f>
        <v/>
      </c>
      <c r="J16" s="5" t="n">
        <v>45496</v>
      </c>
      <c r="K16" t="inlineStr">
        <is>
          <t>Together AI (reference host)</t>
        </is>
      </c>
      <c r="L16" t="inlineStr"/>
    </row>
    <row r="17">
      <c r="A17" t="n">
        <v>15</v>
      </c>
      <c r="B17" t="inlineStr">
        <is>
          <t>Meta</t>
        </is>
      </c>
      <c r="C17" t="inlineStr">
        <is>
          <t>USA</t>
        </is>
      </c>
      <c r="D17" t="inlineStr">
        <is>
          <t>Llama 3 8B</t>
        </is>
      </c>
      <c r="E17" t="inlineStr">
        <is>
          <t>Open-weight</t>
        </is>
      </c>
      <c r="F17" t="inlineStr">
        <is>
          <t>Small</t>
        </is>
      </c>
      <c r="G17" s="6" t="n">
        <v>0.2</v>
      </c>
      <c r="H17" s="6" t="n">
        <v>0.2</v>
      </c>
      <c r="I17" s="7">
        <f>(3*G17+H17)/4</f>
        <v/>
      </c>
      <c r="J17" s="5" t="n">
        <v>45400</v>
      </c>
      <c r="K17" t="inlineStr">
        <is>
          <t>Together AI (reference host)</t>
        </is>
      </c>
      <c r="L17" t="inlineStr"/>
    </row>
    <row r="18">
      <c r="A18" t="n">
        <v>16</v>
      </c>
      <c r="B18" t="inlineStr">
        <is>
          <t>OpenAI</t>
        </is>
      </c>
      <c r="C18" t="inlineStr">
        <is>
          <t>USA</t>
        </is>
      </c>
      <c r="D18" t="inlineStr">
        <is>
          <t>GPT-4o mini</t>
        </is>
      </c>
      <c r="E18" t="inlineStr">
        <is>
          <t>Frontier (proprietary)</t>
        </is>
      </c>
      <c r="F18" t="inlineStr">
        <is>
          <t>Budget</t>
        </is>
      </c>
      <c r="G18" s="6" t="n">
        <v>0.15</v>
      </c>
      <c r="H18" s="6" t="n">
        <v>0.6</v>
      </c>
      <c r="I18" s="7">
        <f>(3*G18+H18)/4</f>
        <v/>
      </c>
      <c r="J18" s="5" t="n">
        <v>45491</v>
      </c>
      <c r="K18" t="inlineStr">
        <is>
          <t>OpenAI API</t>
        </is>
      </c>
      <c r="L18" t="inlineStr"/>
    </row>
    <row r="19">
      <c r="A19" t="n">
        <v>17</v>
      </c>
      <c r="B19" t="inlineStr">
        <is>
          <t>Meta</t>
        </is>
      </c>
      <c r="C19" t="inlineStr">
        <is>
          <t>USA</t>
        </is>
      </c>
      <c r="D19" t="inlineStr">
        <is>
          <t>Llama 4 Maverick</t>
        </is>
      </c>
      <c r="E19" t="inlineStr">
        <is>
          <t>Open-weight</t>
        </is>
      </c>
      <c r="F19" t="inlineStr">
        <is>
          <t>Flagship</t>
        </is>
      </c>
      <c r="G19" s="6" t="n">
        <v>0.15</v>
      </c>
      <c r="H19" s="6" t="n">
        <v>0.6</v>
      </c>
      <c r="I19" s="7">
        <f>(3*G19+H19)/4</f>
        <v/>
      </c>
      <c r="J19" s="5" t="n">
        <v>46235</v>
      </c>
      <c r="K19" t="inlineStr">
        <is>
          <t>Cheapest tracked host (DeepInfra)</t>
        </is>
      </c>
      <c r="L19" t="inlineStr"/>
    </row>
    <row r="20">
      <c r="A20" t="n">
        <v>18</v>
      </c>
      <c r="B20" t="inlineStr">
        <is>
          <t>OpenAI</t>
        </is>
      </c>
      <c r="C20" t="inlineStr">
        <is>
          <t>USA</t>
        </is>
      </c>
      <c r="D20" t="inlineStr">
        <is>
          <t>gpt-oss-120b</t>
        </is>
      </c>
      <c r="E20" t="inlineStr">
        <is>
          <t>Open-weight</t>
        </is>
      </c>
      <c r="F20" t="inlineStr">
        <is>
          <t>Mid</t>
        </is>
      </c>
      <c r="G20" s="6" t="n">
        <v>0.15</v>
      </c>
      <c r="H20" s="6" t="n">
        <v>0.6</v>
      </c>
      <c r="I20" s="7">
        <f>(3*G20+H20)/4</f>
        <v/>
      </c>
      <c r="J20" s="5" t="n">
        <v>45874</v>
      </c>
      <c r="K20" t="inlineStr">
        <is>
          <t>Together AI (reference host)</t>
        </is>
      </c>
      <c r="L20" t="inlineStr">
        <is>
          <t>Apache 2.0; no first-party price - hosted reference rate</t>
        </is>
      </c>
    </row>
    <row r="21">
      <c r="A21" t="n">
        <v>19</v>
      </c>
      <c r="B21" t="inlineStr">
        <is>
          <t>Mistral AI</t>
        </is>
      </c>
      <c r="C21" t="inlineStr">
        <is>
          <t>France</t>
        </is>
      </c>
      <c r="D21" t="inlineStr">
        <is>
          <t>Mistral Small 4</t>
        </is>
      </c>
      <c r="E21" t="inlineStr">
        <is>
          <t>Open-weight</t>
        </is>
      </c>
      <c r="F21" t="inlineStr">
        <is>
          <t>Small</t>
        </is>
      </c>
      <c r="G21" s="6" t="n">
        <v>0.15</v>
      </c>
      <c r="H21" s="6" t="n">
        <v>0.6</v>
      </c>
      <c r="I21" s="7">
        <f>(3*G21+H21)/4</f>
        <v/>
      </c>
      <c r="J21" s="5" t="n">
        <v>46082</v>
      </c>
      <c r="K21" t="inlineStr">
        <is>
          <t>La Plateforme</t>
        </is>
      </c>
      <c r="L21" t="inlineStr"/>
    </row>
    <row r="22">
      <c r="A22" t="n">
        <v>20</v>
      </c>
      <c r="B22" t="inlineStr">
        <is>
          <t>xAI</t>
        </is>
      </c>
      <c r="C22" t="inlineStr">
        <is>
          <t>USA</t>
        </is>
      </c>
      <c r="D22" t="inlineStr">
        <is>
          <t>Grok 4 Fast</t>
        </is>
      </c>
      <c r="E22" t="inlineStr">
        <is>
          <t>Frontier (proprietary)</t>
        </is>
      </c>
      <c r="F22" t="inlineStr">
        <is>
          <t>Budget</t>
        </is>
      </c>
      <c r="G22" s="6" t="n">
        <v>0.2</v>
      </c>
      <c r="H22" s="6" t="n">
        <v>0.5</v>
      </c>
      <c r="I22" s="7">
        <f>(3*G22+H22)/4</f>
        <v/>
      </c>
      <c r="J22" s="5" t="n">
        <v>45919</v>
      </c>
      <c r="K22" t="inlineStr">
        <is>
          <t>xAI API</t>
        </is>
      </c>
      <c r="L22" t="inlineStr">
        <is>
          <t>&lt;128K tier</t>
        </is>
      </c>
    </row>
    <row r="23">
      <c r="A23" t="n">
        <v>21</v>
      </c>
      <c r="B23" t="inlineStr">
        <is>
          <t>xAI</t>
        </is>
      </c>
      <c r="C23" t="inlineStr">
        <is>
          <t>USA</t>
        </is>
      </c>
      <c r="D23" t="inlineStr">
        <is>
          <t>Grok 4.1 Fast</t>
        </is>
      </c>
      <c r="E23" t="inlineStr">
        <is>
          <t>Frontier (proprietary)</t>
        </is>
      </c>
      <c r="F23" t="inlineStr">
        <is>
          <t>Budget</t>
        </is>
      </c>
      <c r="G23" s="6" t="n">
        <v>0.2</v>
      </c>
      <c r="H23" s="6" t="n">
        <v>0.5</v>
      </c>
      <c r="I23" s="7">
        <f>(3*G23+H23)/4</f>
        <v/>
      </c>
      <c r="J23" s="5" t="n">
        <v>45980</v>
      </c>
      <c r="K23" t="inlineStr">
        <is>
          <t>xAI API</t>
        </is>
      </c>
      <c r="L23" t="inlineStr"/>
    </row>
    <row r="24">
      <c r="A24" t="n">
        <v>22</v>
      </c>
      <c r="B24" t="inlineStr">
        <is>
          <t>DeepSeek</t>
        </is>
      </c>
      <c r="C24" t="inlineStr">
        <is>
          <t>China</t>
        </is>
      </c>
      <c r="D24" t="inlineStr">
        <is>
          <t>DeepSeek V3.2</t>
        </is>
      </c>
      <c r="E24" t="inlineStr">
        <is>
          <t>Open-weight</t>
        </is>
      </c>
      <c r="F24" t="inlineStr">
        <is>
          <t>Flagship</t>
        </is>
      </c>
      <c r="G24" s="6" t="n">
        <v>0.28</v>
      </c>
      <c r="H24" s="6" t="n">
        <v>0.42</v>
      </c>
      <c r="I24" s="7">
        <f>(3*G24+H24)/4</f>
        <v/>
      </c>
      <c r="J24" s="5" t="n">
        <v>45929</v>
      </c>
      <c r="K24" t="inlineStr">
        <is>
          <t>DeepSeek API</t>
        </is>
      </c>
      <c r="L24" t="inlineStr">
        <is>
          <t>&gt;50% price cut vs V3.1 (V3.2-Exp)</t>
        </is>
      </c>
    </row>
    <row r="25">
      <c r="A25" t="n">
        <v>23</v>
      </c>
      <c r="B25" t="inlineStr">
        <is>
          <t>xAI</t>
        </is>
      </c>
      <c r="C25" t="inlineStr">
        <is>
          <t>USA</t>
        </is>
      </c>
      <c r="D25" t="inlineStr">
        <is>
          <t>Grok 3 mini</t>
        </is>
      </c>
      <c r="E25" t="inlineStr">
        <is>
          <t>Frontier (proprietary)</t>
        </is>
      </c>
      <c r="F25" t="inlineStr">
        <is>
          <t>Budget</t>
        </is>
      </c>
      <c r="G25" s="6" t="n">
        <v>0.3</v>
      </c>
      <c r="H25" s="6" t="n">
        <v>0.5</v>
      </c>
      <c r="I25" s="7">
        <f>(3*G25+H25)/4</f>
        <v/>
      </c>
      <c r="J25" s="5" t="n">
        <v>45756</v>
      </c>
      <c r="K25" t="inlineStr">
        <is>
          <t>xAI API</t>
        </is>
      </c>
      <c r="L25" t="inlineStr"/>
    </row>
    <row r="26">
      <c r="A26" t="n">
        <v>24</v>
      </c>
      <c r="B26" t="inlineStr">
        <is>
          <t>OpenAI</t>
        </is>
      </c>
      <c r="C26" t="inlineStr">
        <is>
          <t>USA</t>
        </is>
      </c>
      <c r="D26" t="inlineStr">
        <is>
          <t>GPT-5.6 Luna</t>
        </is>
      </c>
      <c r="E26" t="inlineStr">
        <is>
          <t>Frontier (proprietary)</t>
        </is>
      </c>
      <c r="F26" t="inlineStr">
        <is>
          <t>Budget</t>
        </is>
      </c>
      <c r="G26" s="6" t="n">
        <v>0.2</v>
      </c>
      <c r="H26" s="6" t="n">
        <v>1.2</v>
      </c>
      <c r="I26" s="7">
        <f>(3*G26+H26)/4</f>
        <v/>
      </c>
      <c r="J26" s="5" t="n">
        <v>46233</v>
      </c>
      <c r="K26" t="inlineStr">
        <is>
          <t>OpenAI API</t>
        </is>
      </c>
      <c r="L26" t="inlineStr">
        <is>
          <t>80% cut</t>
        </is>
      </c>
    </row>
    <row r="27">
      <c r="A27" t="n">
        <v>25</v>
      </c>
      <c r="B27" t="inlineStr">
        <is>
          <t>OpenAI</t>
        </is>
      </c>
      <c r="C27" t="inlineStr">
        <is>
          <t>USA</t>
        </is>
      </c>
      <c r="D27" t="inlineStr">
        <is>
          <t>GPT-5.4 nano</t>
        </is>
      </c>
      <c r="E27" t="inlineStr">
        <is>
          <t>Frontier (proprietary)</t>
        </is>
      </c>
      <c r="F27" t="inlineStr">
        <is>
          <t>Tiny</t>
        </is>
      </c>
      <c r="G27" s="6" t="n">
        <v>0.2</v>
      </c>
      <c r="H27" s="6" t="n">
        <v>1.25</v>
      </c>
      <c r="I27" s="7">
        <f>(3*G27+H27)/4</f>
        <v/>
      </c>
      <c r="J27" s="5" t="n">
        <v>46098</v>
      </c>
      <c r="K27" t="inlineStr">
        <is>
          <t>OpenAI API</t>
        </is>
      </c>
      <c r="L27" t="inlineStr"/>
    </row>
    <row r="28">
      <c r="A28" t="n">
        <v>26</v>
      </c>
      <c r="B28" t="inlineStr">
        <is>
          <t>DeepSeek</t>
        </is>
      </c>
      <c r="C28" t="inlineStr">
        <is>
          <t>China</t>
        </is>
      </c>
      <c r="D28" t="inlineStr">
        <is>
          <t>DeepSeek V3</t>
        </is>
      </c>
      <c r="E28" t="inlineStr">
        <is>
          <t>Open-weight</t>
        </is>
      </c>
      <c r="F28" t="inlineStr">
        <is>
          <t>Flagship</t>
        </is>
      </c>
      <c r="G28" s="6" t="n">
        <v>0.27</v>
      </c>
      <c r="H28" s="6" t="n">
        <v>1.1</v>
      </c>
      <c r="I28" s="7">
        <f>(3*G28+H28)/4</f>
        <v/>
      </c>
      <c r="J28" s="5" t="n">
        <v>45696</v>
      </c>
      <c r="K28" t="inlineStr">
        <is>
          <t>DeepSeek API</t>
        </is>
      </c>
      <c r="L28" t="inlineStr">
        <is>
          <t>Standard rate took effect</t>
        </is>
      </c>
    </row>
    <row r="29">
      <c r="A29" t="n">
        <v>27</v>
      </c>
      <c r="B29" t="inlineStr">
        <is>
          <t>Anthropic</t>
        </is>
      </c>
      <c r="C29" t="inlineStr">
        <is>
          <t>USA</t>
        </is>
      </c>
      <c r="D29" t="inlineStr">
        <is>
          <t>Claude 3 Haiku</t>
        </is>
      </c>
      <c r="E29" t="inlineStr">
        <is>
          <t>Frontier (proprietary)</t>
        </is>
      </c>
      <c r="F29" t="inlineStr">
        <is>
          <t>Budget</t>
        </is>
      </c>
      <c r="G29" s="6" t="n">
        <v>0.25</v>
      </c>
      <c r="H29" s="6" t="n">
        <v>1.25</v>
      </c>
      <c r="I29" s="7">
        <f>(3*G29+H29)/4</f>
        <v/>
      </c>
      <c r="J29" s="5" t="n">
        <v>45364</v>
      </c>
      <c r="K29" t="inlineStr">
        <is>
          <t>Anthropic API</t>
        </is>
      </c>
      <c r="L29" t="inlineStr"/>
    </row>
    <row r="30">
      <c r="A30" t="n">
        <v>28</v>
      </c>
      <c r="B30" t="inlineStr">
        <is>
          <t>MiniMax</t>
        </is>
      </c>
      <c r="C30" t="inlineStr">
        <is>
          <t>China</t>
        </is>
      </c>
      <c r="D30" t="inlineStr">
        <is>
          <t>MiniMax M2</t>
        </is>
      </c>
      <c r="E30" t="inlineStr">
        <is>
          <t>Open-weight</t>
        </is>
      </c>
      <c r="F30" t="inlineStr">
        <is>
          <t>Flagship</t>
        </is>
      </c>
      <c r="G30" s="6" t="n">
        <v>0.3</v>
      </c>
      <c r="H30" s="6" t="n">
        <v>1.2</v>
      </c>
      <c r="I30" s="7">
        <f>(3*G30+H30)/4</f>
        <v/>
      </c>
      <c r="J30" s="5" t="n">
        <v>45957</v>
      </c>
      <c r="K30" t="inlineStr">
        <is>
          <t>MiniMax API</t>
        </is>
      </c>
      <c r="L30" t="inlineStr"/>
    </row>
    <row r="31">
      <c r="A31" t="n">
        <v>29</v>
      </c>
      <c r="B31" t="inlineStr">
        <is>
          <t>MiniMax</t>
        </is>
      </c>
      <c r="C31" t="inlineStr">
        <is>
          <t>China</t>
        </is>
      </c>
      <c r="D31" t="inlineStr">
        <is>
          <t>MiniMax M2.5</t>
        </is>
      </c>
      <c r="E31" t="inlineStr">
        <is>
          <t>Open-weight</t>
        </is>
      </c>
      <c r="F31" t="inlineStr">
        <is>
          <t>Flagship</t>
        </is>
      </c>
      <c r="G31" s="6" t="n">
        <v>0.3</v>
      </c>
      <c r="H31" s="6" t="n">
        <v>1.2</v>
      </c>
      <c r="I31" s="7">
        <f>(3*G31+H31)/4</f>
        <v/>
      </c>
      <c r="J31" s="5" t="n">
        <v>46054</v>
      </c>
      <c r="K31" t="inlineStr">
        <is>
          <t>MiniMax API</t>
        </is>
      </c>
      <c r="L31" t="inlineStr"/>
    </row>
    <row r="32">
      <c r="A32" t="n">
        <v>30</v>
      </c>
      <c r="B32" t="inlineStr">
        <is>
          <t>MiniMax</t>
        </is>
      </c>
      <c r="C32" t="inlineStr">
        <is>
          <t>China</t>
        </is>
      </c>
      <c r="D32" t="inlineStr">
        <is>
          <t>MiniMax M3</t>
        </is>
      </c>
      <c r="E32" t="inlineStr">
        <is>
          <t>Open-weight</t>
        </is>
      </c>
      <c r="F32" t="inlineStr">
        <is>
          <t>Flagship</t>
        </is>
      </c>
      <c r="G32" s="6" t="n">
        <v>0.3</v>
      </c>
      <c r="H32" s="6" t="n">
        <v>1.2</v>
      </c>
      <c r="I32" s="7">
        <f>(3*G32+H32)/4</f>
        <v/>
      </c>
      <c r="J32" s="5" t="n">
        <v>46188</v>
      </c>
      <c r="K32" t="inlineStr">
        <is>
          <t>MiniMax API</t>
        </is>
      </c>
      <c r="L32" t="inlineStr">
        <is>
          <t>&lt;=512K tier (2x above)</t>
        </is>
      </c>
    </row>
    <row r="33">
      <c r="A33" t="n">
        <v>31</v>
      </c>
      <c r="B33" t="inlineStr">
        <is>
          <t>Google</t>
        </is>
      </c>
      <c r="C33" t="inlineStr">
        <is>
          <t>USA</t>
        </is>
      </c>
      <c r="D33" t="inlineStr">
        <is>
          <t>Gemini 3.1 Flash-Lite</t>
        </is>
      </c>
      <c r="E33" t="inlineStr">
        <is>
          <t>Frontier (proprietary)</t>
        </is>
      </c>
      <c r="F33" t="inlineStr">
        <is>
          <t>Tiny</t>
        </is>
      </c>
      <c r="G33" s="6" t="n">
        <v>0.25</v>
      </c>
      <c r="H33" s="6" t="n">
        <v>1.5</v>
      </c>
      <c r="I33" s="7">
        <f>(3*G33+H33)/4</f>
        <v/>
      </c>
      <c r="J33" s="5" t="n">
        <v>46113</v>
      </c>
      <c r="K33" t="inlineStr">
        <is>
          <t>Gemini API</t>
        </is>
      </c>
      <c r="L33" t="inlineStr"/>
    </row>
    <row r="34">
      <c r="A34" t="n">
        <v>32</v>
      </c>
      <c r="B34" t="inlineStr">
        <is>
          <t>DeepSeek</t>
        </is>
      </c>
      <c r="C34" t="inlineStr">
        <is>
          <t>China</t>
        </is>
      </c>
      <c r="D34" t="inlineStr">
        <is>
          <t>DeepSeek V4 Flash</t>
        </is>
      </c>
      <c r="E34" t="inlineStr">
        <is>
          <t>Open-weight</t>
        </is>
      </c>
      <c r="F34" t="inlineStr">
        <is>
          <t>Mid</t>
        </is>
      </c>
      <c r="G34" s="6" t="n">
        <v>0.44</v>
      </c>
      <c r="H34" s="6" t="n">
        <v>1.33</v>
      </c>
      <c r="I34" s="7">
        <f>(3*G34+H34)/4</f>
        <v/>
      </c>
      <c r="J34" s="5" t="n">
        <v>46143</v>
      </c>
      <c r="K34" t="inlineStr">
        <is>
          <t>DeepSeek API</t>
        </is>
      </c>
      <c r="L34" t="inlineStr">
        <is>
          <t>CNY 3/9 per 1M; off-peak 50% off since 2026-08-16 ($0.22/$0.66)</t>
        </is>
      </c>
    </row>
    <row r="35">
      <c r="A35" t="n">
        <v>33</v>
      </c>
      <c r="B35" t="inlineStr">
        <is>
          <t>OpenAI</t>
        </is>
      </c>
      <c r="C35" t="inlineStr">
        <is>
          <t>USA</t>
        </is>
      </c>
      <c r="D35" t="inlineStr">
        <is>
          <t>GPT-5 mini</t>
        </is>
      </c>
      <c r="E35" t="inlineStr">
        <is>
          <t>Frontier (proprietary)</t>
        </is>
      </c>
      <c r="F35" t="inlineStr">
        <is>
          <t>Budget</t>
        </is>
      </c>
      <c r="G35" s="6" t="n">
        <v>0.25</v>
      </c>
      <c r="H35" s="6" t="n">
        <v>2</v>
      </c>
      <c r="I35" s="7">
        <f>(3*G35+H35)/4</f>
        <v/>
      </c>
      <c r="J35" s="5" t="n">
        <v>45876</v>
      </c>
      <c r="K35" t="inlineStr">
        <is>
          <t>OpenAI API</t>
        </is>
      </c>
      <c r="L35" t="inlineStr"/>
    </row>
    <row r="36">
      <c r="A36" t="n">
        <v>34</v>
      </c>
      <c r="B36" t="inlineStr">
        <is>
          <t>Mistral AI</t>
        </is>
      </c>
      <c r="C36" t="inlineStr">
        <is>
          <t>France</t>
        </is>
      </c>
      <c r="D36" t="inlineStr">
        <is>
          <t>Mixtral 8x7B</t>
        </is>
      </c>
      <c r="E36" t="inlineStr">
        <is>
          <t>Open-weight</t>
        </is>
      </c>
      <c r="F36" t="inlineStr">
        <is>
          <t>Mid</t>
        </is>
      </c>
      <c r="G36" s="6" t="n">
        <v>0.7</v>
      </c>
      <c r="H36" s="6" t="n">
        <v>0.7</v>
      </c>
      <c r="I36" s="7">
        <f>(3*G36+H36)/4</f>
        <v/>
      </c>
      <c r="J36" s="5" t="n">
        <v>45271</v>
      </c>
      <c r="K36" t="inlineStr">
        <is>
          <t>La Plateforme</t>
        </is>
      </c>
      <c r="L36" t="inlineStr">
        <is>
          <t>Apache 2.0 MoE</t>
        </is>
      </c>
    </row>
    <row r="37">
      <c r="A37" t="n">
        <v>35</v>
      </c>
      <c r="B37" t="inlineStr">
        <is>
          <t>OpenAI</t>
        </is>
      </c>
      <c r="C37" t="inlineStr">
        <is>
          <t>USA</t>
        </is>
      </c>
      <c r="D37" t="inlineStr">
        <is>
          <t>GPT-4.1 mini</t>
        </is>
      </c>
      <c r="E37" t="inlineStr">
        <is>
          <t>Frontier (proprietary)</t>
        </is>
      </c>
      <c r="F37" t="inlineStr">
        <is>
          <t>Budget</t>
        </is>
      </c>
      <c r="G37" s="6" t="n">
        <v>0.4</v>
      </c>
      <c r="H37" s="6" t="n">
        <v>1.6</v>
      </c>
      <c r="I37" s="7">
        <f>(3*G37+H37)/4</f>
        <v/>
      </c>
      <c r="J37" s="5" t="n">
        <v>45761</v>
      </c>
      <c r="K37" t="inlineStr">
        <is>
          <t>OpenAI API</t>
        </is>
      </c>
      <c r="L37" t="inlineStr"/>
    </row>
    <row r="38">
      <c r="A38" t="n">
        <v>36</v>
      </c>
      <c r="B38" t="inlineStr">
        <is>
          <t>Alibaba</t>
        </is>
      </c>
      <c r="C38" t="inlineStr">
        <is>
          <t>China</t>
        </is>
      </c>
      <c r="D38" t="inlineStr">
        <is>
          <t>Qwen3.6 Plus</t>
        </is>
      </c>
      <c r="E38" t="inlineStr">
        <is>
          <t>Frontier (proprietary)</t>
        </is>
      </c>
      <c r="F38" t="inlineStr">
        <is>
          <t>Mid</t>
        </is>
      </c>
      <c r="G38" s="6" t="n">
        <v>0.325</v>
      </c>
      <c r="H38" s="6" t="n">
        <v>1.95</v>
      </c>
      <c r="I38" s="7">
        <f>(3*G38+H38)/4</f>
        <v/>
      </c>
      <c r="J38" s="5" t="n">
        <v>46113</v>
      </c>
      <c r="K38" t="inlineStr">
        <is>
          <t>Alibaba Model Studio (intl)</t>
        </is>
      </c>
      <c r="L38" t="inlineStr">
        <is>
          <t>Singapore endpoint; CN cheaper</t>
        </is>
      </c>
    </row>
    <row r="39">
      <c r="A39" t="n">
        <v>37</v>
      </c>
      <c r="B39" t="inlineStr">
        <is>
          <t>OpenAI</t>
        </is>
      </c>
      <c r="C39" t="inlineStr">
        <is>
          <t>USA</t>
        </is>
      </c>
      <c r="D39" t="inlineStr">
        <is>
          <t>GPT-3.5 Turbo</t>
        </is>
      </c>
      <c r="E39" t="inlineStr">
        <is>
          <t>Frontier (proprietary)</t>
        </is>
      </c>
      <c r="F39" t="inlineStr">
        <is>
          <t>Budget</t>
        </is>
      </c>
      <c r="G39" s="6" t="n">
        <v>0.5</v>
      </c>
      <c r="H39" s="6" t="n">
        <v>1.5</v>
      </c>
      <c r="I39" s="7">
        <f>(3*G39+H39)/4</f>
        <v/>
      </c>
      <c r="J39" s="5" t="n">
        <v>45316</v>
      </c>
      <c r="K39" t="inlineStr">
        <is>
          <t>OpenAI API</t>
        </is>
      </c>
      <c r="L39" t="inlineStr">
        <is>
          <t>gpt-3.5-turbo-0125</t>
        </is>
      </c>
    </row>
    <row r="40">
      <c r="A40" t="n">
        <v>38</v>
      </c>
      <c r="B40" t="inlineStr">
        <is>
          <t>Google</t>
        </is>
      </c>
      <c r="C40" t="inlineStr">
        <is>
          <t>USA</t>
        </is>
      </c>
      <c r="D40" t="inlineStr">
        <is>
          <t>Gemini 1.0 Pro</t>
        </is>
      </c>
      <c r="E40" t="inlineStr">
        <is>
          <t>Frontier (proprietary)</t>
        </is>
      </c>
      <c r="F40" t="inlineStr">
        <is>
          <t>Mid</t>
        </is>
      </c>
      <c r="G40" s="6" t="n">
        <v>0.5</v>
      </c>
      <c r="H40" s="6" t="n">
        <v>1.5</v>
      </c>
      <c r="I40" s="7">
        <f>(3*G40+H40)/4</f>
        <v/>
      </c>
      <c r="J40" s="5" t="n">
        <v>45337</v>
      </c>
      <c r="K40" t="inlineStr">
        <is>
          <t>Gemini API</t>
        </is>
      </c>
      <c r="L40" t="inlineStr">
        <is>
          <t>Paid tier GA</t>
        </is>
      </c>
    </row>
    <row r="41">
      <c r="A41" t="n">
        <v>39</v>
      </c>
      <c r="B41" t="inlineStr">
        <is>
          <t>Mistral AI</t>
        </is>
      </c>
      <c r="C41" t="inlineStr">
        <is>
          <t>France</t>
        </is>
      </c>
      <c r="D41" t="inlineStr">
        <is>
          <t>Mistral Large 3</t>
        </is>
      </c>
      <c r="E41" t="inlineStr">
        <is>
          <t>Open-weight</t>
        </is>
      </c>
      <c r="F41" t="inlineStr">
        <is>
          <t>Flagship</t>
        </is>
      </c>
      <c r="G41" s="6" t="n">
        <v>0.5</v>
      </c>
      <c r="H41" s="6" t="n">
        <v>1.5</v>
      </c>
      <c r="I41" s="7">
        <f>(3*G41+H41)/4</f>
        <v/>
      </c>
      <c r="J41" s="5" t="n">
        <v>45993</v>
      </c>
      <c r="K41" t="inlineStr">
        <is>
          <t>La Plateforme</t>
        </is>
      </c>
      <c r="L41" t="inlineStr">
        <is>
          <t>Open weights (Apache 2.0)</t>
        </is>
      </c>
    </row>
    <row r="42">
      <c r="A42" t="n">
        <v>40</v>
      </c>
      <c r="B42" t="inlineStr">
        <is>
          <t>Mistral AI</t>
        </is>
      </c>
      <c r="C42" t="inlineStr">
        <is>
          <t>France</t>
        </is>
      </c>
      <c r="D42" t="inlineStr">
        <is>
          <t>Mistral Medium 3</t>
        </is>
      </c>
      <c r="E42" t="inlineStr">
        <is>
          <t>Frontier (proprietary)</t>
        </is>
      </c>
      <c r="F42" t="inlineStr">
        <is>
          <t>Mid</t>
        </is>
      </c>
      <c r="G42" s="6" t="n">
        <v>0.4</v>
      </c>
      <c r="H42" s="6" t="n">
        <v>2</v>
      </c>
      <c r="I42" s="7">
        <f>(3*G42+H42)/4</f>
        <v/>
      </c>
      <c r="J42" s="5" t="n">
        <v>45784</v>
      </c>
      <c r="K42" t="inlineStr">
        <is>
          <t>La Plateforme</t>
        </is>
      </c>
      <c r="L42" t="inlineStr">
        <is>
          <t>Proprietary</t>
        </is>
      </c>
    </row>
    <row r="43">
      <c r="A43" t="n">
        <v>41</v>
      </c>
      <c r="B43" t="inlineStr">
        <is>
          <t>DeepSeek</t>
        </is>
      </c>
      <c r="C43" t="inlineStr">
        <is>
          <t>China</t>
        </is>
      </c>
      <c r="D43" t="inlineStr">
        <is>
          <t>DeepSeek V3.1</t>
        </is>
      </c>
      <c r="E43" t="inlineStr">
        <is>
          <t>Open-weight</t>
        </is>
      </c>
      <c r="F43" t="inlineStr">
        <is>
          <t>Flagship</t>
        </is>
      </c>
      <c r="G43" s="6" t="n">
        <v>0.5600000000000001</v>
      </c>
      <c r="H43" s="6" t="n">
        <v>1.68</v>
      </c>
      <c r="I43" s="7">
        <f>(3*G43+H43)/4</f>
        <v/>
      </c>
      <c r="J43" s="5" t="n">
        <v>45890</v>
      </c>
      <c r="K43" t="inlineStr">
        <is>
          <t>DeepSeek API</t>
        </is>
      </c>
      <c r="L43" t="inlineStr">
        <is>
          <t>Unified chat+reasoning pricing</t>
        </is>
      </c>
    </row>
    <row r="44">
      <c r="A44" t="n">
        <v>42</v>
      </c>
      <c r="B44" t="inlineStr">
        <is>
          <t>Google</t>
        </is>
      </c>
      <c r="C44" t="inlineStr">
        <is>
          <t>USA</t>
        </is>
      </c>
      <c r="D44" t="inlineStr">
        <is>
          <t>Gemini 2.5 Flash</t>
        </is>
      </c>
      <c r="E44" t="inlineStr">
        <is>
          <t>Frontier (proprietary)</t>
        </is>
      </c>
      <c r="F44" t="inlineStr">
        <is>
          <t>Budget</t>
        </is>
      </c>
      <c r="G44" s="6" t="n">
        <v>0.3</v>
      </c>
      <c r="H44" s="6" t="n">
        <v>2.5</v>
      </c>
      <c r="I44" s="7">
        <f>(3*G44+H44)/4</f>
        <v/>
      </c>
      <c r="J44" s="5" t="n">
        <v>45825</v>
      </c>
      <c r="K44" t="inlineStr">
        <is>
          <t>Gemini API</t>
        </is>
      </c>
      <c r="L44" t="inlineStr"/>
    </row>
    <row r="45">
      <c r="A45" t="n">
        <v>43</v>
      </c>
      <c r="B45" t="inlineStr">
        <is>
          <t>Google</t>
        </is>
      </c>
      <c r="C45" t="inlineStr">
        <is>
          <t>USA</t>
        </is>
      </c>
      <c r="D45" t="inlineStr">
        <is>
          <t>Gemini 3.5 Flash-Lite</t>
        </is>
      </c>
      <c r="E45" t="inlineStr">
        <is>
          <t>Frontier (proprietary)</t>
        </is>
      </c>
      <c r="F45" t="inlineStr">
        <is>
          <t>Tiny</t>
        </is>
      </c>
      <c r="G45" s="6" t="n">
        <v>0.3</v>
      </c>
      <c r="H45" s="6" t="n">
        <v>2.5</v>
      </c>
      <c r="I45" s="7">
        <f>(3*G45+H45)/4</f>
        <v/>
      </c>
      <c r="J45" s="5" t="n">
        <v>46174</v>
      </c>
      <c r="K45" t="inlineStr">
        <is>
          <t>Gemini API</t>
        </is>
      </c>
      <c r="L45" t="inlineStr"/>
    </row>
    <row r="46">
      <c r="A46" t="n">
        <v>44</v>
      </c>
      <c r="B46" t="inlineStr">
        <is>
          <t>MiniMax</t>
        </is>
      </c>
      <c r="C46" t="inlineStr">
        <is>
          <t>China</t>
        </is>
      </c>
      <c r="D46" t="inlineStr">
        <is>
          <t>MiniMax M1</t>
        </is>
      </c>
      <c r="E46" t="inlineStr">
        <is>
          <t>Open-weight</t>
        </is>
      </c>
      <c r="F46" t="inlineStr">
        <is>
          <t>Flagship</t>
        </is>
      </c>
      <c r="G46" s="6" t="n">
        <v>0.4</v>
      </c>
      <c r="H46" s="6" t="n">
        <v>2.2</v>
      </c>
      <c r="I46" s="7">
        <f>(3*G46+H46)/4</f>
        <v/>
      </c>
      <c r="J46" s="5" t="n">
        <v>45825</v>
      </c>
      <c r="K46" t="inlineStr">
        <is>
          <t>MiniMax API</t>
        </is>
      </c>
      <c r="L46" t="inlineStr">
        <is>
          <t>&lt;=200K tier</t>
        </is>
      </c>
    </row>
    <row r="47">
      <c r="A47" t="n">
        <v>45</v>
      </c>
      <c r="B47" t="inlineStr">
        <is>
          <t>Meta</t>
        </is>
      </c>
      <c r="C47" t="inlineStr">
        <is>
          <t>USA</t>
        </is>
      </c>
      <c r="D47" t="inlineStr">
        <is>
          <t>Llama 3.1 70B</t>
        </is>
      </c>
      <c r="E47" t="inlineStr">
        <is>
          <t>Open-weight</t>
        </is>
      </c>
      <c r="F47" t="inlineStr">
        <is>
          <t>Mid</t>
        </is>
      </c>
      <c r="G47" s="6" t="n">
        <v>0.88</v>
      </c>
      <c r="H47" s="6" t="n">
        <v>0.88</v>
      </c>
      <c r="I47" s="7">
        <f>(3*G47+H47)/4</f>
        <v/>
      </c>
      <c r="J47" s="5" t="n">
        <v>45496</v>
      </c>
      <c r="K47" t="inlineStr">
        <is>
          <t>Together AI (reference host)</t>
        </is>
      </c>
      <c r="L47" t="inlineStr"/>
    </row>
    <row r="48">
      <c r="A48" t="n">
        <v>46</v>
      </c>
      <c r="B48" t="inlineStr">
        <is>
          <t>Meta</t>
        </is>
      </c>
      <c r="C48" t="inlineStr">
        <is>
          <t>USA</t>
        </is>
      </c>
      <c r="D48" t="inlineStr">
        <is>
          <t>Llama 3.3 70B</t>
        </is>
      </c>
      <c r="E48" t="inlineStr">
        <is>
          <t>Open-weight</t>
        </is>
      </c>
      <c r="F48" t="inlineStr">
        <is>
          <t>Mid</t>
        </is>
      </c>
      <c r="G48" s="6" t="n">
        <v>0.88</v>
      </c>
      <c r="H48" s="6" t="n">
        <v>0.88</v>
      </c>
      <c r="I48" s="7">
        <f>(3*G48+H48)/4</f>
        <v/>
      </c>
      <c r="J48" s="5" t="n">
        <v>45632</v>
      </c>
      <c r="K48" t="inlineStr">
        <is>
          <t>Together AI (reference host)</t>
        </is>
      </c>
      <c r="L48" t="inlineStr"/>
    </row>
    <row r="49">
      <c r="A49" t="n">
        <v>47</v>
      </c>
      <c r="B49" t="inlineStr">
        <is>
          <t>Meta</t>
        </is>
      </c>
      <c r="C49" t="inlineStr">
        <is>
          <t>USA</t>
        </is>
      </c>
      <c r="D49" t="inlineStr">
        <is>
          <t>Llama 2 70B</t>
        </is>
      </c>
      <c r="E49" t="inlineStr">
        <is>
          <t>Open-weight</t>
        </is>
      </c>
      <c r="F49" t="inlineStr">
        <is>
          <t>Flagship</t>
        </is>
      </c>
      <c r="G49" s="6" t="n">
        <v>0.9</v>
      </c>
      <c r="H49" s="6" t="n">
        <v>0.9</v>
      </c>
      <c r="I49" s="7">
        <f>(3*G49+H49)/4</f>
        <v/>
      </c>
      <c r="J49" s="5" t="n">
        <v>45125</v>
      </c>
      <c r="K49" t="inlineStr">
        <is>
          <t>Together AI (reference host)</t>
        </is>
      </c>
      <c r="L49" t="inlineStr">
        <is>
          <t>No first-party API - hosted reference rate</t>
        </is>
      </c>
    </row>
    <row r="50">
      <c r="A50" t="n">
        <v>48</v>
      </c>
      <c r="B50" t="inlineStr">
        <is>
          <t>Meta</t>
        </is>
      </c>
      <c r="C50" t="inlineStr">
        <is>
          <t>USA</t>
        </is>
      </c>
      <c r="D50" t="inlineStr">
        <is>
          <t>Llama 3 70B</t>
        </is>
      </c>
      <c r="E50" t="inlineStr">
        <is>
          <t>Open-weight</t>
        </is>
      </c>
      <c r="F50" t="inlineStr">
        <is>
          <t>Flagship</t>
        </is>
      </c>
      <c r="G50" s="6" t="n">
        <v>0.9</v>
      </c>
      <c r="H50" s="6" t="n">
        <v>0.9</v>
      </c>
      <c r="I50" s="7">
        <f>(3*G50+H50)/4</f>
        <v/>
      </c>
      <c r="J50" s="5" t="n">
        <v>45400</v>
      </c>
      <c r="K50" t="inlineStr">
        <is>
          <t>Together AI (reference host)</t>
        </is>
      </c>
      <c r="L50" t="inlineStr"/>
    </row>
    <row r="51">
      <c r="A51" t="n">
        <v>49</v>
      </c>
      <c r="B51" t="inlineStr">
        <is>
          <t>DeepSeek</t>
        </is>
      </c>
      <c r="C51" t="inlineStr">
        <is>
          <t>China</t>
        </is>
      </c>
      <c r="D51" t="inlineStr">
        <is>
          <t>DeepSeek R1</t>
        </is>
      </c>
      <c r="E51" t="inlineStr">
        <is>
          <t>Open-weight</t>
        </is>
      </c>
      <c r="F51" t="inlineStr">
        <is>
          <t>Reasoning</t>
        </is>
      </c>
      <c r="G51" s="6" t="n">
        <v>0.55</v>
      </c>
      <c r="H51" s="6" t="n">
        <v>2.19</v>
      </c>
      <c r="I51" s="7">
        <f>(3*G51+H51)/4</f>
        <v/>
      </c>
      <c r="J51" s="5" t="n">
        <v>45677</v>
      </c>
      <c r="K51" t="inlineStr">
        <is>
          <t>DeepSeek API</t>
        </is>
      </c>
      <c r="L51" t="inlineStr">
        <is>
          <t>Open-weight reasoning model</t>
        </is>
      </c>
    </row>
    <row r="52">
      <c r="A52" t="n">
        <v>50</v>
      </c>
      <c r="B52" t="inlineStr">
        <is>
          <t>Zhipu AI</t>
        </is>
      </c>
      <c r="C52" t="inlineStr">
        <is>
          <t>China</t>
        </is>
      </c>
      <c r="D52" t="inlineStr">
        <is>
          <t>GLM-4.5</t>
        </is>
      </c>
      <c r="E52" t="inlineStr">
        <is>
          <t>Open-weight</t>
        </is>
      </c>
      <c r="F52" t="inlineStr">
        <is>
          <t>Flagship</t>
        </is>
      </c>
      <c r="G52" s="6" t="n">
        <v>0.6</v>
      </c>
      <c r="H52" s="6" t="n">
        <v>2.2</v>
      </c>
      <c r="I52" s="7">
        <f>(3*G52+H52)/4</f>
        <v/>
      </c>
      <c r="J52" s="5" t="n">
        <v>45866</v>
      </c>
      <c r="K52" t="inlineStr">
        <is>
          <t>Z.ai API (intl)</t>
        </is>
      </c>
      <c r="L52" t="inlineStr"/>
    </row>
    <row r="53">
      <c r="A53" t="n">
        <v>51</v>
      </c>
      <c r="B53" t="inlineStr">
        <is>
          <t>Zhipu AI</t>
        </is>
      </c>
      <c r="C53" t="inlineStr">
        <is>
          <t>China</t>
        </is>
      </c>
      <c r="D53" t="inlineStr">
        <is>
          <t>GLM-4.6</t>
        </is>
      </c>
      <c r="E53" t="inlineStr">
        <is>
          <t>Open-weight</t>
        </is>
      </c>
      <c r="F53" t="inlineStr">
        <is>
          <t>Flagship</t>
        </is>
      </c>
      <c r="G53" s="6" t="n">
        <v>0.6</v>
      </c>
      <c r="H53" s="6" t="n">
        <v>2.2</v>
      </c>
      <c r="I53" s="7">
        <f>(3*G53+H53)/4</f>
        <v/>
      </c>
      <c r="J53" s="5" t="n">
        <v>45930</v>
      </c>
      <c r="K53" t="inlineStr">
        <is>
          <t>Z.ai API (intl)</t>
        </is>
      </c>
      <c r="L53" t="inlineStr"/>
    </row>
    <row r="54">
      <c r="A54" t="n">
        <v>52</v>
      </c>
      <c r="B54" t="inlineStr">
        <is>
          <t>Zhipu AI</t>
        </is>
      </c>
      <c r="C54" t="inlineStr">
        <is>
          <t>China</t>
        </is>
      </c>
      <c r="D54" t="inlineStr">
        <is>
          <t>GLM-4.7</t>
        </is>
      </c>
      <c r="E54" t="inlineStr">
        <is>
          <t>Open-weight</t>
        </is>
      </c>
      <c r="F54" t="inlineStr">
        <is>
          <t>Flagship</t>
        </is>
      </c>
      <c r="G54" s="6" t="n">
        <v>0.6</v>
      </c>
      <c r="H54" s="6" t="n">
        <v>2.2</v>
      </c>
      <c r="I54" s="7">
        <f>(3*G54+H54)/4</f>
        <v/>
      </c>
      <c r="J54" s="5" t="n">
        <v>46001</v>
      </c>
      <c r="K54" t="inlineStr">
        <is>
          <t>Z.ai API (intl)</t>
        </is>
      </c>
      <c r="L54" t="inlineStr">
        <is>
          <t>CN endpoint CNY 2/8 (~$0.30/$1.19)</t>
        </is>
      </c>
    </row>
    <row r="55">
      <c r="A55" t="n">
        <v>53</v>
      </c>
      <c r="B55" t="inlineStr">
        <is>
          <t>Moonshot AI</t>
        </is>
      </c>
      <c r="C55" t="inlineStr">
        <is>
          <t>China</t>
        </is>
      </c>
      <c r="D55" t="inlineStr">
        <is>
          <t>Kimi K2</t>
        </is>
      </c>
      <c r="E55" t="inlineStr">
        <is>
          <t>Open-weight</t>
        </is>
      </c>
      <c r="F55" t="inlineStr">
        <is>
          <t>Flagship</t>
        </is>
      </c>
      <c r="G55" s="6" t="n">
        <v>0.6</v>
      </c>
      <c r="H55" s="6" t="n">
        <v>2.5</v>
      </c>
      <c r="I55" s="7">
        <f>(3*G55+H55)/4</f>
        <v/>
      </c>
      <c r="J55" s="5" t="n">
        <v>45849</v>
      </c>
      <c r="K55" t="inlineStr">
        <is>
          <t>Moonshot API</t>
        </is>
      </c>
      <c r="L55" t="inlineStr">
        <is>
          <t>1T-param MoE, open-weight</t>
        </is>
      </c>
    </row>
    <row r="56">
      <c r="A56" t="n">
        <v>54</v>
      </c>
      <c r="B56" t="inlineStr">
        <is>
          <t>Moonshot AI</t>
        </is>
      </c>
      <c r="C56" t="inlineStr">
        <is>
          <t>China</t>
        </is>
      </c>
      <c r="D56" t="inlineStr">
        <is>
          <t>Kimi K2 Thinking</t>
        </is>
      </c>
      <c r="E56" t="inlineStr">
        <is>
          <t>Open-weight</t>
        </is>
      </c>
      <c r="F56" t="inlineStr">
        <is>
          <t>Flagship</t>
        </is>
      </c>
      <c r="G56" s="6" t="n">
        <v>0.6</v>
      </c>
      <c r="H56" s="6" t="n">
        <v>2.5</v>
      </c>
      <c r="I56" s="7">
        <f>(3*G56+H56)/4</f>
        <v/>
      </c>
      <c r="J56" s="5" t="n">
        <v>45967</v>
      </c>
      <c r="K56" t="inlineStr">
        <is>
          <t>Moonshot API</t>
        </is>
      </c>
      <c r="L56" t="inlineStr"/>
    </row>
    <row r="57">
      <c r="A57" t="n">
        <v>55</v>
      </c>
      <c r="B57" t="inlineStr">
        <is>
          <t>Google</t>
        </is>
      </c>
      <c r="C57" t="inlineStr">
        <is>
          <t>USA</t>
        </is>
      </c>
      <c r="D57" t="inlineStr">
        <is>
          <t>Gemini 3 Flash</t>
        </is>
      </c>
      <c r="E57" t="inlineStr">
        <is>
          <t>Frontier (proprietary)</t>
        </is>
      </c>
      <c r="F57" t="inlineStr">
        <is>
          <t>Budget</t>
        </is>
      </c>
      <c r="G57" s="6" t="n">
        <v>0.5</v>
      </c>
      <c r="H57" s="6" t="n">
        <v>3</v>
      </c>
      <c r="I57" s="7">
        <f>(3*G57+H57)/4</f>
        <v/>
      </c>
      <c r="J57" s="5" t="n">
        <v>46000</v>
      </c>
      <c r="K57" t="inlineStr">
        <is>
          <t>Gemini API</t>
        </is>
      </c>
      <c r="L57" t="inlineStr"/>
    </row>
    <row r="58">
      <c r="A58" t="n">
        <v>56</v>
      </c>
      <c r="B58" t="inlineStr">
        <is>
          <t>Anthropic</t>
        </is>
      </c>
      <c r="C58" t="inlineStr">
        <is>
          <t>USA</t>
        </is>
      </c>
      <c r="D58" t="inlineStr">
        <is>
          <t>Claude Instant 1.2</t>
        </is>
      </c>
      <c r="E58" t="inlineStr">
        <is>
          <t>Frontier (proprietary)</t>
        </is>
      </c>
      <c r="F58" t="inlineStr">
        <is>
          <t>Budget</t>
        </is>
      </c>
      <c r="G58" s="6" t="n">
        <v>0.8</v>
      </c>
      <c r="H58" s="6" t="n">
        <v>2.4</v>
      </c>
      <c r="I58" s="7">
        <f>(3*G58+H58)/4</f>
        <v/>
      </c>
      <c r="J58" s="5" t="n">
        <v>45251</v>
      </c>
      <c r="K58" t="inlineStr">
        <is>
          <t>Anthropic API</t>
        </is>
      </c>
      <c r="L58" t="inlineStr"/>
    </row>
    <row r="59">
      <c r="A59" t="n">
        <v>57</v>
      </c>
      <c r="B59" t="inlineStr">
        <is>
          <t>Moonshot AI</t>
        </is>
      </c>
      <c r="C59" t="inlineStr">
        <is>
          <t>China</t>
        </is>
      </c>
      <c r="D59" t="inlineStr">
        <is>
          <t>Kimi K2.5</t>
        </is>
      </c>
      <c r="E59" t="inlineStr">
        <is>
          <t>Open-weight</t>
        </is>
      </c>
      <c r="F59" t="inlineStr">
        <is>
          <t>Flagship</t>
        </is>
      </c>
      <c r="G59" s="6" t="n">
        <v>0.59</v>
      </c>
      <c r="H59" s="6" t="n">
        <v>3.11</v>
      </c>
      <c r="I59" s="7">
        <f>(3*G59+H59)/4</f>
        <v/>
      </c>
      <c r="J59" s="5" t="n">
        <v>46037</v>
      </c>
      <c r="K59" t="inlineStr">
        <is>
          <t>Moonshot API (CN, converted)</t>
        </is>
      </c>
      <c r="L59" t="inlineStr">
        <is>
          <t>CNY 4/21 per 1M</t>
        </is>
      </c>
    </row>
    <row r="60">
      <c r="A60" t="n">
        <v>58</v>
      </c>
      <c r="B60" t="inlineStr">
        <is>
          <t>Alibaba</t>
        </is>
      </c>
      <c r="C60" t="inlineStr">
        <is>
          <t>China</t>
        </is>
      </c>
      <c r="D60" t="inlineStr">
        <is>
          <t>Qwen3 235B-A22B</t>
        </is>
      </c>
      <c r="E60" t="inlineStr">
        <is>
          <t>Open-weight</t>
        </is>
      </c>
      <c r="F60" t="inlineStr">
        <is>
          <t>Flagship</t>
        </is>
      </c>
      <c r="G60" s="6" t="n">
        <v>0.7</v>
      </c>
      <c r="H60" s="6" t="n">
        <v>2.8</v>
      </c>
      <c r="I60" s="7">
        <f>(3*G60+H60)/4</f>
        <v/>
      </c>
      <c r="J60" s="5" t="n">
        <v>45776</v>
      </c>
      <c r="K60" t="inlineStr">
        <is>
          <t>Alibaba Model Studio (intl)</t>
        </is>
      </c>
      <c r="L60" t="inlineStr">
        <is>
          <t>Non-thinking rate</t>
        </is>
      </c>
    </row>
    <row r="61">
      <c r="A61" t="n">
        <v>59</v>
      </c>
      <c r="B61" t="inlineStr">
        <is>
          <t>xAI</t>
        </is>
      </c>
      <c r="C61" t="inlineStr">
        <is>
          <t>USA</t>
        </is>
      </c>
      <c r="D61" t="inlineStr">
        <is>
          <t>Grok Build 0.1</t>
        </is>
      </c>
      <c r="E61" t="inlineStr">
        <is>
          <t>Frontier (proprietary)</t>
        </is>
      </c>
      <c r="F61" t="inlineStr">
        <is>
          <t>Budget</t>
        </is>
      </c>
      <c r="G61" s="6" t="n">
        <v>1</v>
      </c>
      <c r="H61" s="6" t="n">
        <v>2</v>
      </c>
      <c r="I61" s="7">
        <f>(3*G61+H61)/4</f>
        <v/>
      </c>
      <c r="J61" s="5" t="n">
        <v>46204</v>
      </c>
      <c r="K61" t="inlineStr">
        <is>
          <t>xAI API</t>
        </is>
      </c>
      <c r="L61" t="inlineStr">
        <is>
          <t>Coding/app-building model</t>
        </is>
      </c>
    </row>
    <row r="62">
      <c r="A62" t="n">
        <v>60</v>
      </c>
      <c r="B62" t="inlineStr">
        <is>
          <t>Alibaba</t>
        </is>
      </c>
      <c r="C62" t="inlineStr">
        <is>
          <t>China</t>
        </is>
      </c>
      <c r="D62" t="inlineStr">
        <is>
          <t>Qwen3.5 397B</t>
        </is>
      </c>
      <c r="E62" t="inlineStr">
        <is>
          <t>Open-weight</t>
        </is>
      </c>
      <c r="F62" t="inlineStr">
        <is>
          <t>Flagship</t>
        </is>
      </c>
      <c r="G62" s="6" t="n">
        <v>0.6</v>
      </c>
      <c r="H62" s="6" t="n">
        <v>3.6</v>
      </c>
      <c r="I62" s="7">
        <f>(3*G62+H62)/4</f>
        <v/>
      </c>
      <c r="J62" s="5" t="n">
        <v>46068</v>
      </c>
      <c r="K62" t="inlineStr">
        <is>
          <t>Alibaba Model Studio (intl)</t>
        </is>
      </c>
      <c r="L62" t="inlineStr">
        <is>
          <t>Open-weight flagship</t>
        </is>
      </c>
    </row>
    <row r="63">
      <c r="A63" t="n">
        <v>61</v>
      </c>
      <c r="B63" t="inlineStr">
        <is>
          <t>Amazon</t>
        </is>
      </c>
      <c r="C63" t="inlineStr">
        <is>
          <t>USA</t>
        </is>
      </c>
      <c r="D63" t="inlineStr">
        <is>
          <t>Nova Pro</t>
        </is>
      </c>
      <c r="E63" t="inlineStr">
        <is>
          <t>Frontier (proprietary)</t>
        </is>
      </c>
      <c r="F63" t="inlineStr">
        <is>
          <t>Mid</t>
        </is>
      </c>
      <c r="G63" s="6" t="n">
        <v>0.8</v>
      </c>
      <c r="H63" s="6" t="n">
        <v>3.2</v>
      </c>
      <c r="I63" s="7">
        <f>(3*G63+H63)/4</f>
        <v/>
      </c>
      <c r="J63" s="5" t="n">
        <v>45629</v>
      </c>
      <c r="K63" t="inlineStr">
        <is>
          <t>AWS Bedrock</t>
        </is>
      </c>
      <c r="L63" t="inlineStr"/>
    </row>
    <row r="64">
      <c r="A64" t="n">
        <v>62</v>
      </c>
      <c r="B64" t="inlineStr">
        <is>
          <t>Zhipu AI</t>
        </is>
      </c>
      <c r="C64" t="inlineStr">
        <is>
          <t>China</t>
        </is>
      </c>
      <c r="D64" t="inlineStr">
        <is>
          <t>GLM-5</t>
        </is>
      </c>
      <c r="E64" t="inlineStr">
        <is>
          <t>Open-weight</t>
        </is>
      </c>
      <c r="F64" t="inlineStr">
        <is>
          <t>Flagship</t>
        </is>
      </c>
      <c r="G64" s="6" t="n">
        <v>1</v>
      </c>
      <c r="H64" s="6" t="n">
        <v>3.2</v>
      </c>
      <c r="I64" s="7">
        <f>(3*G64+H64)/4</f>
        <v/>
      </c>
      <c r="J64" s="5" t="n">
        <v>46068</v>
      </c>
      <c r="K64" t="inlineStr">
        <is>
          <t>Z.ai API (intl)</t>
        </is>
      </c>
      <c r="L64" t="inlineStr"/>
    </row>
    <row r="65">
      <c r="A65" t="n">
        <v>63</v>
      </c>
      <c r="B65" t="inlineStr">
        <is>
          <t>xAI</t>
        </is>
      </c>
      <c r="C65" t="inlineStr">
        <is>
          <t>USA</t>
        </is>
      </c>
      <c r="D65" t="inlineStr">
        <is>
          <t>Grok 4.20</t>
        </is>
      </c>
      <c r="E65" t="inlineStr">
        <is>
          <t>Frontier (proprietary)</t>
        </is>
      </c>
      <c r="F65" t="inlineStr">
        <is>
          <t>Flagship</t>
        </is>
      </c>
      <c r="G65" s="6" t="n">
        <v>1.25</v>
      </c>
      <c r="H65" s="6" t="n">
        <v>2.5</v>
      </c>
      <c r="I65" s="7">
        <f>(3*G65+H65)/4</f>
        <v/>
      </c>
      <c r="J65" s="5" t="n">
        <v>46090</v>
      </c>
      <c r="K65" t="inlineStr">
        <is>
          <t>xAI API</t>
        </is>
      </c>
      <c r="L65" t="inlineStr">
        <is>
          <t>&lt;200K tier (2x above); snapshot id 0309</t>
        </is>
      </c>
    </row>
    <row r="66">
      <c r="A66" t="n">
        <v>64</v>
      </c>
      <c r="B66" t="inlineStr">
        <is>
          <t>xAI</t>
        </is>
      </c>
      <c r="C66" t="inlineStr">
        <is>
          <t>USA</t>
        </is>
      </c>
      <c r="D66" t="inlineStr">
        <is>
          <t>Grok 4.3</t>
        </is>
      </c>
      <c r="E66" t="inlineStr">
        <is>
          <t>Frontier (proprietary)</t>
        </is>
      </c>
      <c r="F66" t="inlineStr">
        <is>
          <t>Flagship</t>
        </is>
      </c>
      <c r="G66" s="6" t="n">
        <v>1.25</v>
      </c>
      <c r="H66" s="6" t="n">
        <v>2.5</v>
      </c>
      <c r="I66" s="7">
        <f>(3*G66+H66)/4</f>
        <v/>
      </c>
      <c r="J66" s="5" t="n">
        <v>46127</v>
      </c>
      <c r="K66" t="inlineStr">
        <is>
          <t>xAI API</t>
        </is>
      </c>
      <c r="L66" t="inlineStr">
        <is>
          <t>&lt;200K tier</t>
        </is>
      </c>
    </row>
    <row r="67">
      <c r="A67" t="n">
        <v>65</v>
      </c>
      <c r="B67" t="inlineStr">
        <is>
          <t>Anthropic</t>
        </is>
      </c>
      <c r="C67" t="inlineStr">
        <is>
          <t>USA</t>
        </is>
      </c>
      <c r="D67" t="inlineStr">
        <is>
          <t>Claude 3.5 Haiku</t>
        </is>
      </c>
      <c r="E67" t="inlineStr">
        <is>
          <t>Frontier (proprietary)</t>
        </is>
      </c>
      <c r="F67" t="inlineStr">
        <is>
          <t>Budget</t>
        </is>
      </c>
      <c r="G67" s="6" t="n">
        <v>0.8</v>
      </c>
      <c r="H67" s="6" t="n">
        <v>4</v>
      </c>
      <c r="I67" s="7">
        <f>(3*G67+H67)/4</f>
        <v/>
      </c>
      <c r="J67" s="5" t="n">
        <v>45627</v>
      </c>
      <c r="K67" t="inlineStr">
        <is>
          <t>Anthropic API</t>
        </is>
      </c>
      <c r="L67" t="inlineStr"/>
    </row>
    <row r="68">
      <c r="A68" t="n">
        <v>66</v>
      </c>
      <c r="B68" t="inlineStr">
        <is>
          <t>OpenAI</t>
        </is>
      </c>
      <c r="C68" t="inlineStr">
        <is>
          <t>USA</t>
        </is>
      </c>
      <c r="D68" t="inlineStr">
        <is>
          <t>GPT-5.4 mini</t>
        </is>
      </c>
      <c r="E68" t="inlineStr">
        <is>
          <t>Frontier (proprietary)</t>
        </is>
      </c>
      <c r="F68" t="inlineStr">
        <is>
          <t>Budget</t>
        </is>
      </c>
      <c r="G68" s="6" t="n">
        <v>0.75</v>
      </c>
      <c r="H68" s="6" t="n">
        <v>4.5</v>
      </c>
      <c r="I68" s="7">
        <f>(3*G68+H68)/4</f>
        <v/>
      </c>
      <c r="J68" s="5" t="n">
        <v>46098</v>
      </c>
      <c r="K68" t="inlineStr">
        <is>
          <t>OpenAI API</t>
        </is>
      </c>
      <c r="L68" t="inlineStr"/>
    </row>
    <row r="69">
      <c r="A69" t="n">
        <v>67</v>
      </c>
      <c r="B69" t="inlineStr">
        <is>
          <t>Moonshot AI</t>
        </is>
      </c>
      <c r="C69" t="inlineStr">
        <is>
          <t>China</t>
        </is>
      </c>
      <c r="D69" t="inlineStr">
        <is>
          <t>Kimi K2.6</t>
        </is>
      </c>
      <c r="E69" t="inlineStr">
        <is>
          <t>Open-weight</t>
        </is>
      </c>
      <c r="F69" t="inlineStr">
        <is>
          <t>Flagship</t>
        </is>
      </c>
      <c r="G69" s="6" t="n">
        <v>0.96</v>
      </c>
      <c r="H69" s="6" t="n">
        <v>4</v>
      </c>
      <c r="I69" s="7">
        <f>(3*G69+H69)/4</f>
        <v/>
      </c>
      <c r="J69" s="5" t="n">
        <v>46096</v>
      </c>
      <c r="K69" t="inlineStr">
        <is>
          <t>Moonshot API (CN, converted)</t>
        </is>
      </c>
      <c r="L69" t="inlineStr">
        <is>
          <t>CNY 6.5/27 per 1M</t>
        </is>
      </c>
    </row>
    <row r="70">
      <c r="A70" t="n">
        <v>68</v>
      </c>
      <c r="B70" t="inlineStr">
        <is>
          <t>OpenAI</t>
        </is>
      </c>
      <c r="C70" t="inlineStr">
        <is>
          <t>USA</t>
        </is>
      </c>
      <c r="D70" t="inlineStr">
        <is>
          <t>o3-mini</t>
        </is>
      </c>
      <c r="E70" t="inlineStr">
        <is>
          <t>Frontier (proprietary)</t>
        </is>
      </c>
      <c r="F70" t="inlineStr">
        <is>
          <t>Reasoning budget</t>
        </is>
      </c>
      <c r="G70" s="6" t="n">
        <v>1.1</v>
      </c>
      <c r="H70" s="6" t="n">
        <v>4.4</v>
      </c>
      <c r="I70" s="7">
        <f>(3*G70+H70)/4</f>
        <v/>
      </c>
      <c r="J70" s="5" t="n">
        <v>45688</v>
      </c>
      <c r="K70" t="inlineStr">
        <is>
          <t>OpenAI API</t>
        </is>
      </c>
      <c r="L70" t="inlineStr"/>
    </row>
    <row r="71">
      <c r="A71" t="n">
        <v>69</v>
      </c>
      <c r="B71" t="inlineStr">
        <is>
          <t>OpenAI</t>
        </is>
      </c>
      <c r="C71" t="inlineStr">
        <is>
          <t>USA</t>
        </is>
      </c>
      <c r="D71" t="inlineStr">
        <is>
          <t>o4-mini</t>
        </is>
      </c>
      <c r="E71" t="inlineStr">
        <is>
          <t>Frontier (proprietary)</t>
        </is>
      </c>
      <c r="F71" t="inlineStr">
        <is>
          <t>Reasoning budget</t>
        </is>
      </c>
      <c r="G71" s="6" t="n">
        <v>1.1</v>
      </c>
      <c r="H71" s="6" t="n">
        <v>4.4</v>
      </c>
      <c r="I71" s="7">
        <f>(3*G71+H71)/4</f>
        <v/>
      </c>
      <c r="J71" s="5" t="n">
        <v>45763</v>
      </c>
      <c r="K71" t="inlineStr">
        <is>
          <t>OpenAI API</t>
        </is>
      </c>
      <c r="L71" t="inlineStr"/>
    </row>
    <row r="72">
      <c r="A72" t="n">
        <v>70</v>
      </c>
      <c r="B72" t="inlineStr">
        <is>
          <t>Zhipu AI</t>
        </is>
      </c>
      <c r="C72" t="inlineStr">
        <is>
          <t>China</t>
        </is>
      </c>
      <c r="D72" t="inlineStr">
        <is>
          <t>GLM-5.3</t>
        </is>
      </c>
      <c r="E72" t="inlineStr">
        <is>
          <t>Open-weight</t>
        </is>
      </c>
      <c r="F72" t="inlineStr">
        <is>
          <t>Flagship</t>
        </is>
      </c>
      <c r="G72" s="6" t="n">
        <v>1.19</v>
      </c>
      <c r="H72" s="6" t="n">
        <v>4.15</v>
      </c>
      <c r="I72" s="7">
        <f>(3*G72+H72)/4</f>
        <v/>
      </c>
      <c r="J72" s="5" t="n">
        <v>46249</v>
      </c>
      <c r="K72" t="inlineStr">
        <is>
          <t>Zhipu CN (converted)</t>
        </is>
      </c>
      <c r="L72" t="inlineStr">
        <is>
          <t>CNY 8/28 per 1M at ~6.75 CNY/USD; intl rate not yet listed</t>
        </is>
      </c>
    </row>
    <row r="73">
      <c r="A73" t="n">
        <v>71</v>
      </c>
      <c r="B73" t="inlineStr">
        <is>
          <t>DeepSeek</t>
        </is>
      </c>
      <c r="C73" t="inlineStr">
        <is>
          <t>China</t>
        </is>
      </c>
      <c r="D73" t="inlineStr">
        <is>
          <t>DeepSeek V4 Pro</t>
        </is>
      </c>
      <c r="E73" t="inlineStr">
        <is>
          <t>Open-weight</t>
        </is>
      </c>
      <c r="F73" t="inlineStr">
        <is>
          <t>Flagship</t>
        </is>
      </c>
      <c r="G73" s="6" t="n">
        <v>1.33</v>
      </c>
      <c r="H73" s="6" t="n">
        <v>4</v>
      </c>
      <c r="I73" s="7">
        <f>(3*G73+H73)/4</f>
        <v/>
      </c>
      <c r="J73" s="5" t="n">
        <v>46247</v>
      </c>
      <c r="K73" t="inlineStr">
        <is>
          <t>DeepSeek API</t>
        </is>
      </c>
      <c r="L73" t="inlineStr">
        <is>
          <t>CNY 9/27 per 1M; off-peak $0.66/$1.98; snapshot deepseek-v4-pro-0813</t>
        </is>
      </c>
    </row>
    <row r="74">
      <c r="A74" t="n">
        <v>72</v>
      </c>
      <c r="B74" t="inlineStr">
        <is>
          <t>Anthropic</t>
        </is>
      </c>
      <c r="C74" t="inlineStr">
        <is>
          <t>USA</t>
        </is>
      </c>
      <c r="D74" t="inlineStr">
        <is>
          <t>Claude Haiku 4.5</t>
        </is>
      </c>
      <c r="E74" t="inlineStr">
        <is>
          <t>Frontier (proprietary)</t>
        </is>
      </c>
      <c r="F74" t="inlineStr">
        <is>
          <t>Budget</t>
        </is>
      </c>
      <c r="G74" s="6" t="n">
        <v>1</v>
      </c>
      <c r="H74" s="6" t="n">
        <v>5</v>
      </c>
      <c r="I74" s="7">
        <f>(3*G74+H74)/4</f>
        <v/>
      </c>
      <c r="J74" s="5" t="n">
        <v>45945</v>
      </c>
      <c r="K74" t="inlineStr">
        <is>
          <t>Anthropic API</t>
        </is>
      </c>
      <c r="L74" t="inlineStr"/>
    </row>
    <row r="75">
      <c r="A75" t="n">
        <v>73</v>
      </c>
      <c r="B75" t="inlineStr">
        <is>
          <t>Meta</t>
        </is>
      </c>
      <c r="C75" t="inlineStr">
        <is>
          <t>USA</t>
        </is>
      </c>
      <c r="D75" t="inlineStr">
        <is>
          <t>Muse Spark 1.2</t>
        </is>
      </c>
      <c r="E75" t="inlineStr">
        <is>
          <t>Frontier (proprietary)</t>
        </is>
      </c>
      <c r="F75" t="inlineStr">
        <is>
          <t>Mid</t>
        </is>
      </c>
      <c r="G75" s="6" t="n">
        <v>1.25</v>
      </c>
      <c r="H75" s="6" t="n">
        <v>4.25</v>
      </c>
      <c r="I75" s="7">
        <f>(3*G75+H75)/4</f>
        <v/>
      </c>
      <c r="J75" s="5" t="n">
        <v>46235</v>
      </c>
      <c r="K75" t="inlineStr">
        <is>
          <t>Meta Model API (public preview)</t>
        </is>
      </c>
      <c r="L75" t="inlineStr">
        <is>
          <t>Meta's proprietary frontier line; Muse Spark 1.0 launched 2026-04-08</t>
        </is>
      </c>
    </row>
    <row r="76">
      <c r="A76" t="n">
        <v>74</v>
      </c>
      <c r="B76" t="inlineStr">
        <is>
          <t>Zhipu AI</t>
        </is>
      </c>
      <c r="C76" t="inlineStr">
        <is>
          <t>China</t>
        </is>
      </c>
      <c r="D76" t="inlineStr">
        <is>
          <t>GLM-5.1</t>
        </is>
      </c>
      <c r="E76" t="inlineStr">
        <is>
          <t>Open-weight</t>
        </is>
      </c>
      <c r="F76" t="inlineStr">
        <is>
          <t>Flagship</t>
        </is>
      </c>
      <c r="G76" s="6" t="n">
        <v>1.4</v>
      </c>
      <c r="H76" s="6" t="n">
        <v>4.4</v>
      </c>
      <c r="I76" s="7">
        <f>(3*G76+H76)/4</f>
        <v/>
      </c>
      <c r="J76" s="5" t="n">
        <v>46127</v>
      </c>
      <c r="K76" t="inlineStr">
        <is>
          <t>Z.ai API (intl)</t>
        </is>
      </c>
      <c r="L76" t="inlineStr">
        <is>
          <t>CN CNY 6/24</t>
        </is>
      </c>
    </row>
    <row r="77">
      <c r="A77" t="n">
        <v>75</v>
      </c>
      <c r="B77" t="inlineStr">
        <is>
          <t>Zhipu AI</t>
        </is>
      </c>
      <c r="C77" t="inlineStr">
        <is>
          <t>China</t>
        </is>
      </c>
      <c r="D77" t="inlineStr">
        <is>
          <t>GLM-5.2</t>
        </is>
      </c>
      <c r="E77" t="inlineStr">
        <is>
          <t>Open-weight</t>
        </is>
      </c>
      <c r="F77" t="inlineStr">
        <is>
          <t>Flagship</t>
        </is>
      </c>
      <c r="G77" s="6" t="n">
        <v>1.4</v>
      </c>
      <c r="H77" s="6" t="n">
        <v>4.4</v>
      </c>
      <c r="I77" s="7">
        <f>(3*G77+H77)/4</f>
        <v/>
      </c>
      <c r="J77" s="5" t="n">
        <v>46188</v>
      </c>
      <c r="K77" t="inlineStr">
        <is>
          <t>Z.ai API (intl)</t>
        </is>
      </c>
      <c r="L77" t="inlineStr">
        <is>
          <t>MIT-licensed open weights; CN CNY 8/28</t>
        </is>
      </c>
    </row>
    <row r="78">
      <c r="A78" t="n">
        <v>76</v>
      </c>
      <c r="B78" t="inlineStr">
        <is>
          <t>Google</t>
        </is>
      </c>
      <c r="C78" t="inlineStr">
        <is>
          <t>USA</t>
        </is>
      </c>
      <c r="D78" t="inlineStr">
        <is>
          <t>Gemini 1.5 Pro</t>
        </is>
      </c>
      <c r="E78" t="inlineStr">
        <is>
          <t>Frontier (proprietary)</t>
        </is>
      </c>
      <c r="F78" t="inlineStr">
        <is>
          <t>Flagship</t>
        </is>
      </c>
      <c r="G78" s="6" t="n">
        <v>1.25</v>
      </c>
      <c r="H78" s="6" t="n">
        <v>5</v>
      </c>
      <c r="I78" s="7">
        <f>(3*G78+H78)/4</f>
        <v/>
      </c>
      <c r="J78" s="5" t="n">
        <v>45566</v>
      </c>
      <c r="K78" t="inlineStr">
        <is>
          <t>Gemini API</t>
        </is>
      </c>
      <c r="L78" t="inlineStr">
        <is>
          <t>64% cut, &lt;=128K tier</t>
        </is>
      </c>
    </row>
    <row r="79">
      <c r="A79" t="n">
        <v>77</v>
      </c>
      <c r="B79" t="inlineStr">
        <is>
          <t>Alibaba</t>
        </is>
      </c>
      <c r="C79" t="inlineStr">
        <is>
          <t>China</t>
        </is>
      </c>
      <c r="D79" t="inlineStr">
        <is>
          <t>Qwen3-Max</t>
        </is>
      </c>
      <c r="E79" t="inlineStr">
        <is>
          <t>Frontier (proprietary)</t>
        </is>
      </c>
      <c r="F79" t="inlineStr">
        <is>
          <t>Flagship</t>
        </is>
      </c>
      <c r="G79" s="6" t="n">
        <v>1.2</v>
      </c>
      <c r="H79" s="6" t="n">
        <v>6</v>
      </c>
      <c r="I79" s="7">
        <f>(3*G79+H79)/4</f>
        <v/>
      </c>
      <c r="J79" s="5" t="n">
        <v>45924</v>
      </c>
      <c r="K79" t="inlineStr">
        <is>
          <t>Alibaba Model Studio (intl)</t>
        </is>
      </c>
      <c r="L79" t="inlineStr">
        <is>
          <t>&lt;=32K tier; tiered above</t>
        </is>
      </c>
    </row>
    <row r="80">
      <c r="A80" t="n">
        <v>78</v>
      </c>
      <c r="B80" t="inlineStr">
        <is>
          <t>Anthropic</t>
        </is>
      </c>
      <c r="C80" t="inlineStr">
        <is>
          <t>USA</t>
        </is>
      </c>
      <c r="D80" t="inlineStr">
        <is>
          <t>Claude Instant</t>
        </is>
      </c>
      <c r="E80" t="inlineStr">
        <is>
          <t>Frontier (proprietary)</t>
        </is>
      </c>
      <c r="F80" t="inlineStr">
        <is>
          <t>Budget</t>
        </is>
      </c>
      <c r="G80" s="6" t="n">
        <v>1.63</v>
      </c>
      <c r="H80" s="6" t="n">
        <v>5.51</v>
      </c>
      <c r="I80" s="7">
        <f>(3*G80+H80)/4</f>
        <v/>
      </c>
      <c r="J80" s="5" t="n">
        <v>44999</v>
      </c>
      <c r="K80" t="inlineStr">
        <is>
          <t>Anthropic API</t>
        </is>
      </c>
      <c r="L80" t="inlineStr"/>
    </row>
    <row r="81">
      <c r="A81" t="n">
        <v>79</v>
      </c>
      <c r="B81" t="inlineStr">
        <is>
          <t>Alibaba</t>
        </is>
      </c>
      <c r="C81" t="inlineStr">
        <is>
          <t>China</t>
        </is>
      </c>
      <c r="D81" t="inlineStr">
        <is>
          <t>Qwen3.7 Max</t>
        </is>
      </c>
      <c r="E81" t="inlineStr">
        <is>
          <t>Frontier (proprietary)</t>
        </is>
      </c>
      <c r="F81" t="inlineStr">
        <is>
          <t>Flagship</t>
        </is>
      </c>
      <c r="G81" s="6" t="n">
        <v>1.78</v>
      </c>
      <c r="H81" s="6" t="n">
        <v>5.34</v>
      </c>
      <c r="I81" s="7">
        <f>(3*G81+H81)/4</f>
        <v/>
      </c>
      <c r="J81" s="5" t="n">
        <v>46162</v>
      </c>
      <c r="K81" t="inlineStr">
        <is>
          <t>Alibaba Model Studio (CN, converted)</t>
        </is>
      </c>
      <c r="L81" t="inlineStr">
        <is>
          <t>CNY 12/36 per 1M at ~6.75 CNY/USD</t>
        </is>
      </c>
    </row>
    <row r="82">
      <c r="A82" t="n">
        <v>80</v>
      </c>
      <c r="B82" t="inlineStr">
        <is>
          <t>Alibaba</t>
        </is>
      </c>
      <c r="C82" t="inlineStr">
        <is>
          <t>China</t>
        </is>
      </c>
      <c r="D82" t="inlineStr">
        <is>
          <t>Qwen3.8 Max</t>
        </is>
      </c>
      <c r="E82" t="inlineStr">
        <is>
          <t>Frontier (proprietary)</t>
        </is>
      </c>
      <c r="F82" t="inlineStr">
        <is>
          <t>Flagship</t>
        </is>
      </c>
      <c r="G82" s="6" t="n">
        <v>1.78</v>
      </c>
      <c r="H82" s="6" t="n">
        <v>5.34</v>
      </c>
      <c r="I82" s="7">
        <f>(3*G82+H82)/4</f>
        <v/>
      </c>
      <c r="J82" s="5" t="n">
        <v>46249</v>
      </c>
      <c r="K82" t="inlineStr">
        <is>
          <t>Alibaba Model Studio (CN, converted)</t>
        </is>
      </c>
      <c r="L82" t="inlineStr">
        <is>
          <t>CNY 12/36; Prime speed tier CNY 24/72</t>
        </is>
      </c>
    </row>
    <row r="83">
      <c r="A83" t="n">
        <v>81</v>
      </c>
      <c r="B83" t="inlineStr">
        <is>
          <t>Mistral AI</t>
        </is>
      </c>
      <c r="C83" t="inlineStr">
        <is>
          <t>France</t>
        </is>
      </c>
      <c r="D83" t="inlineStr">
        <is>
          <t>Magistral Medium</t>
        </is>
      </c>
      <c r="E83" t="inlineStr">
        <is>
          <t>Frontier (proprietary)</t>
        </is>
      </c>
      <c r="F83" t="inlineStr">
        <is>
          <t>Reasoning</t>
        </is>
      </c>
      <c r="G83" s="6" t="n">
        <v>2</v>
      </c>
      <c r="H83" s="6" t="n">
        <v>5</v>
      </c>
      <c r="I83" s="7">
        <f>(3*G83+H83)/4</f>
        <v/>
      </c>
      <c r="J83" s="5" t="n">
        <v>45818</v>
      </c>
      <c r="K83" t="inlineStr">
        <is>
          <t>La Plateforme</t>
        </is>
      </c>
      <c r="L83" t="inlineStr">
        <is>
          <t>Reasoning model</t>
        </is>
      </c>
    </row>
    <row r="84">
      <c r="A84" t="n">
        <v>82</v>
      </c>
      <c r="B84" t="inlineStr">
        <is>
          <t>Alibaba</t>
        </is>
      </c>
      <c r="C84" t="inlineStr">
        <is>
          <t>China</t>
        </is>
      </c>
      <c r="D84" t="inlineStr">
        <is>
          <t>Qwen2.5-Max</t>
        </is>
      </c>
      <c r="E84" t="inlineStr">
        <is>
          <t>Frontier (proprietary)</t>
        </is>
      </c>
      <c r="F84" t="inlineStr">
        <is>
          <t>Flagship</t>
        </is>
      </c>
      <c r="G84" s="6" t="n">
        <v>1.6</v>
      </c>
      <c r="H84" s="6" t="n">
        <v>6.4</v>
      </c>
      <c r="I84" s="7">
        <f>(3*G84+H84)/4</f>
        <v/>
      </c>
      <c r="J84" s="5" t="n">
        <v>45685</v>
      </c>
      <c r="K84" t="inlineStr">
        <is>
          <t>Alibaba Model Studio (intl)</t>
        </is>
      </c>
      <c r="L84" t="inlineStr">
        <is>
          <t>Proprietary Max line</t>
        </is>
      </c>
    </row>
    <row r="85">
      <c r="A85" t="n">
        <v>83</v>
      </c>
      <c r="B85" t="inlineStr">
        <is>
          <t>Mistral AI</t>
        </is>
      </c>
      <c r="C85" t="inlineStr">
        <is>
          <t>France</t>
        </is>
      </c>
      <c r="D85" t="inlineStr">
        <is>
          <t>Mistral Large 2</t>
        </is>
      </c>
      <c r="E85" t="inlineStr">
        <is>
          <t>Open-weight</t>
        </is>
      </c>
      <c r="F85" t="inlineStr">
        <is>
          <t>Flagship</t>
        </is>
      </c>
      <c r="G85" s="6" t="n">
        <v>2</v>
      </c>
      <c r="H85" s="6" t="n">
        <v>6</v>
      </c>
      <c r="I85" s="7">
        <f>(3*G85+H85)/4</f>
        <v/>
      </c>
      <c r="J85" s="5" t="n">
        <v>45597</v>
      </c>
      <c r="K85" t="inlineStr">
        <is>
          <t>La Plateforme</t>
        </is>
      </c>
      <c r="L85" t="inlineStr"/>
    </row>
    <row r="86">
      <c r="A86" t="n">
        <v>84</v>
      </c>
      <c r="B86" t="inlineStr">
        <is>
          <t>xAI</t>
        </is>
      </c>
      <c r="C86" t="inlineStr">
        <is>
          <t>USA</t>
        </is>
      </c>
      <c r="D86" t="inlineStr">
        <is>
          <t>Grok 4.5</t>
        </is>
      </c>
      <c r="E86" t="inlineStr">
        <is>
          <t>Frontier (proprietary)</t>
        </is>
      </c>
      <c r="F86" t="inlineStr">
        <is>
          <t>Flagship</t>
        </is>
      </c>
      <c r="G86" s="6" t="n">
        <v>2</v>
      </c>
      <c r="H86" s="6" t="n">
        <v>6</v>
      </c>
      <c r="I86" s="7">
        <f>(3*G86+H86)/4</f>
        <v/>
      </c>
      <c r="J86" s="5" t="n">
        <v>46157</v>
      </c>
      <c r="K86" t="inlineStr">
        <is>
          <t>xAI API</t>
        </is>
      </c>
      <c r="L86" t="inlineStr">
        <is>
          <t>&lt;200K tier (2x above)</t>
        </is>
      </c>
    </row>
    <row r="87">
      <c r="A87" t="n">
        <v>85</v>
      </c>
      <c r="B87" t="inlineStr">
        <is>
          <t>Mistral AI</t>
        </is>
      </c>
      <c r="C87" t="inlineStr">
        <is>
          <t>France</t>
        </is>
      </c>
      <c r="D87" t="inlineStr">
        <is>
          <t>Mistral Medium 3.5</t>
        </is>
      </c>
      <c r="E87" t="inlineStr">
        <is>
          <t>Frontier (proprietary)</t>
        </is>
      </c>
      <c r="F87" t="inlineStr">
        <is>
          <t>Mid</t>
        </is>
      </c>
      <c r="G87" s="6" t="n">
        <v>1.5</v>
      </c>
      <c r="H87" s="6" t="n">
        <v>7.5</v>
      </c>
      <c r="I87" s="7">
        <f>(3*G87+H87)/4</f>
        <v/>
      </c>
      <c r="J87" s="5" t="n">
        <v>46174</v>
      </c>
      <c r="K87" t="inlineStr">
        <is>
          <t>La Plateforme</t>
        </is>
      </c>
      <c r="L87" t="inlineStr"/>
    </row>
    <row r="88">
      <c r="A88" t="n">
        <v>86</v>
      </c>
      <c r="B88" t="inlineStr">
        <is>
          <t>Google</t>
        </is>
      </c>
      <c r="C88" t="inlineStr">
        <is>
          <t>USA</t>
        </is>
      </c>
      <c r="D88" t="inlineStr">
        <is>
          <t>Gemini 3.6 Flash</t>
        </is>
      </c>
      <c r="E88" t="inlineStr">
        <is>
          <t>Frontier (proprietary)</t>
        </is>
      </c>
      <c r="F88" t="inlineStr">
        <is>
          <t>Budget</t>
        </is>
      </c>
      <c r="G88" s="6" t="n">
        <v>1.5</v>
      </c>
      <c r="H88" s="6" t="n">
        <v>7.5</v>
      </c>
      <c r="I88" s="7">
        <f>(3*G88+H88)/4</f>
        <v/>
      </c>
      <c r="J88" s="5" t="n">
        <v>46218</v>
      </c>
      <c r="K88" t="inlineStr">
        <is>
          <t>Gemini API</t>
        </is>
      </c>
      <c r="L88" t="inlineStr"/>
    </row>
    <row r="89">
      <c r="A89" t="n">
        <v>87</v>
      </c>
      <c r="B89" t="inlineStr">
        <is>
          <t>xAI</t>
        </is>
      </c>
      <c r="C89" t="inlineStr">
        <is>
          <t>USA</t>
        </is>
      </c>
      <c r="D89" t="inlineStr">
        <is>
          <t>Grok 4.6</t>
        </is>
      </c>
      <c r="E89" t="inlineStr">
        <is>
          <t>Frontier (proprietary)</t>
        </is>
      </c>
      <c r="F89" t="inlineStr">
        <is>
          <t>Flagship</t>
        </is>
      </c>
      <c r="G89" s="6" t="n">
        <v>2</v>
      </c>
      <c r="H89" s="6" t="n">
        <v>6</v>
      </c>
      <c r="I89" s="7">
        <f>(3*G89+H89)/4</f>
        <v/>
      </c>
      <c r="J89" s="5" t="n">
        <v>46244</v>
      </c>
      <c r="K89" t="inlineStr">
        <is>
          <t>xAI API</t>
        </is>
      </c>
      <c r="L89" t="inlineStr">
        <is>
          <t>&lt;200K tier (2x above); 500K context</t>
        </is>
      </c>
    </row>
    <row r="90">
      <c r="A90" t="n">
        <v>88</v>
      </c>
      <c r="B90" t="inlineStr">
        <is>
          <t>Google</t>
        </is>
      </c>
      <c r="C90" t="inlineStr">
        <is>
          <t>USA</t>
        </is>
      </c>
      <c r="D90" t="inlineStr">
        <is>
          <t>Gemini 3.5 Flash</t>
        </is>
      </c>
      <c r="E90" t="inlineStr">
        <is>
          <t>Frontier (proprietary)</t>
        </is>
      </c>
      <c r="F90" t="inlineStr">
        <is>
          <t>Budget</t>
        </is>
      </c>
      <c r="G90" s="6" t="n">
        <v>1.5</v>
      </c>
      <c r="H90" s="6" t="n">
        <v>9</v>
      </c>
      <c r="I90" s="7">
        <f>(3*G90+H90)/4</f>
        <v/>
      </c>
      <c r="J90" s="5" t="n">
        <v>46161</v>
      </c>
      <c r="K90" t="inlineStr">
        <is>
          <t>Gemini API</t>
        </is>
      </c>
      <c r="L90" t="inlineStr">
        <is>
          <t>Price INCREASE vs 3 Flash; positioned above 3.1 Pro on coding</t>
        </is>
      </c>
    </row>
    <row r="91">
      <c r="A91" t="n">
        <v>89</v>
      </c>
      <c r="B91" t="inlineStr">
        <is>
          <t>Google</t>
        </is>
      </c>
      <c r="C91" t="inlineStr">
        <is>
          <t>USA</t>
        </is>
      </c>
      <c r="D91" t="inlineStr">
        <is>
          <t>Gemini 2.5 Pro</t>
        </is>
      </c>
      <c r="E91" t="inlineStr">
        <is>
          <t>Frontier (proprietary)</t>
        </is>
      </c>
      <c r="F91" t="inlineStr">
        <is>
          <t>Flagship</t>
        </is>
      </c>
      <c r="G91" s="6" t="n">
        <v>1.25</v>
      </c>
      <c r="H91" s="6" t="n">
        <v>10</v>
      </c>
      <c r="I91" s="7">
        <f>(3*G91+H91)/4</f>
        <v/>
      </c>
      <c r="J91" s="5" t="n">
        <v>45825</v>
      </c>
      <c r="K91" t="inlineStr">
        <is>
          <t>Gemini API</t>
        </is>
      </c>
      <c r="L91" t="inlineStr">
        <is>
          <t>GA; &lt;=200K tier ($2.50/$15 above)</t>
        </is>
      </c>
    </row>
    <row r="92">
      <c r="A92" t="n">
        <v>90</v>
      </c>
      <c r="B92" t="inlineStr">
        <is>
          <t>OpenAI</t>
        </is>
      </c>
      <c r="C92" t="inlineStr">
        <is>
          <t>USA</t>
        </is>
      </c>
      <c r="D92" t="inlineStr">
        <is>
          <t>GPT-5</t>
        </is>
      </c>
      <c r="E92" t="inlineStr">
        <is>
          <t>Frontier (proprietary)</t>
        </is>
      </c>
      <c r="F92" t="inlineStr">
        <is>
          <t>Flagship</t>
        </is>
      </c>
      <c r="G92" s="6" t="n">
        <v>1.25</v>
      </c>
      <c r="H92" s="6" t="n">
        <v>10</v>
      </c>
      <c r="I92" s="7">
        <f>(3*G92+H92)/4</f>
        <v/>
      </c>
      <c r="J92" s="5" t="n">
        <v>45876</v>
      </c>
      <c r="K92" t="inlineStr">
        <is>
          <t>OpenAI API</t>
        </is>
      </c>
      <c r="L92" t="inlineStr">
        <is>
          <t>400K context</t>
        </is>
      </c>
    </row>
    <row r="93">
      <c r="A93" t="n">
        <v>91</v>
      </c>
      <c r="B93" t="inlineStr">
        <is>
          <t>OpenAI</t>
        </is>
      </c>
      <c r="C93" t="inlineStr">
        <is>
          <t>USA</t>
        </is>
      </c>
      <c r="D93" t="inlineStr">
        <is>
          <t>GPT-5.1</t>
        </is>
      </c>
      <c r="E93" t="inlineStr">
        <is>
          <t>Frontier (proprietary)</t>
        </is>
      </c>
      <c r="F93" t="inlineStr">
        <is>
          <t>Flagship</t>
        </is>
      </c>
      <c r="G93" s="6" t="n">
        <v>1.25</v>
      </c>
      <c r="H93" s="6" t="n">
        <v>10</v>
      </c>
      <c r="I93" s="7">
        <f>(3*G93+H93)/4</f>
        <v/>
      </c>
      <c r="J93" s="5" t="n">
        <v>45973</v>
      </c>
      <c r="K93" t="inlineStr">
        <is>
          <t>OpenAI API</t>
        </is>
      </c>
      <c r="L93" t="inlineStr">
        <is>
          <t>Same pricing as GPT-5</t>
        </is>
      </c>
    </row>
    <row r="94">
      <c r="A94" t="n">
        <v>92</v>
      </c>
      <c r="B94" t="inlineStr">
        <is>
          <t>Meta</t>
        </is>
      </c>
      <c r="C94" t="inlineStr">
        <is>
          <t>USA</t>
        </is>
      </c>
      <c r="D94" t="inlineStr">
        <is>
          <t>Llama 3.1 405B</t>
        </is>
      </c>
      <c r="E94" t="inlineStr">
        <is>
          <t>Open-weight</t>
        </is>
      </c>
      <c r="F94" t="inlineStr">
        <is>
          <t>Flagship</t>
        </is>
      </c>
      <c r="G94" s="6" t="n">
        <v>3.5</v>
      </c>
      <c r="H94" s="6" t="n">
        <v>3.5</v>
      </c>
      <c r="I94" s="7">
        <f>(3*G94+H94)/4</f>
        <v/>
      </c>
      <c r="J94" s="5" t="n">
        <v>45496</v>
      </c>
      <c r="K94" t="inlineStr">
        <is>
          <t>Together AI (reference host)</t>
        </is>
      </c>
      <c r="L94" t="inlineStr">
        <is>
          <t>Largest open-weight launch of 2024</t>
        </is>
      </c>
    </row>
    <row r="95">
      <c r="A95" t="n">
        <v>93</v>
      </c>
      <c r="B95" t="inlineStr">
        <is>
          <t>OpenAI</t>
        </is>
      </c>
      <c r="C95" t="inlineStr">
        <is>
          <t>USA</t>
        </is>
      </c>
      <c r="D95" t="inlineStr">
        <is>
          <t>GPT-4.1</t>
        </is>
      </c>
      <c r="E95" t="inlineStr">
        <is>
          <t>Frontier (proprietary)</t>
        </is>
      </c>
      <c r="F95" t="inlineStr">
        <is>
          <t>Mid</t>
        </is>
      </c>
      <c r="G95" s="6" t="n">
        <v>2</v>
      </c>
      <c r="H95" s="6" t="n">
        <v>8</v>
      </c>
      <c r="I95" s="7">
        <f>(3*G95+H95)/4</f>
        <v/>
      </c>
      <c r="J95" s="5" t="n">
        <v>45761</v>
      </c>
      <c r="K95" t="inlineStr">
        <is>
          <t>OpenAI API</t>
        </is>
      </c>
      <c r="L95" t="inlineStr">
        <is>
          <t>1M context</t>
        </is>
      </c>
    </row>
    <row r="96">
      <c r="A96" t="n">
        <v>94</v>
      </c>
      <c r="B96" t="inlineStr">
        <is>
          <t>OpenAI</t>
        </is>
      </c>
      <c r="C96" t="inlineStr">
        <is>
          <t>USA</t>
        </is>
      </c>
      <c r="D96" t="inlineStr">
        <is>
          <t>o3</t>
        </is>
      </c>
      <c r="E96" t="inlineStr">
        <is>
          <t>Frontier (proprietary)</t>
        </is>
      </c>
      <c r="F96" t="inlineStr">
        <is>
          <t>Reasoning</t>
        </is>
      </c>
      <c r="G96" s="6" t="n">
        <v>2</v>
      </c>
      <c r="H96" s="6" t="n">
        <v>8</v>
      </c>
      <c r="I96" s="7">
        <f>(3*G96+H96)/4</f>
        <v/>
      </c>
      <c r="J96" s="5" t="n">
        <v>45818</v>
      </c>
      <c r="K96" t="inlineStr">
        <is>
          <t>OpenAI API</t>
        </is>
      </c>
      <c r="L96" t="inlineStr">
        <is>
          <t>80% cut</t>
        </is>
      </c>
    </row>
    <row r="97">
      <c r="A97" t="n">
        <v>95</v>
      </c>
      <c r="B97" t="inlineStr">
        <is>
          <t>xAI</t>
        </is>
      </c>
      <c r="C97" t="inlineStr">
        <is>
          <t>USA</t>
        </is>
      </c>
      <c r="D97" t="inlineStr">
        <is>
          <t>Grok 2</t>
        </is>
      </c>
      <c r="E97" t="inlineStr">
        <is>
          <t>Frontier (proprietary)</t>
        </is>
      </c>
      <c r="F97" t="inlineStr">
        <is>
          <t>Flagship</t>
        </is>
      </c>
      <c r="G97" s="6" t="n">
        <v>2</v>
      </c>
      <c r="H97" s="6" t="n">
        <v>10</v>
      </c>
      <c r="I97" s="7">
        <f>(3*G97+H97)/4</f>
        <v/>
      </c>
      <c r="J97" s="5" t="n">
        <v>45638</v>
      </c>
      <c r="K97" t="inlineStr">
        <is>
          <t>xAI API</t>
        </is>
      </c>
      <c r="L97" t="inlineStr"/>
    </row>
    <row r="98">
      <c r="A98" t="n">
        <v>96</v>
      </c>
      <c r="B98" t="inlineStr">
        <is>
          <t>Anthropic</t>
        </is>
      </c>
      <c r="C98" t="inlineStr">
        <is>
          <t>USA</t>
        </is>
      </c>
      <c r="D98" t="inlineStr">
        <is>
          <t>Claude Sonnet 5</t>
        </is>
      </c>
      <c r="E98" t="inlineStr">
        <is>
          <t>Frontier (proprietary)</t>
        </is>
      </c>
      <c r="F98" t="inlineStr">
        <is>
          <t>Mid</t>
        </is>
      </c>
      <c r="G98" s="6" t="n">
        <v>2</v>
      </c>
      <c r="H98" s="6" t="n">
        <v>10</v>
      </c>
      <c r="I98" s="7">
        <f>(3*G98+H98)/4</f>
        <v/>
      </c>
      <c r="J98" s="5" t="n">
        <v>46203</v>
      </c>
      <c r="K98" t="inlineStr">
        <is>
          <t>Anthropic API</t>
        </is>
      </c>
      <c r="L98" t="inlineStr">
        <is>
          <t>Intro price made standard on 2026-08-10; scheduled rise to $3/$15 cancelled</t>
        </is>
      </c>
    </row>
    <row r="99">
      <c r="A99" t="n">
        <v>97</v>
      </c>
      <c r="B99" t="inlineStr">
        <is>
          <t>OpenAI</t>
        </is>
      </c>
      <c r="C99" t="inlineStr">
        <is>
          <t>USA</t>
        </is>
      </c>
      <c r="D99" t="inlineStr">
        <is>
          <t>GPT-4o</t>
        </is>
      </c>
      <c r="E99" t="inlineStr">
        <is>
          <t>Frontier (proprietary)</t>
        </is>
      </c>
      <c r="F99" t="inlineStr">
        <is>
          <t>Flagship</t>
        </is>
      </c>
      <c r="G99" s="6" t="n">
        <v>2.5</v>
      </c>
      <c r="H99" s="6" t="n">
        <v>10</v>
      </c>
      <c r="I99" s="7">
        <f>(3*G99+H99)/4</f>
        <v/>
      </c>
      <c r="J99" s="5" t="n">
        <v>45510</v>
      </c>
      <c r="K99" t="inlineStr">
        <is>
          <t>OpenAI API</t>
        </is>
      </c>
      <c r="L99" t="inlineStr">
        <is>
          <t>gpt-4o-2024-08-06</t>
        </is>
      </c>
    </row>
    <row r="100">
      <c r="A100" t="n">
        <v>98</v>
      </c>
      <c r="B100" t="inlineStr">
        <is>
          <t>Cohere</t>
        </is>
      </c>
      <c r="C100" t="inlineStr">
        <is>
          <t>Canada</t>
        </is>
      </c>
      <c r="D100" t="inlineStr">
        <is>
          <t>Command A</t>
        </is>
      </c>
      <c r="E100" t="inlineStr">
        <is>
          <t>Frontier (proprietary)</t>
        </is>
      </c>
      <c r="F100" t="inlineStr">
        <is>
          <t>Flagship</t>
        </is>
      </c>
      <c r="G100" s="6" t="n">
        <v>2.5</v>
      </c>
      <c r="H100" s="6" t="n">
        <v>10</v>
      </c>
      <c r="I100" s="7">
        <f>(3*G100+H100)/4</f>
        <v/>
      </c>
      <c r="J100" s="5" t="n">
        <v>45729</v>
      </c>
      <c r="K100" t="inlineStr">
        <is>
          <t>Cohere API</t>
        </is>
      </c>
      <c r="L100" t="inlineStr"/>
    </row>
    <row r="101">
      <c r="A101" t="n">
        <v>99</v>
      </c>
      <c r="B101" t="inlineStr">
        <is>
          <t>Google</t>
        </is>
      </c>
      <c r="C101" t="inlineStr">
        <is>
          <t>USA</t>
        </is>
      </c>
      <c r="D101" t="inlineStr">
        <is>
          <t>Gemini 3 Pro</t>
        </is>
      </c>
      <c r="E101" t="inlineStr">
        <is>
          <t>Frontier (proprietary)</t>
        </is>
      </c>
      <c r="F101" t="inlineStr">
        <is>
          <t>Flagship</t>
        </is>
      </c>
      <c r="G101" s="6" t="n">
        <v>2</v>
      </c>
      <c r="H101" s="6" t="n">
        <v>12</v>
      </c>
      <c r="I101" s="7">
        <f>(3*G101+H101)/4</f>
        <v/>
      </c>
      <c r="J101" s="5" t="n">
        <v>45979</v>
      </c>
      <c r="K101" t="inlineStr">
        <is>
          <t>Gemini API</t>
        </is>
      </c>
      <c r="L101" t="inlineStr">
        <is>
          <t>&lt;=200K tier ($4/$18 above)</t>
        </is>
      </c>
    </row>
    <row r="102">
      <c r="A102" t="n">
        <v>100</v>
      </c>
      <c r="B102" t="inlineStr">
        <is>
          <t>Google</t>
        </is>
      </c>
      <c r="C102" t="inlineStr">
        <is>
          <t>USA</t>
        </is>
      </c>
      <c r="D102" t="inlineStr">
        <is>
          <t>Gemini 3.1 Pro</t>
        </is>
      </c>
      <c r="E102" t="inlineStr">
        <is>
          <t>Frontier (proprietary)</t>
        </is>
      </c>
      <c r="F102" t="inlineStr">
        <is>
          <t>Flagship</t>
        </is>
      </c>
      <c r="G102" s="6" t="n">
        <v>2</v>
      </c>
      <c r="H102" s="6" t="n">
        <v>12</v>
      </c>
      <c r="I102" s="7">
        <f>(3*G102+H102)/4</f>
        <v/>
      </c>
      <c r="J102" s="5" t="n">
        <v>46082</v>
      </c>
      <c r="K102" t="inlineStr">
        <is>
          <t>Gemini API</t>
        </is>
      </c>
      <c r="L102" t="inlineStr">
        <is>
          <t>&lt;=200K tier ($4/$18 above); 2M context</t>
        </is>
      </c>
    </row>
    <row r="103">
      <c r="A103" t="n">
        <v>101</v>
      </c>
      <c r="B103" t="inlineStr">
        <is>
          <t>OpenAI</t>
        </is>
      </c>
      <c r="C103" t="inlineStr">
        <is>
          <t>USA</t>
        </is>
      </c>
      <c r="D103" t="inlineStr">
        <is>
          <t>GPT-5.6 Terra</t>
        </is>
      </c>
      <c r="E103" t="inlineStr">
        <is>
          <t>Frontier (proprietary)</t>
        </is>
      </c>
      <c r="F103" t="inlineStr">
        <is>
          <t>Mid</t>
        </is>
      </c>
      <c r="G103" s="6" t="n">
        <v>2</v>
      </c>
      <c r="H103" s="6" t="n">
        <v>12</v>
      </c>
      <c r="I103" s="7">
        <f>(3*G103+H103)/4</f>
        <v/>
      </c>
      <c r="J103" s="5" t="n">
        <v>46233</v>
      </c>
      <c r="K103" t="inlineStr">
        <is>
          <t>OpenAI API</t>
        </is>
      </c>
      <c r="L103" t="inlineStr">
        <is>
          <t>20% cut</t>
        </is>
      </c>
    </row>
    <row r="104">
      <c r="A104" t="n">
        <v>102</v>
      </c>
      <c r="B104" t="inlineStr">
        <is>
          <t>OpenAI</t>
        </is>
      </c>
      <c r="C104" t="inlineStr">
        <is>
          <t>USA</t>
        </is>
      </c>
      <c r="D104" t="inlineStr">
        <is>
          <t>GPT-5.2</t>
        </is>
      </c>
      <c r="E104" t="inlineStr">
        <is>
          <t>Frontier (proprietary)</t>
        </is>
      </c>
      <c r="F104" t="inlineStr">
        <is>
          <t>Flagship</t>
        </is>
      </c>
      <c r="G104" s="6" t="n">
        <v>1.75</v>
      </c>
      <c r="H104" s="6" t="n">
        <v>14</v>
      </c>
      <c r="I104" s="7">
        <f>(3*G104+H104)/4</f>
        <v/>
      </c>
      <c r="J104" s="5" t="n">
        <v>46002</v>
      </c>
      <c r="K104" t="inlineStr">
        <is>
          <t>OpenAI API</t>
        </is>
      </c>
      <c r="L104" t="inlineStr"/>
    </row>
    <row r="105">
      <c r="A105" t="n">
        <v>103</v>
      </c>
      <c r="B105" t="inlineStr">
        <is>
          <t>Amazon</t>
        </is>
      </c>
      <c r="C105" t="inlineStr">
        <is>
          <t>USA</t>
        </is>
      </c>
      <c r="D105" t="inlineStr">
        <is>
          <t>Nova Premier</t>
        </is>
      </c>
      <c r="E105" t="inlineStr">
        <is>
          <t>Frontier (proprietary)</t>
        </is>
      </c>
      <c r="F105" t="inlineStr">
        <is>
          <t>Flagship</t>
        </is>
      </c>
      <c r="G105" s="6" t="n">
        <v>2.5</v>
      </c>
      <c r="H105" s="6" t="n">
        <v>12.5</v>
      </c>
      <c r="I105" s="7">
        <f>(3*G105+H105)/4</f>
        <v/>
      </c>
      <c r="J105" s="5" t="n">
        <v>45777</v>
      </c>
      <c r="K105" t="inlineStr">
        <is>
          <t>AWS Bedrock</t>
        </is>
      </c>
      <c r="L105" t="inlineStr"/>
    </row>
    <row r="106">
      <c r="A106" t="n">
        <v>104</v>
      </c>
      <c r="B106" t="inlineStr">
        <is>
          <t>OpenAI</t>
        </is>
      </c>
      <c r="C106" t="inlineStr">
        <is>
          <t>USA</t>
        </is>
      </c>
      <c r="D106" t="inlineStr">
        <is>
          <t>o1-mini</t>
        </is>
      </c>
      <c r="E106" t="inlineStr">
        <is>
          <t>Frontier (proprietary)</t>
        </is>
      </c>
      <c r="F106" t="inlineStr">
        <is>
          <t>Reasoning budget</t>
        </is>
      </c>
      <c r="G106" s="6" t="n">
        <v>3</v>
      </c>
      <c r="H106" s="6" t="n">
        <v>12</v>
      </c>
      <c r="I106" s="7">
        <f>(3*G106+H106)/4</f>
        <v/>
      </c>
      <c r="J106" s="5" t="n">
        <v>45547</v>
      </c>
      <c r="K106" t="inlineStr">
        <is>
          <t>OpenAI API</t>
        </is>
      </c>
      <c r="L106" t="inlineStr"/>
    </row>
    <row r="107">
      <c r="A107" t="n">
        <v>105</v>
      </c>
      <c r="B107" t="inlineStr">
        <is>
          <t>OpenAI</t>
        </is>
      </c>
      <c r="C107" t="inlineStr">
        <is>
          <t>USA</t>
        </is>
      </c>
      <c r="D107" t="inlineStr">
        <is>
          <t>GPT-5.4</t>
        </is>
      </c>
      <c r="E107" t="inlineStr">
        <is>
          <t>Frontier (proprietary)</t>
        </is>
      </c>
      <c r="F107" t="inlineStr">
        <is>
          <t>Flagship</t>
        </is>
      </c>
      <c r="G107" s="6" t="n">
        <v>2.5</v>
      </c>
      <c r="H107" s="6" t="n">
        <v>15</v>
      </c>
      <c r="I107" s="7">
        <f>(3*G107+H107)/4</f>
        <v/>
      </c>
      <c r="J107" s="5" t="n">
        <v>46086</v>
      </c>
      <c r="K107" t="inlineStr">
        <is>
          <t>OpenAI API</t>
        </is>
      </c>
      <c r="L107" t="inlineStr">
        <is>
          <t>First mainline model with native computer use; 1M context option</t>
        </is>
      </c>
    </row>
    <row r="108">
      <c r="A108" t="n">
        <v>106</v>
      </c>
      <c r="B108" t="inlineStr">
        <is>
          <t>Anthropic</t>
        </is>
      </c>
      <c r="C108" t="inlineStr">
        <is>
          <t>USA</t>
        </is>
      </c>
      <c r="D108" t="inlineStr">
        <is>
          <t>Claude 3 Sonnet</t>
        </is>
      </c>
      <c r="E108" t="inlineStr">
        <is>
          <t>Frontier (proprietary)</t>
        </is>
      </c>
      <c r="F108" t="inlineStr">
        <is>
          <t>Mid</t>
        </is>
      </c>
      <c r="G108" s="6" t="n">
        <v>3</v>
      </c>
      <c r="H108" s="6" t="n">
        <v>15</v>
      </c>
      <c r="I108" s="7">
        <f>(3*G108+H108)/4</f>
        <v/>
      </c>
      <c r="J108" s="5" t="n">
        <v>45355</v>
      </c>
      <c r="K108" t="inlineStr">
        <is>
          <t>Anthropic API</t>
        </is>
      </c>
      <c r="L108" t="inlineStr"/>
    </row>
    <row r="109">
      <c r="A109" t="n">
        <v>107</v>
      </c>
      <c r="B109" t="inlineStr">
        <is>
          <t>Cohere</t>
        </is>
      </c>
      <c r="C109" t="inlineStr">
        <is>
          <t>Canada</t>
        </is>
      </c>
      <c r="D109" t="inlineStr">
        <is>
          <t>Command R+</t>
        </is>
      </c>
      <c r="E109" t="inlineStr">
        <is>
          <t>Frontier (proprietary)</t>
        </is>
      </c>
      <c r="F109" t="inlineStr">
        <is>
          <t>Flagship</t>
        </is>
      </c>
      <c r="G109" s="6" t="n">
        <v>3</v>
      </c>
      <c r="H109" s="6" t="n">
        <v>15</v>
      </c>
      <c r="I109" s="7">
        <f>(3*G109+H109)/4</f>
        <v/>
      </c>
      <c r="J109" s="5" t="n">
        <v>45386</v>
      </c>
      <c r="K109" t="inlineStr">
        <is>
          <t>Cohere API</t>
        </is>
      </c>
      <c r="L109" t="inlineStr">
        <is>
          <t>Cut to $2.50/$10 with 08-2024 refresh</t>
        </is>
      </c>
    </row>
    <row r="110">
      <c r="A110" t="n">
        <v>108</v>
      </c>
      <c r="B110" t="inlineStr">
        <is>
          <t>Anthropic</t>
        </is>
      </c>
      <c r="C110" t="inlineStr">
        <is>
          <t>USA</t>
        </is>
      </c>
      <c r="D110" t="inlineStr">
        <is>
          <t>Claude 3.5 Sonnet</t>
        </is>
      </c>
      <c r="E110" t="inlineStr">
        <is>
          <t>Frontier (proprietary)</t>
        </is>
      </c>
      <c r="F110" t="inlineStr">
        <is>
          <t>Mid</t>
        </is>
      </c>
      <c r="G110" s="6" t="n">
        <v>3</v>
      </c>
      <c r="H110" s="6" t="n">
        <v>15</v>
      </c>
      <c r="I110" s="7">
        <f>(3*G110+H110)/4</f>
        <v/>
      </c>
      <c r="J110" s="5" t="n">
        <v>45463</v>
      </c>
      <c r="K110" t="inlineStr">
        <is>
          <t>Anthropic API</t>
        </is>
      </c>
      <c r="L110" t="inlineStr"/>
    </row>
    <row r="111">
      <c r="A111" t="n">
        <v>109</v>
      </c>
      <c r="B111" t="inlineStr">
        <is>
          <t>Anthropic</t>
        </is>
      </c>
      <c r="C111" t="inlineStr">
        <is>
          <t>USA</t>
        </is>
      </c>
      <c r="D111" t="inlineStr">
        <is>
          <t>Claude 3.7 Sonnet</t>
        </is>
      </c>
      <c r="E111" t="inlineStr">
        <is>
          <t>Frontier (proprietary)</t>
        </is>
      </c>
      <c r="F111" t="inlineStr">
        <is>
          <t>Mid</t>
        </is>
      </c>
      <c r="G111" s="6" t="n">
        <v>3</v>
      </c>
      <c r="H111" s="6" t="n">
        <v>15</v>
      </c>
      <c r="I111" s="7">
        <f>(3*G111+H111)/4</f>
        <v/>
      </c>
      <c r="J111" s="5" t="n">
        <v>45712</v>
      </c>
      <c r="K111" t="inlineStr">
        <is>
          <t>Anthropic API</t>
        </is>
      </c>
      <c r="L111" t="inlineStr">
        <is>
          <t>First hybrid reasoning Claude</t>
        </is>
      </c>
    </row>
    <row r="112">
      <c r="A112" t="n">
        <v>110</v>
      </c>
      <c r="B112" t="inlineStr">
        <is>
          <t>xAI</t>
        </is>
      </c>
      <c r="C112" t="inlineStr">
        <is>
          <t>USA</t>
        </is>
      </c>
      <c r="D112" t="inlineStr">
        <is>
          <t>Grok 3</t>
        </is>
      </c>
      <c r="E112" t="inlineStr">
        <is>
          <t>Frontier (proprietary)</t>
        </is>
      </c>
      <c r="F112" t="inlineStr">
        <is>
          <t>Flagship</t>
        </is>
      </c>
      <c r="G112" s="6" t="n">
        <v>3</v>
      </c>
      <c r="H112" s="6" t="n">
        <v>15</v>
      </c>
      <c r="I112" s="7">
        <f>(3*G112+H112)/4</f>
        <v/>
      </c>
      <c r="J112" s="5" t="n">
        <v>45756</v>
      </c>
      <c r="K112" t="inlineStr">
        <is>
          <t>xAI API</t>
        </is>
      </c>
      <c r="L112" t="inlineStr">
        <is>
          <t>API launch</t>
        </is>
      </c>
    </row>
    <row r="113">
      <c r="A113" t="n">
        <v>111</v>
      </c>
      <c r="B113" t="inlineStr">
        <is>
          <t>Anthropic</t>
        </is>
      </c>
      <c r="C113" t="inlineStr">
        <is>
          <t>USA</t>
        </is>
      </c>
      <c r="D113" t="inlineStr">
        <is>
          <t>Claude Sonnet 4</t>
        </is>
      </c>
      <c r="E113" t="inlineStr">
        <is>
          <t>Frontier (proprietary)</t>
        </is>
      </c>
      <c r="F113" t="inlineStr">
        <is>
          <t>Mid</t>
        </is>
      </c>
      <c r="G113" s="6" t="n">
        <v>3</v>
      </c>
      <c r="H113" s="6" t="n">
        <v>15</v>
      </c>
      <c r="I113" s="7">
        <f>(3*G113+H113)/4</f>
        <v/>
      </c>
      <c r="J113" s="5" t="n">
        <v>45799</v>
      </c>
      <c r="K113" t="inlineStr">
        <is>
          <t>Anthropic API</t>
        </is>
      </c>
      <c r="L113" t="inlineStr"/>
    </row>
    <row r="114">
      <c r="A114" t="n">
        <v>112</v>
      </c>
      <c r="B114" t="inlineStr">
        <is>
          <t>xAI</t>
        </is>
      </c>
      <c r="C114" t="inlineStr">
        <is>
          <t>USA</t>
        </is>
      </c>
      <c r="D114" t="inlineStr">
        <is>
          <t>Grok 4</t>
        </is>
      </c>
      <c r="E114" t="inlineStr">
        <is>
          <t>Frontier (proprietary)</t>
        </is>
      </c>
      <c r="F114" t="inlineStr">
        <is>
          <t>Flagship</t>
        </is>
      </c>
      <c r="G114" s="6" t="n">
        <v>3</v>
      </c>
      <c r="H114" s="6" t="n">
        <v>15</v>
      </c>
      <c r="I114" s="7">
        <f>(3*G114+H114)/4</f>
        <v/>
      </c>
      <c r="J114" s="5" t="n">
        <v>45847</v>
      </c>
      <c r="K114" t="inlineStr">
        <is>
          <t>xAI API</t>
        </is>
      </c>
      <c r="L114" t="inlineStr"/>
    </row>
    <row r="115">
      <c r="A115" t="n">
        <v>113</v>
      </c>
      <c r="B115" t="inlineStr">
        <is>
          <t>Anthropic</t>
        </is>
      </c>
      <c r="C115" t="inlineStr">
        <is>
          <t>USA</t>
        </is>
      </c>
      <c r="D115" t="inlineStr">
        <is>
          <t>Claude Sonnet 4.5</t>
        </is>
      </c>
      <c r="E115" t="inlineStr">
        <is>
          <t>Frontier (proprietary)</t>
        </is>
      </c>
      <c r="F115" t="inlineStr">
        <is>
          <t>Mid</t>
        </is>
      </c>
      <c r="G115" s="6" t="n">
        <v>3</v>
      </c>
      <c r="H115" s="6" t="n">
        <v>15</v>
      </c>
      <c r="I115" s="7">
        <f>(3*G115+H115)/4</f>
        <v/>
      </c>
      <c r="J115" s="5" t="n">
        <v>45929</v>
      </c>
      <c r="K115" t="inlineStr">
        <is>
          <t>Anthropic API</t>
        </is>
      </c>
      <c r="L115" t="inlineStr"/>
    </row>
    <row r="116">
      <c r="A116" t="n">
        <v>114</v>
      </c>
      <c r="B116" t="inlineStr">
        <is>
          <t>Anthropic</t>
        </is>
      </c>
      <c r="C116" t="inlineStr">
        <is>
          <t>USA</t>
        </is>
      </c>
      <c r="D116" t="inlineStr">
        <is>
          <t>Claude Sonnet 4.6</t>
        </is>
      </c>
      <c r="E116" t="inlineStr">
        <is>
          <t>Frontier (proprietary)</t>
        </is>
      </c>
      <c r="F116" t="inlineStr">
        <is>
          <t>Mid</t>
        </is>
      </c>
      <c r="G116" s="6" t="n">
        <v>3</v>
      </c>
      <c r="H116" s="6" t="n">
        <v>15</v>
      </c>
      <c r="I116" s="7">
        <f>(3*G116+H116)/4</f>
        <v/>
      </c>
      <c r="J116" s="5" t="n">
        <v>46058</v>
      </c>
      <c r="K116" t="inlineStr">
        <is>
          <t>Anthropic API</t>
        </is>
      </c>
      <c r="L116" t="inlineStr"/>
    </row>
    <row r="117">
      <c r="A117" t="n">
        <v>115</v>
      </c>
      <c r="B117" t="inlineStr">
        <is>
          <t>Moonshot AI</t>
        </is>
      </c>
      <c r="C117" t="inlineStr">
        <is>
          <t>China</t>
        </is>
      </c>
      <c r="D117" t="inlineStr">
        <is>
          <t>Kimi K3</t>
        </is>
      </c>
      <c r="E117" t="inlineStr">
        <is>
          <t>Open-weight</t>
        </is>
      </c>
      <c r="F117" t="inlineStr">
        <is>
          <t>Flagship</t>
        </is>
      </c>
      <c r="G117" s="6" t="n">
        <v>3</v>
      </c>
      <c r="H117" s="6" t="n">
        <v>15</v>
      </c>
      <c r="I117" s="7">
        <f>(3*G117+H117)/4</f>
        <v/>
      </c>
      <c r="J117" s="5" t="n">
        <v>46219</v>
      </c>
      <c r="K117" t="inlineStr">
        <is>
          <t>Moonshot API</t>
        </is>
      </c>
      <c r="L117" t="inlineStr">
        <is>
          <t>2.8T-param flagship, 1M context; CNY 20/100; most expensive open-weight launch to date</t>
        </is>
      </c>
    </row>
    <row r="118">
      <c r="A118" t="n">
        <v>116</v>
      </c>
      <c r="B118" t="inlineStr">
        <is>
          <t>xAI</t>
        </is>
      </c>
      <c r="C118" t="inlineStr">
        <is>
          <t>USA</t>
        </is>
      </c>
      <c r="D118" t="inlineStr">
        <is>
          <t>Grok Beta</t>
        </is>
      </c>
      <c r="E118" t="inlineStr">
        <is>
          <t>Frontier (proprietary)</t>
        </is>
      </c>
      <c r="F118" t="inlineStr">
        <is>
          <t>Flagship</t>
        </is>
      </c>
      <c r="G118" s="6" t="n">
        <v>5</v>
      </c>
      <c r="H118" s="6" t="n">
        <v>15</v>
      </c>
      <c r="I118" s="7">
        <f>(3*G118+H118)/4</f>
        <v/>
      </c>
      <c r="J118" s="5" t="n">
        <v>45600</v>
      </c>
      <c r="K118" t="inlineStr">
        <is>
          <t>xAI API</t>
        </is>
      </c>
      <c r="L118" t="inlineStr"/>
    </row>
    <row r="119">
      <c r="A119" t="n">
        <v>117</v>
      </c>
      <c r="B119" t="inlineStr">
        <is>
          <t>OpenAI</t>
        </is>
      </c>
      <c r="C119" t="inlineStr">
        <is>
          <t>USA</t>
        </is>
      </c>
      <c r="D119" t="inlineStr">
        <is>
          <t>GPT-5.6 Sol</t>
        </is>
      </c>
      <c r="E119" t="inlineStr">
        <is>
          <t>Frontier (proprietary)</t>
        </is>
      </c>
      <c r="F119" t="inlineStr">
        <is>
          <t>Flagship</t>
        </is>
      </c>
      <c r="G119" s="6" t="n">
        <v>4</v>
      </c>
      <c r="H119" s="6" t="n">
        <v>20</v>
      </c>
      <c r="I119" s="7">
        <f>(3*G119+H119)/4</f>
        <v/>
      </c>
      <c r="J119" s="5" t="n">
        <v>46255</v>
      </c>
      <c r="K119" t="inlineStr">
        <is>
          <t>OpenAI API</t>
        </is>
      </c>
      <c r="L119" t="inlineStr">
        <is>
          <t>Promo rate through at least 2026-11-21; list remains $5/$30</t>
        </is>
      </c>
    </row>
    <row r="120">
      <c r="A120" t="n">
        <v>118</v>
      </c>
      <c r="B120" t="inlineStr">
        <is>
          <t>Anthropic</t>
        </is>
      </c>
      <c r="C120" t="inlineStr">
        <is>
          <t>USA</t>
        </is>
      </c>
      <c r="D120" t="inlineStr">
        <is>
          <t>Claude Opus 4.5</t>
        </is>
      </c>
      <c r="E120" t="inlineStr">
        <is>
          <t>Frontier (proprietary)</t>
        </is>
      </c>
      <c r="F120" t="inlineStr">
        <is>
          <t>Flagship</t>
        </is>
      </c>
      <c r="G120" s="6" t="n">
        <v>5</v>
      </c>
      <c r="H120" s="6" t="n">
        <v>25</v>
      </c>
      <c r="I120" s="7">
        <f>(3*G120+H120)/4</f>
        <v/>
      </c>
      <c r="J120" s="5" t="n">
        <v>45985</v>
      </c>
      <c r="K120" t="inlineStr">
        <is>
          <t>Anthropic API</t>
        </is>
      </c>
      <c r="L120" t="inlineStr">
        <is>
          <t>67% price cut vs Opus 4.1 ($15/$75)</t>
        </is>
      </c>
    </row>
    <row r="121">
      <c r="A121" t="n">
        <v>119</v>
      </c>
      <c r="B121" t="inlineStr">
        <is>
          <t>Anthropic</t>
        </is>
      </c>
      <c r="C121" t="inlineStr">
        <is>
          <t>USA</t>
        </is>
      </c>
      <c r="D121" t="inlineStr">
        <is>
          <t>Claude Opus 4.6</t>
        </is>
      </c>
      <c r="E121" t="inlineStr">
        <is>
          <t>Frontier (proprietary)</t>
        </is>
      </c>
      <c r="F121" t="inlineStr">
        <is>
          <t>Flagship</t>
        </is>
      </c>
      <c r="G121" s="6" t="n">
        <v>5</v>
      </c>
      <c r="H121" s="6" t="n">
        <v>25</v>
      </c>
      <c r="I121" s="7">
        <f>(3*G121+H121)/4</f>
        <v/>
      </c>
      <c r="J121" s="5" t="n">
        <v>46058</v>
      </c>
      <c r="K121" t="inlineStr">
        <is>
          <t>Anthropic API</t>
        </is>
      </c>
      <c r="L121" t="inlineStr"/>
    </row>
    <row r="122">
      <c r="A122" t="n">
        <v>120</v>
      </c>
      <c r="B122" t="inlineStr">
        <is>
          <t>Anthropic</t>
        </is>
      </c>
      <c r="C122" t="inlineStr">
        <is>
          <t>USA</t>
        </is>
      </c>
      <c r="D122" t="inlineStr">
        <is>
          <t>Claude Opus 4.7</t>
        </is>
      </c>
      <c r="E122" t="inlineStr">
        <is>
          <t>Frontier (proprietary)</t>
        </is>
      </c>
      <c r="F122" t="inlineStr">
        <is>
          <t>Flagship</t>
        </is>
      </c>
      <c r="G122" s="6" t="n">
        <v>5</v>
      </c>
      <c r="H122" s="6" t="n">
        <v>25</v>
      </c>
      <c r="I122" s="7">
        <f>(3*G122+H122)/4</f>
        <v/>
      </c>
      <c r="J122" s="5" t="n">
        <v>46128</v>
      </c>
      <c r="K122" t="inlineStr">
        <is>
          <t>Anthropic API</t>
        </is>
      </c>
      <c r="L122" t="inlineStr"/>
    </row>
    <row r="123">
      <c r="A123" t="n">
        <v>121</v>
      </c>
      <c r="B123" t="inlineStr">
        <is>
          <t>Anthropic</t>
        </is>
      </c>
      <c r="C123" t="inlineStr">
        <is>
          <t>USA</t>
        </is>
      </c>
      <c r="D123" t="inlineStr">
        <is>
          <t>Claude Opus 4.8</t>
        </is>
      </c>
      <c r="E123" t="inlineStr">
        <is>
          <t>Frontier (proprietary)</t>
        </is>
      </c>
      <c r="F123" t="inlineStr">
        <is>
          <t>Flagship</t>
        </is>
      </c>
      <c r="G123" s="6" t="n">
        <v>5</v>
      </c>
      <c r="H123" s="6" t="n">
        <v>25</v>
      </c>
      <c r="I123" s="7">
        <f>(3*G123+H123)/4</f>
        <v/>
      </c>
      <c r="J123" s="5" t="n">
        <v>46174</v>
      </c>
      <c r="K123" t="inlineStr">
        <is>
          <t>Anthropic API</t>
        </is>
      </c>
      <c r="L123" t="inlineStr"/>
    </row>
    <row r="124">
      <c r="A124" t="n">
        <v>122</v>
      </c>
      <c r="B124" t="inlineStr">
        <is>
          <t>Anthropic</t>
        </is>
      </c>
      <c r="C124" t="inlineStr">
        <is>
          <t>USA</t>
        </is>
      </c>
      <c r="D124" t="inlineStr">
        <is>
          <t>Claude Opus 5</t>
        </is>
      </c>
      <c r="E124" t="inlineStr">
        <is>
          <t>Frontier (proprietary)</t>
        </is>
      </c>
      <c r="F124" t="inlineStr">
        <is>
          <t>Flagship</t>
        </is>
      </c>
      <c r="G124" s="6" t="n">
        <v>5</v>
      </c>
      <c r="H124" s="6" t="n">
        <v>25</v>
      </c>
      <c r="I124" s="7">
        <f>(3*G124+H124)/4</f>
        <v/>
      </c>
      <c r="J124" s="5" t="n">
        <v>46227</v>
      </c>
      <c r="K124" t="inlineStr">
        <is>
          <t>Anthropic API</t>
        </is>
      </c>
      <c r="L124" t="inlineStr">
        <is>
          <t>1M context default</t>
        </is>
      </c>
    </row>
    <row r="125">
      <c r="A125" t="n">
        <v>123</v>
      </c>
      <c r="B125" t="inlineStr">
        <is>
          <t>OpenAI</t>
        </is>
      </c>
      <c r="C125" t="inlineStr">
        <is>
          <t>USA</t>
        </is>
      </c>
      <c r="D125" t="inlineStr">
        <is>
          <t>GPT-5.5</t>
        </is>
      </c>
      <c r="E125" t="inlineStr">
        <is>
          <t>Frontier (proprietary)</t>
        </is>
      </c>
      <c r="F125" t="inlineStr">
        <is>
          <t>Flagship</t>
        </is>
      </c>
      <c r="G125" s="6" t="n">
        <v>5</v>
      </c>
      <c r="H125" s="6" t="n">
        <v>30</v>
      </c>
      <c r="I125" s="7">
        <f>(3*G125+H125)/4</f>
        <v/>
      </c>
      <c r="J125" s="5" t="n">
        <v>46136</v>
      </c>
      <c r="K125" t="inlineStr">
        <is>
          <t>OpenAI API</t>
        </is>
      </c>
      <c r="L125" t="inlineStr">
        <is>
          <t>API availability 2026-04-24 (announced 04-23)</t>
        </is>
      </c>
    </row>
    <row r="126">
      <c r="A126" t="n">
        <v>124</v>
      </c>
      <c r="B126" t="inlineStr">
        <is>
          <t>Anthropic</t>
        </is>
      </c>
      <c r="C126" t="inlineStr">
        <is>
          <t>USA</t>
        </is>
      </c>
      <c r="D126" t="inlineStr">
        <is>
          <t>Claude 2.1</t>
        </is>
      </c>
      <c r="E126" t="inlineStr">
        <is>
          <t>Frontier (proprietary)</t>
        </is>
      </c>
      <c r="F126" t="inlineStr">
        <is>
          <t>Flagship</t>
        </is>
      </c>
      <c r="G126" s="6" t="n">
        <v>8</v>
      </c>
      <c r="H126" s="6" t="n">
        <v>24</v>
      </c>
      <c r="I126" s="7">
        <f>(3*G126+H126)/4</f>
        <v/>
      </c>
      <c r="J126" s="5" t="n">
        <v>45251</v>
      </c>
      <c r="K126" t="inlineStr">
        <is>
          <t>Anthropic API</t>
        </is>
      </c>
      <c r="L126" t="inlineStr">
        <is>
          <t>Effective price cut vs Claude 2</t>
        </is>
      </c>
    </row>
    <row r="127">
      <c r="A127" t="n">
        <v>125</v>
      </c>
      <c r="B127" t="inlineStr">
        <is>
          <t>Mistral AI</t>
        </is>
      </c>
      <c r="C127" t="inlineStr">
        <is>
          <t>France</t>
        </is>
      </c>
      <c r="D127" t="inlineStr">
        <is>
          <t>Mistral Large</t>
        </is>
      </c>
      <c r="E127" t="inlineStr">
        <is>
          <t>Frontier (proprietary)</t>
        </is>
      </c>
      <c r="F127" t="inlineStr">
        <is>
          <t>Flagship</t>
        </is>
      </c>
      <c r="G127" s="6" t="n">
        <v>8</v>
      </c>
      <c r="H127" s="6" t="n">
        <v>24</v>
      </c>
      <c r="I127" s="7">
        <f>(3*G127+H127)/4</f>
        <v/>
      </c>
      <c r="J127" s="5" t="n">
        <v>45348</v>
      </c>
      <c r="K127" t="inlineStr">
        <is>
          <t>La Plateforme</t>
        </is>
      </c>
      <c r="L127" t="inlineStr">
        <is>
          <t>Proprietary</t>
        </is>
      </c>
    </row>
    <row r="128">
      <c r="A128" t="n">
        <v>126</v>
      </c>
      <c r="B128" t="inlineStr">
        <is>
          <t>OpenAI</t>
        </is>
      </c>
      <c r="C128" t="inlineStr">
        <is>
          <t>USA</t>
        </is>
      </c>
      <c r="D128" t="inlineStr">
        <is>
          <t>GPT-4 Turbo</t>
        </is>
      </c>
      <c r="E128" t="inlineStr">
        <is>
          <t>Frontier (proprietary)</t>
        </is>
      </c>
      <c r="F128" t="inlineStr">
        <is>
          <t>Flagship</t>
        </is>
      </c>
      <c r="G128" s="6" t="n">
        <v>10</v>
      </c>
      <c r="H128" s="6" t="n">
        <v>30</v>
      </c>
      <c r="I128" s="7">
        <f>(3*G128+H128)/4</f>
        <v/>
      </c>
      <c r="J128" s="5" t="n">
        <v>45236</v>
      </c>
      <c r="K128" t="inlineStr">
        <is>
          <t>OpenAI API</t>
        </is>
      </c>
      <c r="L128" t="inlineStr">
        <is>
          <t>128K context</t>
        </is>
      </c>
    </row>
    <row r="129">
      <c r="A129" t="n">
        <v>127</v>
      </c>
      <c r="B129" t="inlineStr">
        <is>
          <t>Anthropic</t>
        </is>
      </c>
      <c r="C129" t="inlineStr">
        <is>
          <t>USA</t>
        </is>
      </c>
      <c r="D129" t="inlineStr">
        <is>
          <t>Claude 1</t>
        </is>
      </c>
      <c r="E129" t="inlineStr">
        <is>
          <t>Frontier (proprietary)</t>
        </is>
      </c>
      <c r="F129" t="inlineStr">
        <is>
          <t>Flagship</t>
        </is>
      </c>
      <c r="G129" s="6" t="n">
        <v>11.02</v>
      </c>
      <c r="H129" s="6" t="n">
        <v>32.68</v>
      </c>
      <c r="I129" s="7">
        <f>(3*G129+H129)/4</f>
        <v/>
      </c>
      <c r="J129" s="5" t="n">
        <v>44999</v>
      </c>
      <c r="K129" t="inlineStr">
        <is>
          <t>Anthropic API</t>
        </is>
      </c>
      <c r="L129" t="inlineStr">
        <is>
          <t>Token-equivalent of original per-character pricing</t>
        </is>
      </c>
    </row>
    <row r="130">
      <c r="A130" t="n">
        <v>128</v>
      </c>
      <c r="B130" t="inlineStr">
        <is>
          <t>Anthropic</t>
        </is>
      </c>
      <c r="C130" t="inlineStr">
        <is>
          <t>USA</t>
        </is>
      </c>
      <c r="D130" t="inlineStr">
        <is>
          <t>Claude 2</t>
        </is>
      </c>
      <c r="E130" t="inlineStr">
        <is>
          <t>Frontier (proprietary)</t>
        </is>
      </c>
      <c r="F130" t="inlineStr">
        <is>
          <t>Flagship</t>
        </is>
      </c>
      <c r="G130" s="6" t="n">
        <v>11.02</v>
      </c>
      <c r="H130" s="6" t="n">
        <v>32.68</v>
      </c>
      <c r="I130" s="7">
        <f>(3*G130+H130)/4</f>
        <v/>
      </c>
      <c r="J130" s="5" t="n">
        <v>45118</v>
      </c>
      <c r="K130" t="inlineStr">
        <is>
          <t>Anthropic API</t>
        </is>
      </c>
      <c r="L130" t="inlineStr"/>
    </row>
    <row r="131">
      <c r="A131" t="n">
        <v>129</v>
      </c>
      <c r="B131" t="inlineStr">
        <is>
          <t>Anthropic</t>
        </is>
      </c>
      <c r="C131" t="inlineStr">
        <is>
          <t>USA</t>
        </is>
      </c>
      <c r="D131" t="inlineStr">
        <is>
          <t>Claude Fable 5</t>
        </is>
      </c>
      <c r="E131" t="inlineStr">
        <is>
          <t>Frontier (proprietary)</t>
        </is>
      </c>
      <c r="F131" t="inlineStr">
        <is>
          <t>Premium</t>
        </is>
      </c>
      <c r="G131" s="6" t="n">
        <v>10</v>
      </c>
      <c r="H131" s="6" t="n">
        <v>50</v>
      </c>
      <c r="I131" s="7">
        <f>(3*G131+H131)/4</f>
        <v/>
      </c>
      <c r="J131" s="5" t="n">
        <v>46182</v>
      </c>
      <c r="K131" t="inlineStr">
        <is>
          <t>Anthropic API</t>
        </is>
      </c>
      <c r="L131" t="inlineStr">
        <is>
          <t>Premium agentic tier above Opus; Mythos 5 (limited availability) same price</t>
        </is>
      </c>
    </row>
    <row r="132">
      <c r="A132" t="n">
        <v>130</v>
      </c>
      <c r="B132" t="inlineStr">
        <is>
          <t>OpenAI</t>
        </is>
      </c>
      <c r="C132" t="inlineStr">
        <is>
          <t>USA</t>
        </is>
      </c>
      <c r="D132" t="inlineStr">
        <is>
          <t>o1-preview</t>
        </is>
      </c>
      <c r="E132" t="inlineStr">
        <is>
          <t>Frontier (proprietary)</t>
        </is>
      </c>
      <c r="F132" t="inlineStr">
        <is>
          <t>Reasoning</t>
        </is>
      </c>
      <c r="G132" s="6" t="n">
        <v>15</v>
      </c>
      <c r="H132" s="6" t="n">
        <v>60</v>
      </c>
      <c r="I132" s="7">
        <f>(3*G132+H132)/4</f>
        <v/>
      </c>
      <c r="J132" s="5" t="n">
        <v>45547</v>
      </c>
      <c r="K132" t="inlineStr">
        <is>
          <t>OpenAI API</t>
        </is>
      </c>
      <c r="L132" t="inlineStr">
        <is>
          <t>Reasoning tokens billed as output</t>
        </is>
      </c>
    </row>
    <row r="133">
      <c r="A133" t="n">
        <v>131</v>
      </c>
      <c r="B133" t="inlineStr">
        <is>
          <t>OpenAI</t>
        </is>
      </c>
      <c r="C133" t="inlineStr">
        <is>
          <t>USA</t>
        </is>
      </c>
      <c r="D133" t="inlineStr">
        <is>
          <t>o1</t>
        </is>
      </c>
      <c r="E133" t="inlineStr">
        <is>
          <t>Frontier (proprietary)</t>
        </is>
      </c>
      <c r="F133" t="inlineStr">
        <is>
          <t>Reasoning</t>
        </is>
      </c>
      <c r="G133" s="6" t="n">
        <v>15</v>
      </c>
      <c r="H133" s="6" t="n">
        <v>60</v>
      </c>
      <c r="I133" s="7">
        <f>(3*G133+H133)/4</f>
        <v/>
      </c>
      <c r="J133" s="5" t="n">
        <v>45643</v>
      </c>
      <c r="K133" t="inlineStr">
        <is>
          <t>OpenAI API</t>
        </is>
      </c>
      <c r="L133" t="inlineStr"/>
    </row>
    <row r="134">
      <c r="A134" t="n">
        <v>132</v>
      </c>
      <c r="B134" t="inlineStr">
        <is>
          <t>Anthropic</t>
        </is>
      </c>
      <c r="C134" t="inlineStr">
        <is>
          <t>USA</t>
        </is>
      </c>
      <c r="D134" t="inlineStr">
        <is>
          <t>Claude 3 Opus</t>
        </is>
      </c>
      <c r="E134" t="inlineStr">
        <is>
          <t>Frontier (proprietary)</t>
        </is>
      </c>
      <c r="F134" t="inlineStr">
        <is>
          <t>Flagship</t>
        </is>
      </c>
      <c r="G134" s="6" t="n">
        <v>15</v>
      </c>
      <c r="H134" s="6" t="n">
        <v>75</v>
      </c>
      <c r="I134" s="7">
        <f>(3*G134+H134)/4</f>
        <v/>
      </c>
      <c r="J134" s="5" t="n">
        <v>45355</v>
      </c>
      <c r="K134" t="inlineStr">
        <is>
          <t>Anthropic API</t>
        </is>
      </c>
      <c r="L134" t="inlineStr"/>
    </row>
    <row r="135">
      <c r="A135" t="n">
        <v>133</v>
      </c>
      <c r="B135" t="inlineStr">
        <is>
          <t>Anthropic</t>
        </is>
      </c>
      <c r="C135" t="inlineStr">
        <is>
          <t>USA</t>
        </is>
      </c>
      <c r="D135" t="inlineStr">
        <is>
          <t>Claude Opus 4</t>
        </is>
      </c>
      <c r="E135" t="inlineStr">
        <is>
          <t>Frontier (proprietary)</t>
        </is>
      </c>
      <c r="F135" t="inlineStr">
        <is>
          <t>Flagship</t>
        </is>
      </c>
      <c r="G135" s="6" t="n">
        <v>15</v>
      </c>
      <c r="H135" s="6" t="n">
        <v>75</v>
      </c>
      <c r="I135" s="7">
        <f>(3*G135+H135)/4</f>
        <v/>
      </c>
      <c r="J135" s="5" t="n">
        <v>45799</v>
      </c>
      <c r="K135" t="inlineStr">
        <is>
          <t>Anthropic API</t>
        </is>
      </c>
      <c r="L135" t="inlineStr"/>
    </row>
    <row r="136">
      <c r="A136" t="n">
        <v>134</v>
      </c>
      <c r="B136" t="inlineStr">
        <is>
          <t>Anthropic</t>
        </is>
      </c>
      <c r="C136" t="inlineStr">
        <is>
          <t>USA</t>
        </is>
      </c>
      <c r="D136" t="inlineStr">
        <is>
          <t>Claude Opus 4.1</t>
        </is>
      </c>
      <c r="E136" t="inlineStr">
        <is>
          <t>Frontier (proprietary)</t>
        </is>
      </c>
      <c r="F136" t="inlineStr">
        <is>
          <t>Flagship</t>
        </is>
      </c>
      <c r="G136" s="6" t="n">
        <v>15</v>
      </c>
      <c r="H136" s="6" t="n">
        <v>75</v>
      </c>
      <c r="I136" s="7">
        <f>(3*G136+H136)/4</f>
        <v/>
      </c>
      <c r="J136" s="5" t="n">
        <v>45874</v>
      </c>
      <c r="K136" t="inlineStr">
        <is>
          <t>Anthropic API</t>
        </is>
      </c>
      <c r="L136" t="inlineStr"/>
    </row>
    <row r="137">
      <c r="A137" t="n">
        <v>135</v>
      </c>
      <c r="B137" t="inlineStr">
        <is>
          <t>OpenAI</t>
        </is>
      </c>
      <c r="C137" t="inlineStr">
        <is>
          <t>USA</t>
        </is>
      </c>
      <c r="D137" t="inlineStr">
        <is>
          <t>o3-pro</t>
        </is>
      </c>
      <c r="E137" t="inlineStr">
        <is>
          <t>Frontier (proprietary)</t>
        </is>
      </c>
      <c r="F137" t="inlineStr">
        <is>
          <t>Premium reasoning</t>
        </is>
      </c>
      <c r="G137" s="6" t="n">
        <v>20</v>
      </c>
      <c r="H137" s="6" t="n">
        <v>80</v>
      </c>
      <c r="I137" s="7">
        <f>(3*G137+H137)/4</f>
        <v/>
      </c>
      <c r="J137" s="5" t="n">
        <v>45818</v>
      </c>
      <c r="K137" t="inlineStr">
        <is>
          <t>OpenAI API</t>
        </is>
      </c>
      <c r="L137" t="inlineStr"/>
    </row>
    <row r="138">
      <c r="A138" t="n">
        <v>136</v>
      </c>
      <c r="B138" t="inlineStr">
        <is>
          <t>OpenAI</t>
        </is>
      </c>
      <c r="C138" t="inlineStr">
        <is>
          <t>USA</t>
        </is>
      </c>
      <c r="D138" t="inlineStr">
        <is>
          <t>GPT-4</t>
        </is>
      </c>
      <c r="E138" t="inlineStr">
        <is>
          <t>Frontier (proprietary)</t>
        </is>
      </c>
      <c r="F138" t="inlineStr">
        <is>
          <t>Flagship</t>
        </is>
      </c>
      <c r="G138" s="6" t="n">
        <v>30</v>
      </c>
      <c r="H138" s="6" t="n">
        <v>60</v>
      </c>
      <c r="I138" s="7">
        <f>(3*G138+H138)/4</f>
        <v/>
      </c>
      <c r="J138" s="5" t="n">
        <v>44999</v>
      </c>
      <c r="K138" t="inlineStr">
        <is>
          <t>OpenAI API</t>
        </is>
      </c>
      <c r="L138" t="inlineStr">
        <is>
          <t>8K context tier; 32K tier was $60/$120</t>
        </is>
      </c>
    </row>
    <row r="139">
      <c r="A139" t="n">
        <v>137</v>
      </c>
      <c r="B139" t="inlineStr">
        <is>
          <t>OpenAI</t>
        </is>
      </c>
      <c r="C139" t="inlineStr">
        <is>
          <t>USA</t>
        </is>
      </c>
      <c r="D139" t="inlineStr">
        <is>
          <t>GPT-5.2 Pro</t>
        </is>
      </c>
      <c r="E139" t="inlineStr">
        <is>
          <t>Frontier (proprietary)</t>
        </is>
      </c>
      <c r="F139" t="inlineStr">
        <is>
          <t>Premium reasoning</t>
        </is>
      </c>
      <c r="G139" s="6" t="n">
        <v>21</v>
      </c>
      <c r="H139" s="6" t="n">
        <v>168</v>
      </c>
      <c r="I139" s="7">
        <f>(3*G139+H139)/4</f>
        <v/>
      </c>
      <c r="J139" s="5" t="n">
        <v>46002</v>
      </c>
      <c r="K139" t="inlineStr">
        <is>
          <t>OpenAI API</t>
        </is>
      </c>
      <c r="L139" t="inlineStr"/>
    </row>
    <row r="140">
      <c r="A140" t="n">
        <v>138</v>
      </c>
      <c r="B140" t="inlineStr">
        <is>
          <t>OpenAI</t>
        </is>
      </c>
      <c r="C140" t="inlineStr">
        <is>
          <t>USA</t>
        </is>
      </c>
      <c r="D140" t="inlineStr">
        <is>
          <t>GPT-3 (davinci)</t>
        </is>
      </c>
      <c r="E140" t="inlineStr">
        <is>
          <t>Frontier (proprietary)</t>
        </is>
      </c>
      <c r="F140" t="inlineStr">
        <is>
          <t>Flagship</t>
        </is>
      </c>
      <c r="G140" s="6" t="n">
        <v>60</v>
      </c>
      <c r="H140" s="6" t="n">
        <v>60</v>
      </c>
      <c r="I140" s="7">
        <f>(3*G140+H140)/4</f>
        <v/>
      </c>
      <c r="J140" s="5" t="n">
        <v>44075</v>
      </c>
      <c r="K140" t="inlineStr">
        <is>
          <t>OpenAI API</t>
        </is>
      </c>
      <c r="L140" t="inlineStr">
        <is>
          <t>Original GPT-3 pricing, $0.06/1K tokens flat (no input/output split)</t>
        </is>
      </c>
    </row>
    <row r="141">
      <c r="A141" t="n">
        <v>139</v>
      </c>
      <c r="B141" t="inlineStr">
        <is>
          <t>OpenAI</t>
        </is>
      </c>
      <c r="C141" t="inlineStr">
        <is>
          <t>USA</t>
        </is>
      </c>
      <c r="D141" t="inlineStr">
        <is>
          <t>GPT-5.4 Pro</t>
        </is>
      </c>
      <c r="E141" t="inlineStr">
        <is>
          <t>Frontier (proprietary)</t>
        </is>
      </c>
      <c r="F141" t="inlineStr">
        <is>
          <t>Premium reasoning</t>
        </is>
      </c>
      <c r="G141" s="6" t="n">
        <v>30</v>
      </c>
      <c r="H141" s="6" t="n">
        <v>180</v>
      </c>
      <c r="I141" s="7">
        <f>(3*G141+H141)/4</f>
        <v/>
      </c>
      <c r="J141" s="5" t="n">
        <v>46086</v>
      </c>
      <c r="K141" t="inlineStr">
        <is>
          <t>OpenAI API</t>
        </is>
      </c>
      <c r="L141" t="inlineStr"/>
    </row>
    <row r="142">
      <c r="A142" t="n">
        <v>140</v>
      </c>
      <c r="B142" t="inlineStr">
        <is>
          <t>OpenAI</t>
        </is>
      </c>
      <c r="C142" t="inlineStr">
        <is>
          <t>USA</t>
        </is>
      </c>
      <c r="D142" t="inlineStr">
        <is>
          <t>GPT-5.5 Pro</t>
        </is>
      </c>
      <c r="E142" t="inlineStr">
        <is>
          <t>Frontier (proprietary)</t>
        </is>
      </c>
      <c r="F142" t="inlineStr">
        <is>
          <t>Premium reasoning</t>
        </is>
      </c>
      <c r="G142" s="6" t="n">
        <v>30</v>
      </c>
      <c r="H142" s="6" t="n">
        <v>180</v>
      </c>
      <c r="I142" s="7">
        <f>(3*G142+H142)/4</f>
        <v/>
      </c>
      <c r="J142" s="5" t="n">
        <v>46136</v>
      </c>
      <c r="K142" t="inlineStr">
        <is>
          <t>OpenAI API</t>
        </is>
      </c>
      <c r="L142" t="inlineStr"/>
    </row>
    <row r="143">
      <c r="A143" t="n">
        <v>141</v>
      </c>
      <c r="B143" t="inlineStr">
        <is>
          <t>OpenAI</t>
        </is>
      </c>
      <c r="C143" t="inlineStr">
        <is>
          <t>USA</t>
        </is>
      </c>
      <c r="D143" t="inlineStr">
        <is>
          <t>GPT-4.5 (preview)</t>
        </is>
      </c>
      <c r="E143" t="inlineStr">
        <is>
          <t>Frontier (proprietary)</t>
        </is>
      </c>
      <c r="F143" t="inlineStr">
        <is>
          <t>Premium</t>
        </is>
      </c>
      <c r="G143" s="6" t="n">
        <v>75</v>
      </c>
      <c r="H143" s="6" t="n">
        <v>150</v>
      </c>
      <c r="I143" s="7">
        <f>(3*G143+H143)/4</f>
        <v/>
      </c>
      <c r="J143" s="5" t="n">
        <v>45715</v>
      </c>
      <c r="K143" t="inlineStr">
        <is>
          <t>OpenAI API</t>
        </is>
      </c>
      <c r="L143" t="inlineStr">
        <is>
          <t>Research preview; retired July 2025</t>
        </is>
      </c>
    </row>
    <row r="144">
      <c r="A144" t="n">
        <v>142</v>
      </c>
      <c r="B144" t="inlineStr">
        <is>
          <t>OpenAI</t>
        </is>
      </c>
      <c r="C144" t="inlineStr">
        <is>
          <t>USA</t>
        </is>
      </c>
      <c r="D144" t="inlineStr">
        <is>
          <t>o1-pro</t>
        </is>
      </c>
      <c r="E144" t="inlineStr">
        <is>
          <t>Frontier (proprietary)</t>
        </is>
      </c>
      <c r="F144" t="inlineStr">
        <is>
          <t>Premium reasoning</t>
        </is>
      </c>
      <c r="G144" s="6" t="n">
        <v>150</v>
      </c>
      <c r="H144" s="6" t="n">
        <v>600</v>
      </c>
      <c r="I144" s="7">
        <f>(3*G144+H144)/4</f>
        <v/>
      </c>
      <c r="J144" s="5" t="n">
        <v>45735</v>
      </c>
      <c r="K144" t="inlineStr">
        <is>
          <t>OpenAI API</t>
        </is>
      </c>
      <c r="L144" t="inlineStr">
        <is>
          <t>Most expensive list price to date</t>
        </is>
      </c>
    </row>
  </sheetData>
  <autoFilter ref="A2:L144"/>
  <conditionalFormatting sqref="I3:I144">
    <cfRule type="dataBar" priority="1">
      <dataBar showValue="1">
        <cfvo type="min"/>
        <cfvo type="max"/>
        <color rgb="002E75B6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3" t="inlineStr">
        <is>
          <t>Blended $/1M tokens (3:1) of each lineage's newest model at quarter end - carry-forward series</t>
        </is>
      </c>
    </row>
    <row r="2">
      <c r="B2" s="8" t="inlineStr">
        <is>
          <t>FRONTIER FLAGSHIPS (proprietary)</t>
        </is>
      </c>
      <c r="C2" s="9" t="n"/>
      <c r="D2" s="9" t="n"/>
      <c r="E2" s="9" t="n"/>
      <c r="F2" s="10" t="inlineStr">
        <is>
          <t>OPEN-WEIGHT FLAGSHIPS</t>
        </is>
      </c>
      <c r="G2" s="11" t="n"/>
      <c r="H2" s="11" t="n"/>
      <c r="I2" s="11" t="n"/>
      <c r="J2" s="11" t="n"/>
      <c r="K2" s="11" t="n"/>
      <c r="L2" s="12" t="inlineStr">
        <is>
          <t>BUDGET / SMALL TIER (proprietary)</t>
        </is>
      </c>
      <c r="M2" s="13" t="n"/>
      <c r="N2" s="13" t="n"/>
    </row>
    <row r="3" ht="42" customHeight="1">
      <c r="A3" s="4" t="inlineStr">
        <is>
          <t>Quarter</t>
        </is>
      </c>
      <c r="B3" s="4" t="inlineStr">
        <is>
          <t>OpenAI - GPT flagship</t>
        </is>
      </c>
      <c r="C3" s="4" t="inlineStr">
        <is>
          <t>Anthropic - Opus line</t>
        </is>
      </c>
      <c r="D3" s="4" t="inlineStr">
        <is>
          <t>Google - Gemini Pro</t>
        </is>
      </c>
      <c r="E3" s="4" t="inlineStr">
        <is>
          <t>xAI - Grok flagship</t>
        </is>
      </c>
      <c r="F3" s="4" t="inlineStr">
        <is>
          <t>Meta - Llama flagship</t>
        </is>
      </c>
      <c r="G3" s="4" t="inlineStr">
        <is>
          <t>DeepSeek - V-series</t>
        </is>
      </c>
      <c r="H3" s="4" t="inlineStr">
        <is>
          <t>Alibaba - open Qwen</t>
        </is>
      </c>
      <c r="I3" s="4" t="inlineStr">
        <is>
          <t>Moonshot - Kimi</t>
        </is>
      </c>
      <c r="J3" s="4" t="inlineStr">
        <is>
          <t>Zhipu - GLM</t>
        </is>
      </c>
      <c r="K3" s="4" t="inlineStr">
        <is>
          <t>Mistral - open flagship</t>
        </is>
      </c>
      <c r="L3" s="4" t="inlineStr">
        <is>
          <t>OpenAI - budget</t>
        </is>
      </c>
      <c r="M3" s="4" t="inlineStr">
        <is>
          <t>Anthropic - Instant/Haiku</t>
        </is>
      </c>
      <c r="N3" s="4" t="inlineStr">
        <is>
          <t>Google - Flash</t>
        </is>
      </c>
    </row>
    <row r="4">
      <c r="A4" s="14" t="inlineStr">
        <is>
          <t>2023 Q1</t>
        </is>
      </c>
      <c r="B4" s="6" t="n">
        <v>37.5</v>
      </c>
      <c r="L4" s="6" t="n">
        <v>2</v>
      </c>
      <c r="M4" s="6" t="n">
        <v>2.6</v>
      </c>
    </row>
    <row r="5">
      <c r="A5" s="14" t="inlineStr">
        <is>
          <t>2023 Q2</t>
        </is>
      </c>
      <c r="B5" s="6" t="n">
        <v>37.5</v>
      </c>
      <c r="L5" s="6" t="n">
        <v>1.625</v>
      </c>
      <c r="M5" s="6" t="n">
        <v>2.6</v>
      </c>
    </row>
    <row r="6">
      <c r="A6" s="14" t="inlineStr">
        <is>
          <t>2023 Q3</t>
        </is>
      </c>
      <c r="B6" s="6" t="n">
        <v>37.5</v>
      </c>
      <c r="C6" s="6" t="n">
        <v>16.435</v>
      </c>
      <c r="F6" s="6" t="n">
        <v>0.9</v>
      </c>
      <c r="L6" s="6" t="n">
        <v>1.625</v>
      </c>
      <c r="M6" s="6" t="n">
        <v>2.6</v>
      </c>
    </row>
    <row r="7">
      <c r="A7" s="14" t="inlineStr">
        <is>
          <t>2023 Q4</t>
        </is>
      </c>
      <c r="B7" s="6" t="n">
        <v>15</v>
      </c>
      <c r="C7" s="6" t="n">
        <v>12</v>
      </c>
      <c r="F7" s="6" t="n">
        <v>0.9</v>
      </c>
      <c r="L7" s="6" t="n">
        <v>1.25</v>
      </c>
      <c r="M7" s="6" t="n">
        <v>1.2</v>
      </c>
    </row>
    <row r="8">
      <c r="A8" s="14" t="inlineStr">
        <is>
          <t>2024 Q1</t>
        </is>
      </c>
      <c r="B8" s="6" t="n">
        <v>15</v>
      </c>
      <c r="C8" s="6" t="n">
        <v>30</v>
      </c>
      <c r="F8" s="6" t="n">
        <v>0.9</v>
      </c>
      <c r="L8" s="6" t="n">
        <v>0.75</v>
      </c>
      <c r="M8" s="6" t="n">
        <v>0.5</v>
      </c>
    </row>
    <row r="9">
      <c r="A9" s="14" t="inlineStr">
        <is>
          <t>2024 Q2</t>
        </is>
      </c>
      <c r="B9" s="6" t="n">
        <v>7.5</v>
      </c>
      <c r="C9" s="6" t="n">
        <v>30</v>
      </c>
      <c r="D9" s="6" t="n">
        <v>5.25</v>
      </c>
      <c r="F9" s="6" t="n">
        <v>0.9</v>
      </c>
      <c r="G9" s="6" t="n">
        <v>0.175</v>
      </c>
      <c r="L9" s="6" t="n">
        <v>0.75</v>
      </c>
      <c r="M9" s="6" t="n">
        <v>0.5</v>
      </c>
      <c r="N9" s="6" t="n">
        <v>0.525</v>
      </c>
    </row>
    <row r="10">
      <c r="A10" s="14" t="inlineStr">
        <is>
          <t>2024 Q3</t>
        </is>
      </c>
      <c r="B10" s="6" t="n">
        <v>4.375</v>
      </c>
      <c r="C10" s="6" t="n">
        <v>30</v>
      </c>
      <c r="D10" s="6" t="n">
        <v>5.25</v>
      </c>
      <c r="F10" s="6" t="n">
        <v>3.5</v>
      </c>
      <c r="G10" s="6" t="n">
        <v>0.175</v>
      </c>
      <c r="K10" s="6" t="n">
        <v>4.5</v>
      </c>
      <c r="L10" s="6" t="n">
        <v>0.2625</v>
      </c>
      <c r="M10" s="6" t="n">
        <v>0.5</v>
      </c>
      <c r="N10" s="6" t="n">
        <v>0.1312</v>
      </c>
    </row>
    <row r="11">
      <c r="A11" s="14" t="inlineStr">
        <is>
          <t>2024 Q4</t>
        </is>
      </c>
      <c r="B11" s="6" t="n">
        <v>4.375</v>
      </c>
      <c r="C11" s="6" t="n">
        <v>30</v>
      </c>
      <c r="D11" s="6" t="n">
        <v>2.1875</v>
      </c>
      <c r="E11" s="6" t="n">
        <v>4</v>
      </c>
      <c r="F11" s="6" t="n">
        <v>3.5</v>
      </c>
      <c r="G11" s="6" t="n">
        <v>0.175</v>
      </c>
      <c r="K11" s="6" t="n">
        <v>3</v>
      </c>
      <c r="L11" s="6" t="n">
        <v>0.2625</v>
      </c>
      <c r="M11" s="6" t="n">
        <v>1.6</v>
      </c>
      <c r="N11" s="6" t="n">
        <v>0.1312</v>
      </c>
    </row>
    <row r="12">
      <c r="A12" s="14" t="inlineStr">
        <is>
          <t>2025 Q1</t>
        </is>
      </c>
      <c r="B12" s="6" t="n">
        <v>4.375</v>
      </c>
      <c r="C12" s="6" t="n">
        <v>30</v>
      </c>
      <c r="D12" s="6" t="n">
        <v>2.1875</v>
      </c>
      <c r="E12" s="6" t="n">
        <v>4</v>
      </c>
      <c r="F12" s="6" t="n">
        <v>3.5</v>
      </c>
      <c r="G12" s="6" t="n">
        <v>0.4775</v>
      </c>
      <c r="K12" s="6" t="n">
        <v>3</v>
      </c>
      <c r="L12" s="6" t="n">
        <v>0.2625</v>
      </c>
      <c r="M12" s="6" t="n">
        <v>1.6</v>
      </c>
      <c r="N12" s="6" t="n">
        <v>0.175</v>
      </c>
    </row>
    <row r="13">
      <c r="A13" s="14" t="inlineStr">
        <is>
          <t>2025 Q2</t>
        </is>
      </c>
      <c r="B13" s="6" t="n">
        <v>4.375</v>
      </c>
      <c r="C13" s="6" t="n">
        <v>30</v>
      </c>
      <c r="D13" s="6" t="n">
        <v>3.4375</v>
      </c>
      <c r="E13" s="6" t="n">
        <v>6</v>
      </c>
      <c r="F13" s="6" t="n">
        <v>0.415</v>
      </c>
      <c r="G13" s="6" t="n">
        <v>0.4775</v>
      </c>
      <c r="H13" s="6" t="n">
        <v>1.225</v>
      </c>
      <c r="K13" s="6" t="n">
        <v>3</v>
      </c>
      <c r="L13" s="6" t="n">
        <v>0.2625</v>
      </c>
      <c r="M13" s="6" t="n">
        <v>1.6</v>
      </c>
      <c r="N13" s="6" t="n">
        <v>0.85</v>
      </c>
    </row>
    <row r="14">
      <c r="A14" s="14" t="inlineStr">
        <is>
          <t>2025 Q3</t>
        </is>
      </c>
      <c r="B14" s="6" t="n">
        <v>3.4375</v>
      </c>
      <c r="C14" s="6" t="n">
        <v>30</v>
      </c>
      <c r="D14" s="6" t="n">
        <v>3.4375</v>
      </c>
      <c r="E14" s="6" t="n">
        <v>6</v>
      </c>
      <c r="F14" s="6" t="n">
        <v>0.415</v>
      </c>
      <c r="G14" s="6" t="n">
        <v>0.315</v>
      </c>
      <c r="H14" s="6" t="n">
        <v>1.225</v>
      </c>
      <c r="I14" s="6" t="n">
        <v>1.075</v>
      </c>
      <c r="J14" s="6" t="n">
        <v>1</v>
      </c>
      <c r="K14" s="6" t="n">
        <v>3</v>
      </c>
      <c r="L14" s="6" t="n">
        <v>0.6875</v>
      </c>
      <c r="M14" s="6" t="n">
        <v>1.6</v>
      </c>
      <c r="N14" s="6" t="n">
        <v>0.85</v>
      </c>
    </row>
    <row r="15">
      <c r="A15" s="14" t="inlineStr">
        <is>
          <t>2025 Q4</t>
        </is>
      </c>
      <c r="B15" s="6" t="n">
        <v>4.8125</v>
      </c>
      <c r="C15" s="6" t="n">
        <v>10</v>
      </c>
      <c r="D15" s="6" t="n">
        <v>4.5</v>
      </c>
      <c r="E15" s="6" t="n">
        <v>6</v>
      </c>
      <c r="F15" s="6" t="n">
        <v>0.415</v>
      </c>
      <c r="G15" s="6" t="n">
        <v>0.315</v>
      </c>
      <c r="H15" s="6" t="n">
        <v>1.225</v>
      </c>
      <c r="I15" s="6" t="n">
        <v>1.075</v>
      </c>
      <c r="J15" s="6" t="n">
        <v>1</v>
      </c>
      <c r="K15" s="6" t="n">
        <v>0.75</v>
      </c>
      <c r="L15" s="6" t="n">
        <v>0.6875</v>
      </c>
      <c r="M15" s="6" t="n">
        <v>2</v>
      </c>
      <c r="N15" s="6" t="n">
        <v>1.125</v>
      </c>
    </row>
    <row r="16">
      <c r="A16" s="14" t="inlineStr">
        <is>
          <t>2026 Q1</t>
        </is>
      </c>
      <c r="B16" s="6" t="n">
        <v>5.625</v>
      </c>
      <c r="C16" s="6" t="n">
        <v>10</v>
      </c>
      <c r="D16" s="6" t="n">
        <v>4.5</v>
      </c>
      <c r="E16" s="6" t="n">
        <v>1.5625</v>
      </c>
      <c r="F16" s="6" t="n">
        <v>0.415</v>
      </c>
      <c r="G16" s="6" t="n">
        <v>0.315</v>
      </c>
      <c r="H16" s="6" t="n">
        <v>1.35</v>
      </c>
      <c r="I16" s="6" t="n">
        <v>1.72</v>
      </c>
      <c r="J16" s="6" t="n">
        <v>1.55</v>
      </c>
      <c r="K16" s="6" t="n">
        <v>0.75</v>
      </c>
      <c r="L16" s="6" t="n">
        <v>1.6875</v>
      </c>
      <c r="M16" s="6" t="n">
        <v>2</v>
      </c>
      <c r="N16" s="6" t="n">
        <v>1.125</v>
      </c>
    </row>
    <row r="17">
      <c r="A17" s="14" t="inlineStr">
        <is>
          <t>2026 Q2</t>
        </is>
      </c>
      <c r="B17" s="6" t="n">
        <v>11.25</v>
      </c>
      <c r="C17" s="6" t="n">
        <v>10</v>
      </c>
      <c r="D17" s="6" t="n">
        <v>4.5</v>
      </c>
      <c r="E17" s="6" t="n">
        <v>3</v>
      </c>
      <c r="F17" s="6" t="n">
        <v>0.415</v>
      </c>
      <c r="G17" s="6" t="n">
        <v>0.315</v>
      </c>
      <c r="H17" s="6" t="n">
        <v>1.35</v>
      </c>
      <c r="I17" s="6" t="n">
        <v>1.72</v>
      </c>
      <c r="J17" s="6" t="n">
        <v>2.15</v>
      </c>
      <c r="K17" s="6" t="n">
        <v>0.75</v>
      </c>
      <c r="L17" s="6" t="n">
        <v>1.6875</v>
      </c>
      <c r="M17" s="6" t="n">
        <v>2</v>
      </c>
      <c r="N17" s="6" t="n">
        <v>3.375</v>
      </c>
    </row>
    <row r="18">
      <c r="A18" s="14" t="inlineStr">
        <is>
          <t>2026 Q3</t>
        </is>
      </c>
      <c r="B18" s="6" t="n">
        <v>8</v>
      </c>
      <c r="C18" s="6" t="n">
        <v>10</v>
      </c>
      <c r="D18" s="6" t="n">
        <v>4.5</v>
      </c>
      <c r="E18" s="6" t="n">
        <v>3</v>
      </c>
      <c r="F18" s="6" t="n">
        <v>0.2625</v>
      </c>
      <c r="G18" s="6" t="n">
        <v>1.9975</v>
      </c>
      <c r="H18" s="6" t="n">
        <v>1.35</v>
      </c>
      <c r="I18" s="6" t="n">
        <v>6</v>
      </c>
      <c r="J18" s="6" t="n">
        <v>1.93</v>
      </c>
      <c r="K18" s="6" t="n">
        <v>0.75</v>
      </c>
      <c r="L18" s="6" t="n">
        <v>0.45</v>
      </c>
      <c r="M18" s="6" t="n">
        <v>2</v>
      </c>
      <c r="N18" s="6" t="n">
        <v>3.375</v>
      </c>
    </row>
    <row r="20" ht="42" customHeight="1">
      <c r="A20" s="15" t="inlineStr">
        <is>
          <t>Note: each column tracks the succession of models in one vendor lineage (see scripts/build_workbook.py for the mapping). A value is the blended list price of the newest lineage model as of that quarter end, including any price cuts in effect. 2026 Q3 is partial (through 2026-08-29).</t>
        </is>
      </c>
    </row>
  </sheetData>
  <mergeCells count="4">
    <mergeCell ref="F2:K2"/>
    <mergeCell ref="L2:N2"/>
    <mergeCell ref="A20:J20"/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6" customWidth="1" min="4" max="4"/>
    <col width="17" customWidth="1" min="5" max="5"/>
    <col width="15" customWidth="1" min="6" max="6"/>
    <col width="16" customWidth="1" min="7" max="7"/>
  </cols>
  <sheetData>
    <row r="1">
      <c r="A1" s="3" t="inlineStr">
        <is>
          <t>Estimated average monthly LLM token consumption per company, by company size - millions of tokens per company per month</t>
        </is>
      </c>
    </row>
    <row r="2">
      <c r="A2" s="16" t="inlineStr">
        <is>
          <t>MODELED ESTIMATES calibrated to published anchors (see notes below) - not vendor-reported data. Includes API and subscription-mediated usage.</t>
        </is>
      </c>
    </row>
    <row r="4" ht="42" customHeight="1">
      <c r="A4" s="4" t="inlineStr">
        <is>
          <t>Quarter</t>
        </is>
      </c>
      <c r="B4" s="4" t="inlineStr">
        <is>
          <t>Small business (1-99 emp.)</t>
        </is>
      </c>
      <c r="C4" s="4" t="inlineStr">
        <is>
          <t>Mid-market (100-999 emp.)</t>
        </is>
      </c>
      <c r="D4" s="4" t="inlineStr">
        <is>
          <t>Enterprise (1,000-9,999 emp.)</t>
        </is>
      </c>
      <c r="E4" s="4" t="inlineStr">
        <is>
          <t>Large enterprise (10,000+ emp.)</t>
        </is>
      </c>
      <c r="F4" s="4" t="inlineStr">
        <is>
          <t>AI-native startup (memo)</t>
        </is>
      </c>
      <c r="G4" s="4" t="inlineStr">
        <is>
          <t>All companies - median (memo)</t>
        </is>
      </c>
    </row>
    <row r="5">
      <c r="A5" s="14" t="inlineStr">
        <is>
          <t>2023 Q1</t>
        </is>
      </c>
      <c r="B5" s="17" t="n">
        <v>1</v>
      </c>
      <c r="C5" s="18" t="n">
        <v>15</v>
      </c>
      <c r="D5" s="18" t="n">
        <v>90</v>
      </c>
      <c r="E5" s="18" t="n">
        <v>500</v>
      </c>
      <c r="F5" s="18" t="n">
        <v>60</v>
      </c>
      <c r="G5" s="17" t="n">
        <v>2</v>
      </c>
    </row>
    <row r="6">
      <c r="A6" s="14" t="inlineStr">
        <is>
          <t>2023 Q2</t>
        </is>
      </c>
      <c r="B6" s="17" t="n">
        <v>1.5</v>
      </c>
      <c r="C6" s="18" t="n">
        <v>22</v>
      </c>
      <c r="D6" s="18" t="n">
        <v>140</v>
      </c>
      <c r="E6" s="18" t="n">
        <v>800</v>
      </c>
      <c r="F6" s="18" t="n">
        <v>120</v>
      </c>
      <c r="G6" s="17" t="n">
        <v>3</v>
      </c>
    </row>
    <row r="7">
      <c r="A7" s="14" t="inlineStr">
        <is>
          <t>2023 Q3</t>
        </is>
      </c>
      <c r="B7" s="17" t="n">
        <v>2.2</v>
      </c>
      <c r="C7" s="18" t="n">
        <v>32</v>
      </c>
      <c r="D7" s="18" t="n">
        <v>210</v>
      </c>
      <c r="E7" s="18" t="n">
        <v>1300</v>
      </c>
      <c r="F7" s="18" t="n">
        <v>230</v>
      </c>
      <c r="G7" s="17" t="n">
        <v>4.5</v>
      </c>
    </row>
    <row r="8">
      <c r="A8" s="14" t="inlineStr">
        <is>
          <t>2023 Q4</t>
        </is>
      </c>
      <c r="B8" s="17" t="n">
        <v>3.2</v>
      </c>
      <c r="C8" s="18" t="n">
        <v>48</v>
      </c>
      <c r="D8" s="18" t="n">
        <v>320</v>
      </c>
      <c r="E8" s="18" t="n">
        <v>2000</v>
      </c>
      <c r="F8" s="18" t="n">
        <v>420</v>
      </c>
      <c r="G8" s="17" t="n">
        <v>6.5</v>
      </c>
    </row>
    <row r="9">
      <c r="A9" s="14" t="inlineStr">
        <is>
          <t>2024 Q1</t>
        </is>
      </c>
      <c r="B9" s="17" t="n">
        <v>4.5</v>
      </c>
      <c r="C9" s="18" t="n">
        <v>70</v>
      </c>
      <c r="D9" s="18" t="n">
        <v>480</v>
      </c>
      <c r="E9" s="18" t="n">
        <v>3100</v>
      </c>
      <c r="F9" s="18" t="n">
        <v>750</v>
      </c>
      <c r="G9" s="17" t="n">
        <v>9</v>
      </c>
    </row>
    <row r="10">
      <c r="A10" s="14" t="inlineStr">
        <is>
          <t>2024 Q2</t>
        </is>
      </c>
      <c r="B10" s="17" t="n">
        <v>6.5</v>
      </c>
      <c r="C10" s="18" t="n">
        <v>100</v>
      </c>
      <c r="D10" s="18" t="n">
        <v>720</v>
      </c>
      <c r="E10" s="18" t="n">
        <v>4800</v>
      </c>
      <c r="F10" s="18" t="n">
        <v>1300</v>
      </c>
      <c r="G10" s="18" t="n">
        <v>13</v>
      </c>
    </row>
    <row r="11">
      <c r="A11" s="14" t="inlineStr">
        <is>
          <t>2024 Q3</t>
        </is>
      </c>
      <c r="B11" s="17" t="n">
        <v>9</v>
      </c>
      <c r="C11" s="18" t="n">
        <v>145</v>
      </c>
      <c r="D11" s="18" t="n">
        <v>1050</v>
      </c>
      <c r="E11" s="18" t="n">
        <v>7200</v>
      </c>
      <c r="F11" s="18" t="n">
        <v>2200</v>
      </c>
      <c r="G11" s="18" t="n">
        <v>18</v>
      </c>
    </row>
    <row r="12">
      <c r="A12" s="14" t="inlineStr">
        <is>
          <t>2024 Q4</t>
        </is>
      </c>
      <c r="B12" s="18" t="n">
        <v>13</v>
      </c>
      <c r="C12" s="18" t="n">
        <v>210</v>
      </c>
      <c r="D12" s="18" t="n">
        <v>1600</v>
      </c>
      <c r="E12" s="18" t="n">
        <v>11000</v>
      </c>
      <c r="F12" s="18" t="n">
        <v>3700</v>
      </c>
      <c r="G12" s="18" t="n">
        <v>26</v>
      </c>
    </row>
    <row r="13">
      <c r="A13" s="14" t="inlineStr">
        <is>
          <t>2025 Q1</t>
        </is>
      </c>
      <c r="B13" s="18" t="n">
        <v>18</v>
      </c>
      <c r="C13" s="18" t="n">
        <v>300</v>
      </c>
      <c r="D13" s="18" t="n">
        <v>2400</v>
      </c>
      <c r="E13" s="18" t="n">
        <v>17000</v>
      </c>
      <c r="F13" s="18" t="n">
        <v>6000</v>
      </c>
      <c r="G13" s="18" t="n">
        <v>36</v>
      </c>
    </row>
    <row r="14">
      <c r="A14" s="14" t="inlineStr">
        <is>
          <t>2025 Q2</t>
        </is>
      </c>
      <c r="B14" s="18" t="n">
        <v>28</v>
      </c>
      <c r="C14" s="18" t="n">
        <v>470</v>
      </c>
      <c r="D14" s="18" t="n">
        <v>3800</v>
      </c>
      <c r="E14" s="18" t="n">
        <v>27000</v>
      </c>
      <c r="F14" s="18" t="n">
        <v>10000</v>
      </c>
      <c r="G14" s="18" t="n">
        <v>56</v>
      </c>
    </row>
    <row r="15">
      <c r="A15" s="14" t="inlineStr">
        <is>
          <t>2025 Q3</t>
        </is>
      </c>
      <c r="B15" s="18" t="n">
        <v>45</v>
      </c>
      <c r="C15" s="18" t="n">
        <v>750</v>
      </c>
      <c r="D15" s="18" t="n">
        <v>6200</v>
      </c>
      <c r="E15" s="18" t="n">
        <v>44000</v>
      </c>
      <c r="F15" s="18" t="n">
        <v>16500</v>
      </c>
      <c r="G15" s="18" t="n">
        <v>90</v>
      </c>
    </row>
    <row r="16">
      <c r="A16" s="14" t="inlineStr">
        <is>
          <t>2025 Q4</t>
        </is>
      </c>
      <c r="B16" s="18" t="n">
        <v>75</v>
      </c>
      <c r="C16" s="18" t="n">
        <v>1250</v>
      </c>
      <c r="D16" s="18" t="n">
        <v>10500</v>
      </c>
      <c r="E16" s="18" t="n">
        <v>74000</v>
      </c>
      <c r="F16" s="18" t="n">
        <v>27000</v>
      </c>
      <c r="G16" s="18" t="n">
        <v>150</v>
      </c>
    </row>
    <row r="17">
      <c r="A17" s="14" t="inlineStr">
        <is>
          <t>2026 Q1</t>
        </is>
      </c>
      <c r="B17" s="18" t="n">
        <v>130</v>
      </c>
      <c r="C17" s="18" t="n">
        <v>2150</v>
      </c>
      <c r="D17" s="18" t="n">
        <v>18000</v>
      </c>
      <c r="E17" s="18" t="n">
        <v>128000</v>
      </c>
      <c r="F17" s="18" t="n">
        <v>44000</v>
      </c>
      <c r="G17" s="18" t="n">
        <v>260</v>
      </c>
    </row>
    <row r="18">
      <c r="A18" s="14" t="inlineStr">
        <is>
          <t>2026 Q2</t>
        </is>
      </c>
      <c r="B18" s="18" t="n">
        <v>200</v>
      </c>
      <c r="C18" s="18" t="n">
        <v>3300</v>
      </c>
      <c r="D18" s="18" t="n">
        <v>28000</v>
      </c>
      <c r="E18" s="18" t="n">
        <v>200000</v>
      </c>
      <c r="F18" s="18" t="n">
        <v>68000</v>
      </c>
      <c r="G18" s="18" t="n">
        <v>400</v>
      </c>
    </row>
    <row r="19">
      <c r="A19" s="14" t="inlineStr">
        <is>
          <t>2026 Q3</t>
        </is>
      </c>
      <c r="B19" s="18" t="n">
        <v>280</v>
      </c>
      <c r="C19" s="18" t="n">
        <v>4600</v>
      </c>
      <c r="D19" s="18" t="n">
        <v>39000</v>
      </c>
      <c r="E19" s="18" t="n">
        <v>280000</v>
      </c>
      <c r="F19" s="18" t="n">
        <v>95000</v>
      </c>
      <c r="G19" s="18" t="n">
        <v>560</v>
      </c>
    </row>
    <row r="21" ht="15" customHeight="1">
      <c r="A21" s="19" t="inlineStr">
        <is>
          <t>How this series was built:</t>
        </is>
      </c>
    </row>
    <row r="22" ht="45" customHeight="1">
      <c r="A22" s="2" t="inlineStr">
        <is>
          <t>1. Anchor (2026 Q2): Ramp AI Index (Apr-Jun 2026, 70,000+ US businesses) - median company token spend $2,246/month at an observed effective rate of $0.72 per 1M tokens implies ~3.1B tokens/month for the median Ramp-tracked (mid-market, tech-forward) company; average spend $140,842/month implies ~200B tokens for the large-enterprise average.</t>
        </is>
      </c>
    </row>
    <row r="23" ht="45" customHeight="1">
      <c r="A23" s="2" t="inlineStr">
        <is>
          <t>2. Growth path: Ramp reports token usage among businesses with connected AI grew 1,001% (~11x) from Jan 2025 to Apr 2026; each segment's series is backcast at that pace for 2025-2026 and at slower adoption-era rates for 2023-2024 (ChatGPT API launched Mar 2023).</t>
        </is>
      </c>
    </row>
    <row r="24" ht="45" customHeight="1">
      <c r="A24" s="2" t="inlineStr">
        <is>
          <t>3. Cross-checks: Deloitte 2026 (cited by OpenRouter): 67% of enterprises consume &gt;1B tokens/month - consistent with the Enterprise column crossing 1B in 2024 and reaching ~28-39B in 2026. VendorBenchmark 2026: enterprise LLM API spend of $4-22 per employee/month supports the Enterprise and Large-enterprise levels. OpenAI Enterprise Signals (Jun 2026): top-decile 'frontier firms' generate 8.3x the output tokens per active user of typical firms - reflected in the AI-native startup memo column.</t>
        </is>
      </c>
    </row>
    <row r="25" ht="45" customHeight="1">
      <c r="A25" s="2" t="inlineStr">
        <is>
          <t>4. Segment averages are means; token usage is power-law distributed within every segment (Ramp: median $2,246 vs average $140,842 monthly spend), so a segment's typical company sits well below its average. The 'All companies - median' memo column is the better 'typical firm' line.</t>
        </is>
      </c>
    </row>
    <row r="26" ht="45" customHeight="1">
      <c r="A26" s="2" t="inlineStr">
        <is>
          <t>5. Usage includes tokens consumed through subscription products (ChatGPT/Claude/Copilot seats) valued at effective token rates, not only direct API billing.</t>
        </is>
      </c>
    </row>
    <row r="27" ht="45" customHeight="1">
      <c r="A27" s="2" t="inlineStr">
        <is>
          <t>Caveats: no vendor publishes tokens-by-company-size; treat levels as order-of-magnitude estimates. Growth rates and 2026 anchors are well-sourced; 2023-2024 levels are extrapolations. Aggregate context: OpenRouter alone routed ~100T tokens/month (May 2026, 5x in 6 months); Google reported &gt;3.2 quadrillion tokens/month across products (I/O 2026); Meta burned ~70T/month (Feb 2026, SemiAnalysis).</t>
        </is>
      </c>
    </row>
  </sheetData>
  <mergeCells count="7">
    <mergeCell ref="A27:G27"/>
    <mergeCell ref="A21:G21"/>
    <mergeCell ref="A22:G22"/>
    <mergeCell ref="A26:G26"/>
    <mergeCell ref="A24:G24"/>
    <mergeCell ref="A25:G25"/>
    <mergeCell ref="A23:G23"/>
  </mergeCells>
  <conditionalFormatting sqref="B5:E19">
    <cfRule type="dataBar" priority="1">
      <dataBar showValue="1">
        <cfvo type="min"/>
        <cfvo type="max"/>
        <color rgb="0070AD47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74:B74"/>
  <sheetViews>
    <sheetView showGridLines="0" workbookViewId="0">
      <selection activeCell="A1" sqref="A1"/>
    </sheetView>
  </sheetViews>
  <sheetFormatPr baseColWidth="8" defaultRowHeight="15"/>
  <sheetData>
    <row r="74">
      <c r="B74" t="inlineStr">
        <is>
          <t>Y axes are logarithmic. Gaps before a lineage's first launch are blank. Source: Quarterly Series sheet.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2" customWidth="1" min="2" max="2"/>
    <col width="72" customWidth="1" min="3" max="3"/>
    <col width="12" customWidth="1" min="4" max="4"/>
  </cols>
  <sheetData>
    <row r="1" ht="28" customHeight="1">
      <c r="A1" s="4" t="inlineStr">
        <is>
          <t>Source</t>
        </is>
      </c>
      <c r="B1" s="4" t="inlineStr">
        <is>
          <t>Used for</t>
        </is>
      </c>
      <c r="C1" s="4" t="inlineStr">
        <is>
          <t>URL</t>
        </is>
      </c>
      <c r="D1" s="4" t="inlineStr">
        <is>
          <t>Accessed</t>
        </is>
      </c>
    </row>
    <row r="2">
      <c r="A2" t="inlineStr">
        <is>
          <t>OpenAI - pricing page &amp; model docs</t>
        </is>
      </c>
      <c r="B2" t="inlineStr">
        <is>
          <t>GPT / o-series / gpt-oss current prices, GPT-5.6 tiers</t>
        </is>
      </c>
      <c r="C2" t="inlineStr">
        <is>
          <t>https://developers.openai.com/api/docs/pricing</t>
        </is>
      </c>
      <c r="D2" t="inlineStr">
        <is>
          <t>2026-08-29</t>
        </is>
      </c>
    </row>
    <row r="3">
      <c r="A3" t="inlineStr">
        <is>
          <t>OpenAI - Introducing GPT-5.4</t>
        </is>
      </c>
      <c r="B3" t="inlineStr">
        <is>
          <t>GPT-5.2 / 5.4 / Pro launch prices, launch dates</t>
        </is>
      </c>
      <c r="C3" t="inlineStr">
        <is>
          <t>https://openai.com/index/introducing-gpt-5-4/</t>
        </is>
      </c>
      <c r="D3" t="inlineStr">
        <is>
          <t>2026-08-29</t>
        </is>
      </c>
    </row>
    <row r="4">
      <c r="A4" t="inlineStr">
        <is>
          <t>OpenAI - Introducing GPT-5.5</t>
        </is>
      </c>
      <c r="B4" t="inlineStr">
        <is>
          <t>GPT-5.5 / 5.5 Pro launch prices</t>
        </is>
      </c>
      <c r="C4" t="inlineStr">
        <is>
          <t>https://openai.com/index/introducing-gpt-5-5/</t>
        </is>
      </c>
      <c r="D4" t="inlineStr">
        <is>
          <t>2026-08-29</t>
        </is>
      </c>
    </row>
    <row r="5">
      <c r="A5" t="inlineStr">
        <is>
          <t>Anthropic - Claude platform pricing</t>
        </is>
      </c>
      <c r="B5" t="inlineStr">
        <is>
          <t>All current + retired Claude model prices</t>
        </is>
      </c>
      <c r="C5" t="inlineStr">
        <is>
          <t>https://platform.claude.com/docs/en/about-claude/pricing</t>
        </is>
      </c>
      <c r="D5" t="inlineStr">
        <is>
          <t>2026-08-29</t>
        </is>
      </c>
    </row>
    <row r="6">
      <c r="A6" t="inlineStr">
        <is>
          <t>Anthropic - Claude release notes &amp; model overview</t>
        </is>
      </c>
      <c r="B6" t="inlineStr">
        <is>
          <t>Claude launch dates (Sonnet 5, Opus 5, Fable 5, Opus 4.x)</t>
        </is>
      </c>
      <c r="C6" t="inlineStr">
        <is>
          <t>https://platform.claude.com/docs/en/release-notes/overview</t>
        </is>
      </c>
      <c r="D6" t="inlineStr">
        <is>
          <t>2026-08-29</t>
        </is>
      </c>
    </row>
    <row r="7">
      <c r="A7" t="inlineStr">
        <is>
          <t>Google - Gemini API pricing (via metacto/eesel summaries)</t>
        </is>
      </c>
      <c r="B7" t="inlineStr">
        <is>
          <t>Gemini 2.5 / 3 / 3.1 / 3.5 prices</t>
        </is>
      </c>
      <c r="C7" t="inlineStr">
        <is>
          <t>https://www.metacto.com/blogs/the-true-cost-of-google-gemini-a-guide-to-api-pricing-and-integration</t>
        </is>
      </c>
      <c r="D7" t="inlineStr">
        <is>
          <t>2026-08-29</t>
        </is>
      </c>
    </row>
    <row r="8">
      <c r="A8" t="inlineStr">
        <is>
          <t>xAI - developer pricing &amp; release notes</t>
        </is>
      </c>
      <c r="B8" t="inlineStr">
        <is>
          <t>Grok 4.20-4.6 prices and context tiers</t>
        </is>
      </c>
      <c r="C8" t="inlineStr">
        <is>
          <t>https://docs.x.ai/developers/pricing</t>
        </is>
      </c>
      <c r="D8" t="inlineStr">
        <is>
          <t>2026-08-29</t>
        </is>
      </c>
    </row>
    <row r="9">
      <c r="A9" t="inlineStr">
        <is>
          <t>DeepSeek API docs (via packet.ai summary)</t>
        </is>
      </c>
      <c r="B9" t="inlineStr">
        <is>
          <t>V4 Flash/Pro peak &amp; off-peak pricing, 2026-08-16 restructure</t>
        </is>
      </c>
      <c r="C9" t="inlineStr">
        <is>
          <t>https://packet.ai/blog/open-source-llm-api</t>
        </is>
      </c>
      <c r="D9" t="inlineStr">
        <is>
          <t>2026-08-29</t>
        </is>
      </c>
    </row>
    <row r="10">
      <c r="A10" t="inlineStr">
        <is>
          <t>LLM Abacus - Chinese LLM API pricing comparison</t>
        </is>
      </c>
      <c r="B10" t="inlineStr">
        <is>
          <t>DeepSeek / Qwen / Kimi / GLM CNY list prices + USD conversions</t>
        </is>
      </c>
      <c r="C10" t="inlineStr">
        <is>
          <t>https://www.llmabacus.com/en/chinese-llm-api-pricing</t>
        </is>
      </c>
      <c r="D10" t="inlineStr">
        <is>
          <t>2026-08-29</t>
        </is>
      </c>
    </row>
    <row r="11">
      <c r="A11" t="inlineStr">
        <is>
          <t>Tencent Cloud TokenHub model prices</t>
        </is>
      </c>
      <c r="B11" t="inlineStr">
        <is>
          <t>Kimi K2.5-K3, GLM 5.x, Qwen 3.5/3.6, MiniMax M3 CNY prices</t>
        </is>
      </c>
      <c r="C11" t="inlineStr">
        <is>
          <t>https://cloud.tencent.cn/document/product/1823/130055</t>
        </is>
      </c>
      <c r="D11" t="inlineStr">
        <is>
          <t>2026-08-29</t>
        </is>
      </c>
    </row>
    <row r="12">
      <c r="A12" t="inlineStr">
        <is>
          <t>Alibaba Model Studio pricing</t>
        </is>
      </c>
      <c r="B12" t="inlineStr">
        <is>
          <t>Qwen 3.7/3.8 Max prices and snapshot dates</t>
        </is>
      </c>
      <c r="C12" t="inlineStr">
        <is>
          <t>https://help.aliyun.com/zh/model-studio/model-pricing</t>
        </is>
      </c>
      <c r="D12" t="inlineStr">
        <is>
          <t>2026-08-29</t>
        </is>
      </c>
    </row>
    <row r="13">
      <c r="A13" t="inlineStr">
        <is>
          <t>Layer3 Labs - AI model pricing table (verified 2026-07-31)</t>
        </is>
      </c>
      <c r="B13" t="inlineStr">
        <is>
          <t>Cross-vendor current snapshot incl. Mistral, MiniMax, Amazon, Cohere</t>
        </is>
      </c>
      <c r="C13" t="inlineStr">
        <is>
          <t>https://www.layer3labs.io/ai-model-pricing</t>
        </is>
      </c>
      <c r="D13" t="inlineStr">
        <is>
          <t>2026-08-29</t>
        </is>
      </c>
    </row>
    <row r="14">
      <c r="A14" t="inlineStr">
        <is>
          <t>BenchLM - OpenAI API pricing registry</t>
        </is>
      </c>
      <c r="B14" t="inlineStr">
        <is>
          <t>GPT-5.6 launch/cut dates and rates</t>
        </is>
      </c>
      <c r="C14" t="inlineStr">
        <is>
          <t>https://benchlm.ai/openai/api-pricing</t>
        </is>
      </c>
      <c r="D14" t="inlineStr">
        <is>
          <t>2026-08-29</t>
        </is>
      </c>
    </row>
    <row r="15">
      <c r="A15" t="inlineStr">
        <is>
          <t>AIMultiple - LLM pricing (blended launch-price series)</t>
        </is>
      </c>
      <c r="B15" t="inlineStr">
        <is>
          <t>3:1 blending convention; open vs closed launch trends; Muse Spark, Kimi K3</t>
        </is>
      </c>
      <c r="C15" t="inlineStr">
        <is>
          <t>https://aimultiple.com/llm-pricing</t>
        </is>
      </c>
      <c r="D15" t="inlineStr">
        <is>
          <t>2026-08-29</t>
        </is>
      </c>
    </row>
    <row r="16">
      <c r="A16" t="inlineStr">
        <is>
          <t>AI Cost Check / aipricing.guru / techjack</t>
        </is>
      </c>
      <c r="B16" t="inlineStr">
        <is>
          <t>Llama hosted-rate ranges across providers</t>
        </is>
      </c>
      <c r="C16" t="inlineStr">
        <is>
          <t>https://aicostcheck.com/provider/meta</t>
        </is>
      </c>
      <c r="D16" t="inlineStr">
        <is>
          <t>2026-08-29</t>
        </is>
      </c>
    </row>
    <row r="17">
      <c r="A17" t="inlineStr">
        <is>
          <t>hidekazu-konishi.com - OpenAI GPT model release timeline</t>
        </is>
      </c>
      <c r="B17" t="inlineStr">
        <is>
          <t>OpenAI launch dates 2023-2026</t>
        </is>
      </c>
      <c r="C17" t="inlineStr">
        <is>
          <t>https://hidekazu-konishi.com/entry/openai_gpt_model_release_timeline.html</t>
        </is>
      </c>
      <c r="D17" t="inlineStr">
        <is>
          <t>2026-08-29</t>
        </is>
      </c>
    </row>
    <row r="18">
      <c r="A18" t="inlineStr">
        <is>
          <t>arXiv 2603.28576 - Tiered Super-Moore's Law</t>
        </is>
      </c>
      <c r="B18" t="inlineStr">
        <is>
          <t>Historical context: 600x price decline, tier half-lives</t>
        </is>
      </c>
      <c r="C18" t="inlineStr">
        <is>
          <t>https://arxiv.org/abs/2603.28576</t>
        </is>
      </c>
      <c r="D18" t="inlineStr">
        <is>
          <t>2026-08-29</t>
        </is>
      </c>
    </row>
    <row r="19">
      <c r="A19" t="inlineStr">
        <is>
          <t>Ramp - AI token cost benchmarks (AI Index, Apr-Jun 2026)</t>
        </is>
      </c>
      <c r="B19" t="inlineStr">
        <is>
          <t>Token Usage sheet anchors: $0.72/1M effective rate, median/average company spend, 1,001% usage growth Jan 2025-Apr 2026, PEPM benchmarks</t>
        </is>
      </c>
      <c r="C19" t="inlineStr">
        <is>
          <t>https://ramp.com/blog/ai-token-cost-for-businesses</t>
        </is>
      </c>
      <c r="D19" t="inlineStr">
        <is>
          <t>2026-08-30</t>
        </is>
      </c>
    </row>
    <row r="20">
      <c r="A20" t="inlineStr">
        <is>
          <t>OpenAI - Enterprise Signals</t>
        </is>
      </c>
      <c r="B20" t="inlineStr">
        <is>
          <t>Token Usage sheet: frontier firms generate 8.3x output tokens per active user vs typical firms (Jun 2026)</t>
        </is>
      </c>
      <c r="C20" t="inlineStr">
        <is>
          <t>https://openai.com/signals/enterprise-data/</t>
        </is>
      </c>
      <c r="D20" t="inlineStr">
        <is>
          <t>2026-08-30</t>
        </is>
      </c>
    </row>
    <row r="21">
      <c r="A21" t="inlineStr">
        <is>
          <t>TechStartups - OpenRouter Series B (Deloitte 2026 study cited)</t>
        </is>
      </c>
      <c r="B21" t="inlineStr">
        <is>
          <t>Token Usage sheet: 67% of enterprises consume &gt;1B tokens/month; OpenRouter ~100T tokens/month, 5x in 6 months</t>
        </is>
      </c>
      <c r="C21" t="inlineStr">
        <is>
          <t>https://techstartups.com/2026/05/26/openrouter-raises-113m-as-ai-token-usage-surges-to-100-trillion-monthly/</t>
        </is>
      </c>
      <c r="D21" t="inlineStr">
        <is>
          <t>2026-08-30</t>
        </is>
      </c>
    </row>
    <row r="22">
      <c r="A22" t="inlineStr">
        <is>
          <t>VendorBenchmark - Enterprise GenAI cost benchmark 2026</t>
        </is>
      </c>
      <c r="B22" t="inlineStr">
        <is>
          <t>Token Usage sheet: enterprise LLM API spend $4-22 per employee/month; segment PEPM ranges</t>
        </is>
      </c>
      <c r="C22" t="inlineStr">
        <is>
          <t>https://vendorbenchmark.com/guides/enterprise-genai-cost-benchmark-2026</t>
        </is>
      </c>
      <c r="D22" t="inlineStr">
        <is>
          <t>2026-08-30</t>
        </is>
      </c>
    </row>
    <row r="23">
      <c r="A23" t="inlineStr">
        <is>
          <t>SemiAnalysis - TokenBudgeting newsletter</t>
        </is>
      </c>
      <c r="B23" t="inlineStr">
        <is>
          <t>Token Usage sheet: Meta ~70T tokens/month (Feb 2026); enterprise spend percentiles</t>
        </is>
      </c>
      <c r="C23" t="inlineStr">
        <is>
          <t>https://newsletter.semianalysis.com/p/tokenbudgeting-our-conversations</t>
        </is>
      </c>
      <c r="D23" t="inlineStr">
        <is>
          <t>2026-08-30</t>
        </is>
      </c>
    </row>
    <row r="24">
      <c r="A24" t="inlineStr">
        <is>
          <t>Trending Topics EU - open-weight share of AI usage</t>
        </is>
      </c>
      <c r="B24" t="inlineStr">
        <is>
          <t>Aggregate token volumes: Google &gt;3.2 quadrillion tokens/month (I/O 2026), OpenAI API ~260T/month (Oct 2025)</t>
        </is>
      </c>
      <c r="C24" t="inlineStr">
        <is>
          <t>https://www.trendingtopics.eu/open-weight-models-from-china-are-capturing-a-growing-share-of-ai-usage/</t>
        </is>
      </c>
      <c r="D24" t="inlineStr">
        <is>
          <t>2026-08-30</t>
        </is>
      </c>
    </row>
    <row r="25">
      <c r="A25" t="inlineStr">
        <is>
          <t>Vendor announcements 2023-2025 (compiled)</t>
        </is>
      </c>
      <c r="B25" t="inlineStr">
        <is>
          <t>Historical launch prices: GPT-4/Turbo/4o, Claude 2/3/4, Gemini 1.5-2.5, Grok 2-4, Llama 2-4, DeepSeek V2-V3.2, Kimi K2, GLM-4.5+</t>
        </is>
      </c>
      <c r="C25" t="inlineStr">
        <is>
          <t>various (see notes column in Price History)</t>
        </is>
      </c>
      <c r="D25" t="inlineStr">
        <is>
          <t>2026-08-29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2026-08-30T01:01:32Z</dcterms:created>
  <dcterms:modified xsi:type="dcterms:W3CDTF">2026-08-30T01:01:32Z</dcterms:modified>
</cp:coreProperties>
</file>